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uis\OneDrive\Documents\Projects\herosekawan\"/>
    </mc:Choice>
  </mc:AlternateContent>
  <xr:revisionPtr revIDLastSave="0" documentId="8_{76CB54B6-C7D5-4362-8B71-7D43546EC88E}" xr6:coauthVersionLast="47" xr6:coauthVersionMax="47" xr10:uidLastSave="{00000000-0000-0000-0000-000000000000}"/>
  <bookViews>
    <workbookView xWindow="-103" yWindow="-103" windowWidth="22149" windowHeight="13200" tabRatio="481" activeTab="2" xr2:uid="{D9A465DD-B3FD-403A-81C4-8F5928C9B8C0}"/>
  </bookViews>
  <sheets>
    <sheet name="GUDANG BESAR" sheetId="2" r:id="rId1"/>
    <sheet name="CHEMICAL" sheetId="21" r:id="rId2"/>
    <sheet name="TARIK DATA" sheetId="18" r:id="rId3"/>
    <sheet name="Sheet2" sheetId="19" r:id="rId4"/>
    <sheet name="Sheet1" sheetId="22" r:id="rId5"/>
  </sheets>
  <externalReferences>
    <externalReference r:id="rId6"/>
  </externalReferences>
  <definedNames>
    <definedName name="_.TableData._">#REF!</definedName>
    <definedName name="__MAIN__" localSheetId="1">CHEMICAL!#REF!</definedName>
    <definedName name="__MAIN__">#REF!</definedName>
    <definedName name="__QrHeader__" localSheetId="1">CHEMICAL!#REF!</definedName>
    <definedName name="__QrHeader__">[1]BTB!#REF!</definedName>
    <definedName name="__ZQ__">#REF!</definedName>
    <definedName name="_xlnm._FilterDatabase" localSheetId="1" hidden="1">CHEMICAL!$A$5:$U$753</definedName>
    <definedName name="_xlnm._FilterDatabase" localSheetId="0" hidden="1">'GUDANG BESAR'!$A$5:$X$149</definedName>
    <definedName name="_xlnm._FilterDatabase" localSheetId="2" hidden="1">'TARIK DATA'!$A$5:$T$1137</definedName>
    <definedName name="_xlnm.Print_Area" localSheetId="0">'GUDANG BESAR'!$A$1:$P$127</definedName>
    <definedName name="_xlnm.Print_Area" localSheetId="3">Sheet2!$B$1:$D$30</definedName>
    <definedName name="_xlnm.Print_Titles" localSheetId="1">CHEMICAL!#REF!,CHEMICAL!#REF!</definedName>
    <definedName name="_xlnm.Print_Titles" localSheetId="0">'GUDANG BESAR'!$1:$5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6" i="21" l="1"/>
  <c r="V29" i="21"/>
  <c r="V726" i="21"/>
  <c r="V648" i="21"/>
  <c r="V618" i="21"/>
  <c r="V590" i="21"/>
  <c r="V567" i="21"/>
  <c r="V529" i="21"/>
  <c r="V489" i="21"/>
  <c r="V466" i="21"/>
  <c r="V435" i="21"/>
  <c r="V398" i="21"/>
  <c r="V375" i="21"/>
  <c r="V340" i="21"/>
  <c r="V312" i="21"/>
  <c r="V292" i="21"/>
  <c r="V262" i="21"/>
  <c r="V231" i="21"/>
  <c r="V210" i="21"/>
  <c r="V184" i="21"/>
  <c r="V151" i="21"/>
  <c r="V125" i="21"/>
  <c r="V97" i="21"/>
  <c r="V72" i="21"/>
  <c r="V52" i="21"/>
  <c r="V28" i="21"/>
  <c r="V566" i="21"/>
  <c r="V528" i="21"/>
  <c r="V488" i="21"/>
  <c r="V465" i="21"/>
  <c r="V434" i="21"/>
  <c r="V397" i="21"/>
  <c r="V374" i="21"/>
  <c r="V339" i="21"/>
  <c r="V311" i="21"/>
  <c r="V291" i="21"/>
  <c r="V261" i="21"/>
  <c r="V230" i="21"/>
  <c r="V209" i="21"/>
  <c r="V183" i="21"/>
  <c r="V150" i="21"/>
  <c r="V124" i="21"/>
  <c r="V96" i="21"/>
  <c r="V71" i="21"/>
  <c r="V51" i="21"/>
  <c r="V27" i="21"/>
  <c r="V725" i="21"/>
  <c r="V617" i="21"/>
  <c r="V527" i="21"/>
  <c r="V373" i="21"/>
  <c r="V290" i="21"/>
  <c r="V260" i="21"/>
  <c r="V149" i="21"/>
  <c r="V26" i="21"/>
  <c r="V669" i="21"/>
  <c r="V647" i="21"/>
  <c r="V616" i="21"/>
  <c r="V589" i="21"/>
  <c r="V565" i="21"/>
  <c r="V526" i="21"/>
  <c r="V487" i="21"/>
  <c r="V464" i="21"/>
  <c r="V433" i="21"/>
  <c r="V396" i="21"/>
  <c r="V372" i="21"/>
  <c r="V338" i="21"/>
  <c r="V310" i="21"/>
  <c r="V289" i="21"/>
  <c r="V259" i="21"/>
  <c r="V229" i="21"/>
  <c r="V208" i="21"/>
  <c r="V182" i="21"/>
  <c r="V148" i="21"/>
  <c r="V123" i="21"/>
  <c r="V95" i="21"/>
  <c r="V70" i="21"/>
  <c r="V50" i="21"/>
  <c r="V25" i="21"/>
  <c r="V646" i="21"/>
  <c r="V615" i="21"/>
  <c r="V588" i="21"/>
  <c r="V564" i="21"/>
  <c r="V525" i="21"/>
  <c r="V486" i="21"/>
  <c r="V463" i="21"/>
  <c r="V432" i="21"/>
  <c r="V395" i="21"/>
  <c r="V371" i="21"/>
  <c r="V337" i="21"/>
  <c r="V309" i="21"/>
  <c r="V288" i="21"/>
  <c r="V258" i="21"/>
  <c r="V228" i="21"/>
  <c r="V207" i="21"/>
  <c r="V181" i="21"/>
  <c r="V147" i="21"/>
  <c r="V122" i="21"/>
  <c r="V94" i="21"/>
  <c r="V645" i="21"/>
  <c r="V431" i="21"/>
  <c r="V724" i="21"/>
  <c r="V644" i="21"/>
  <c r="V587" i="21"/>
  <c r="V146" i="21"/>
  <c r="V643" i="21"/>
  <c r="V586" i="21"/>
  <c r="V563" i="21"/>
  <c r="V462" i="21"/>
  <c r="V694" i="21"/>
  <c r="V562" i="21"/>
  <c r="V524" i="21"/>
  <c r="V461" i="21"/>
  <c r="V370" i="21"/>
  <c r="V336" i="21"/>
  <c r="V287" i="21"/>
  <c r="V257" i="21"/>
  <c r="V180" i="21"/>
  <c r="V121" i="21"/>
  <c r="V93" i="21"/>
  <c r="V69" i="21"/>
  <c r="V693" i="21"/>
  <c r="V614" i="21"/>
  <c r="V561" i="21"/>
  <c r="V523" i="21"/>
  <c r="V460" i="21"/>
  <c r="V430" i="21"/>
  <c r="V369" i="21"/>
  <c r="V335" i="21"/>
  <c r="V286" i="21"/>
  <c r="V256" i="21"/>
  <c r="V206" i="21"/>
  <c r="V179" i="21"/>
  <c r="V120" i="21"/>
  <c r="V92" i="21"/>
  <c r="V49" i="21"/>
  <c r="V24" i="21"/>
  <c r="V723" i="21"/>
  <c r="V692" i="21"/>
  <c r="V613" i="21"/>
  <c r="V560" i="21"/>
  <c r="V522" i="21"/>
  <c r="V459" i="21"/>
  <c r="V429" i="21"/>
  <c r="V368" i="21"/>
  <c r="V334" i="21"/>
  <c r="V285" i="21"/>
  <c r="V255" i="21"/>
  <c r="V205" i="21"/>
  <c r="V178" i="21"/>
  <c r="V119" i="21"/>
  <c r="V23" i="21"/>
  <c r="V668" i="21"/>
  <c r="V642" i="21"/>
  <c r="V177" i="21"/>
  <c r="V22" i="21"/>
  <c r="V722" i="21"/>
  <c r="V612" i="21"/>
  <c r="V521" i="21"/>
  <c r="V367" i="21"/>
  <c r="V254" i="21"/>
  <c r="V145" i="21"/>
  <c r="V21" i="21"/>
  <c r="V585" i="21"/>
  <c r="V458" i="21"/>
  <c r="V428" i="21"/>
  <c r="V333" i="21"/>
  <c r="V753" i="21"/>
  <c r="V584" i="21"/>
  <c r="V559" i="21"/>
  <c r="V520" i="21"/>
  <c r="V485" i="21"/>
  <c r="V457" i="21"/>
  <c r="V427" i="21"/>
  <c r="V752" i="21"/>
  <c r="V751" i="21"/>
  <c r="V583" i="21"/>
  <c r="V558" i="21"/>
  <c r="V519" i="21"/>
  <c r="V484" i="21"/>
  <c r="V426" i="21"/>
  <c r="V750" i="21"/>
  <c r="V557" i="21"/>
  <c r="V518" i="21"/>
  <c r="V483" i="21"/>
  <c r="V425" i="21"/>
  <c r="V749" i="21"/>
  <c r="V582" i="21"/>
  <c r="V556" i="21"/>
  <c r="V517" i="21"/>
  <c r="V482" i="21"/>
  <c r="V456" i="21"/>
  <c r="V424" i="21"/>
  <c r="V748" i="21"/>
  <c r="V747" i="21"/>
  <c r="V555" i="21"/>
  <c r="V554" i="21"/>
  <c r="V516" i="21"/>
  <c r="V423" i="21"/>
  <c r="V746" i="21"/>
  <c r="V581" i="21"/>
  <c r="V553" i="21"/>
  <c r="V515" i="21"/>
  <c r="V481" i="21"/>
  <c r="V455" i="21"/>
  <c r="V422" i="21"/>
  <c r="V421" i="21"/>
  <c r="V552" i="21"/>
  <c r="V480" i="21"/>
  <c r="V253" i="21"/>
  <c r="V204" i="21"/>
  <c r="V68" i="21"/>
  <c r="V252" i="21"/>
  <c r="V227" i="21"/>
  <c r="V203" i="21"/>
  <c r="V176" i="21"/>
  <c r="V144" i="21"/>
  <c r="V118" i="21"/>
  <c r="V91" i="21"/>
  <c r="V67" i="21"/>
  <c r="V48" i="21"/>
  <c r="V20" i="21"/>
  <c r="V691" i="21"/>
  <c r="V667" i="21"/>
  <c r="V641" i="21"/>
  <c r="V611" i="21"/>
  <c r="V580" i="21"/>
  <c r="V551" i="21"/>
  <c r="V514" i="21"/>
  <c r="V479" i="21"/>
  <c r="V454" i="21"/>
  <c r="V420" i="21"/>
  <c r="V394" i="21"/>
  <c r="V366" i="21"/>
  <c r="V332" i="21"/>
  <c r="V308" i="21"/>
  <c r="V284" i="21"/>
  <c r="V251" i="21"/>
  <c r="V721" i="21"/>
  <c r="V690" i="21"/>
  <c r="V666" i="21"/>
  <c r="V640" i="21"/>
  <c r="V579" i="21"/>
  <c r="V550" i="21"/>
  <c r="V513" i="21"/>
  <c r="V478" i="21"/>
  <c r="V453" i="21"/>
  <c r="V419" i="21"/>
  <c r="V393" i="21"/>
  <c r="V365" i="21"/>
  <c r="V307" i="21"/>
  <c r="V283" i="21"/>
  <c r="V250" i="21"/>
  <c r="V226" i="21"/>
  <c r="V202" i="21"/>
  <c r="V175" i="21"/>
  <c r="V143" i="21"/>
  <c r="V90" i="21"/>
  <c r="V47" i="21"/>
  <c r="V19" i="21"/>
  <c r="V117" i="21"/>
  <c r="V89" i="21"/>
  <c r="V720" i="21"/>
  <c r="V639" i="21"/>
  <c r="V142" i="21"/>
  <c r="V719" i="21"/>
  <c r="V418" i="21"/>
  <c r="V364" i="21"/>
  <c r="V46" i="21"/>
  <c r="V718" i="21"/>
  <c r="V45" i="21"/>
  <c r="V717" i="21"/>
  <c r="V512" i="21"/>
  <c r="V363" i="21"/>
  <c r="V638" i="21"/>
  <c r="V637" i="21"/>
  <c r="V417" i="21"/>
  <c r="V249" i="21"/>
  <c r="V745" i="21"/>
  <c r="V362" i="21"/>
  <c r="V174" i="21"/>
  <c r="V744" i="21"/>
  <c r="V282" i="21"/>
  <c r="V665" i="21"/>
  <c r="V452" i="21"/>
  <c r="V18" i="21"/>
  <c r="V689" i="21"/>
  <c r="V511" i="21"/>
  <c r="V451" i="21"/>
  <c r="V331" i="21"/>
  <c r="V66" i="21"/>
  <c r="V549" i="21"/>
  <c r="V510" i="21"/>
  <c r="V477" i="21"/>
  <c r="V450" i="21"/>
  <c r="V416" i="21"/>
  <c r="V392" i="21"/>
  <c r="V361" i="21"/>
  <c r="V281" i="21"/>
  <c r="V248" i="21"/>
  <c r="V201" i="21"/>
  <c r="V173" i="21"/>
  <c r="V116" i="21"/>
  <c r="V88" i="21"/>
  <c r="V44" i="21"/>
  <c r="V716" i="21"/>
  <c r="V688" i="21"/>
  <c r="V509" i="21"/>
  <c r="V330" i="21"/>
  <c r="V280" i="21"/>
  <c r="V172" i="21"/>
  <c r="V115" i="21"/>
  <c r="V17" i="21"/>
  <c r="V743" i="21"/>
  <c r="V715" i="21"/>
  <c r="V687" i="21"/>
  <c r="V664" i="21"/>
  <c r="V636" i="21"/>
  <c r="V610" i="21"/>
  <c r="V578" i="21"/>
  <c r="V548" i="21"/>
  <c r="V508" i="21"/>
  <c r="V476" i="21"/>
  <c r="V449" i="21"/>
  <c r="V415" i="21"/>
  <c r="V391" i="21"/>
  <c r="V360" i="21"/>
  <c r="V329" i="21"/>
  <c r="V306" i="21"/>
  <c r="V279" i="21"/>
  <c r="V247" i="21"/>
  <c r="V225" i="21"/>
  <c r="V200" i="21"/>
  <c r="V171" i="21"/>
  <c r="V141" i="21"/>
  <c r="V114" i="21"/>
  <c r="V87" i="21"/>
  <c r="V65" i="21"/>
  <c r="V43" i="21"/>
  <c r="V742" i="21"/>
  <c r="V714" i="21"/>
  <c r="V686" i="21"/>
  <c r="V663" i="21"/>
  <c r="V635" i="21"/>
  <c r="V609" i="21"/>
  <c r="V577" i="21"/>
  <c r="V547" i="21"/>
  <c r="V414" i="21"/>
  <c r="V390" i="21"/>
  <c r="V359" i="21"/>
  <c r="V224" i="21"/>
  <c r="V199" i="21"/>
  <c r="V170" i="21"/>
  <c r="V741" i="21"/>
  <c r="V685" i="21"/>
  <c r="V662" i="21"/>
  <c r="V634" i="21"/>
  <c r="V608" i="21"/>
  <c r="V546" i="21"/>
  <c r="V507" i="21"/>
  <c r="V475" i="21"/>
  <c r="V448" i="21"/>
  <c r="V413" i="21"/>
  <c r="V389" i="21"/>
  <c r="V358" i="21"/>
  <c r="V328" i="21"/>
  <c r="V305" i="21"/>
  <c r="V278" i="21"/>
  <c r="V246" i="21"/>
  <c r="V223" i="21"/>
  <c r="V198" i="21"/>
  <c r="V169" i="21"/>
  <c r="V140" i="21"/>
  <c r="V113" i="21"/>
  <c r="V86" i="21"/>
  <c r="V64" i="21"/>
  <c r="V42" i="21"/>
  <c r="V16" i="21"/>
  <c r="V740" i="21"/>
  <c r="V713" i="21"/>
  <c r="V684" i="21"/>
  <c r="V661" i="21"/>
  <c r="V633" i="21"/>
  <c r="V607" i="21"/>
  <c r="V576" i="21"/>
  <c r="V545" i="21"/>
  <c r="V506" i="21"/>
  <c r="V474" i="21"/>
  <c r="V447" i="21"/>
  <c r="V412" i="21"/>
  <c r="V388" i="21"/>
  <c r="V357" i="21"/>
  <c r="V327" i="21"/>
  <c r="V304" i="21"/>
  <c r="V277" i="21"/>
  <c r="V245" i="21"/>
  <c r="V222" i="21"/>
  <c r="V197" i="21"/>
  <c r="V168" i="21"/>
  <c r="V139" i="21"/>
  <c r="V112" i="21"/>
  <c r="V85" i="21"/>
  <c r="V63" i="21"/>
  <c r="V41" i="21"/>
  <c r="V15" i="21"/>
  <c r="V606" i="21"/>
  <c r="V544" i="21"/>
  <c r="V326" i="21"/>
  <c r="V303" i="21"/>
  <c r="V167" i="21"/>
  <c r="V138" i="21"/>
  <c r="V84" i="21"/>
  <c r="V14" i="21"/>
  <c r="V739" i="21"/>
  <c r="V712" i="21"/>
  <c r="V660" i="21"/>
  <c r="V632" i="21"/>
  <c r="V605" i="21"/>
  <c r="V575" i="21"/>
  <c r="V543" i="21"/>
  <c r="V411" i="21"/>
  <c r="V387" i="21"/>
  <c r="V356" i="21"/>
  <c r="V302" i="21"/>
  <c r="V221" i="21"/>
  <c r="V196" i="21"/>
  <c r="V166" i="21"/>
  <c r="V137" i="21"/>
  <c r="V738" i="21"/>
  <c r="V711" i="21"/>
  <c r="V659" i="21"/>
  <c r="V604" i="21"/>
  <c r="V574" i="21"/>
  <c r="V542" i="21"/>
  <c r="V505" i="21"/>
  <c r="V410" i="21"/>
  <c r="V220" i="21"/>
  <c r="V195" i="21"/>
  <c r="V386" i="21"/>
  <c r="V301" i="21"/>
  <c r="V710" i="21"/>
  <c r="V683" i="21"/>
  <c r="V504" i="21"/>
  <c r="V325" i="21"/>
  <c r="V276" i="21"/>
  <c r="V165" i="21"/>
  <c r="V111" i="21"/>
  <c r="V737" i="21"/>
  <c r="V658" i="21"/>
  <c r="V631" i="21"/>
  <c r="V736" i="21"/>
  <c r="V709" i="21"/>
  <c r="V682" i="21"/>
  <c r="V657" i="21"/>
  <c r="V630" i="21"/>
  <c r="V603" i="21"/>
  <c r="V573" i="21"/>
  <c r="V541" i="21"/>
  <c r="V503" i="21"/>
  <c r="V473" i="21"/>
  <c r="V446" i="21"/>
  <c r="V409" i="21"/>
  <c r="V385" i="21"/>
  <c r="V355" i="21"/>
  <c r="V324" i="21"/>
  <c r="V300" i="21"/>
  <c r="V275" i="21"/>
  <c r="V244" i="21"/>
  <c r="V219" i="21"/>
  <c r="V194" i="21"/>
  <c r="V164" i="21"/>
  <c r="V136" i="21"/>
  <c r="V110" i="21"/>
  <c r="V83" i="21"/>
  <c r="V62" i="21"/>
  <c r="V40" i="21"/>
  <c r="V735" i="21"/>
  <c r="V708" i="21"/>
  <c r="V681" i="21"/>
  <c r="V656" i="21"/>
  <c r="V629" i="21"/>
  <c r="V602" i="21"/>
  <c r="V572" i="21"/>
  <c r="V540" i="21"/>
  <c r="V502" i="21"/>
  <c r="V472" i="21"/>
  <c r="V445" i="21"/>
  <c r="V408" i="21"/>
  <c r="V384" i="21"/>
  <c r="V354" i="21"/>
  <c r="V323" i="21"/>
  <c r="V299" i="21"/>
  <c r="V274" i="21"/>
  <c r="V243" i="21"/>
  <c r="V218" i="21"/>
  <c r="V193" i="21"/>
  <c r="V163" i="21"/>
  <c r="V135" i="21"/>
  <c r="V109" i="21"/>
  <c r="V82" i="21"/>
  <c r="V61" i="21"/>
  <c r="V39" i="21"/>
  <c r="V734" i="21"/>
  <c r="V680" i="21"/>
  <c r="V655" i="21"/>
  <c r="V628" i="21"/>
  <c r="V601" i="21"/>
  <c r="V539" i="21"/>
  <c r="V444" i="21"/>
  <c r="V407" i="21"/>
  <c r="V383" i="21"/>
  <c r="V353" i="21"/>
  <c r="V298" i="21"/>
  <c r="V273" i="21"/>
  <c r="V242" i="21"/>
  <c r="V217" i="21"/>
  <c r="V162" i="21"/>
  <c r="V134" i="21"/>
  <c r="V60" i="21"/>
  <c r="V38" i="21"/>
  <c r="V733" i="21"/>
  <c r="V707" i="21"/>
  <c r="V679" i="21"/>
  <c r="V654" i="21"/>
  <c r="V627" i="21"/>
  <c r="V600" i="21"/>
  <c r="V571" i="21"/>
  <c r="V538" i="21"/>
  <c r="V501" i="21"/>
  <c r="V443" i="21"/>
  <c r="V406" i="21"/>
  <c r="V382" i="21"/>
  <c r="V352" i="21"/>
  <c r="V322" i="21"/>
  <c r="V297" i="21"/>
  <c r="V272" i="21"/>
  <c r="V241" i="21"/>
  <c r="V192" i="21"/>
  <c r="V161" i="21"/>
  <c r="V133" i="21"/>
  <c r="V108" i="21"/>
  <c r="V81" i="21"/>
  <c r="V59" i="21"/>
  <c r="V37" i="21"/>
  <c r="V732" i="21"/>
  <c r="V706" i="21"/>
  <c r="V678" i="21"/>
  <c r="V653" i="21"/>
  <c r="V626" i="21"/>
  <c r="V599" i="21"/>
  <c r="V570" i="21"/>
  <c r="V537" i="21"/>
  <c r="V500" i="21"/>
  <c r="V471" i="21"/>
  <c r="V442" i="21"/>
  <c r="V405" i="21"/>
  <c r="V381" i="21"/>
  <c r="V351" i="21"/>
  <c r="V321" i="21"/>
  <c r="V296" i="21"/>
  <c r="V271" i="21"/>
  <c r="V240" i="21"/>
  <c r="V216" i="21"/>
  <c r="V191" i="21"/>
  <c r="V160" i="21"/>
  <c r="V132" i="21"/>
  <c r="V107" i="21"/>
  <c r="V80" i="21"/>
  <c r="V58" i="21"/>
  <c r="V36" i="21"/>
  <c r="V731" i="21"/>
  <c r="V705" i="21"/>
  <c r="V677" i="21"/>
  <c r="V652" i="21"/>
  <c r="V625" i="21"/>
  <c r="V598" i="21"/>
  <c r="V569" i="21"/>
  <c r="V536" i="21"/>
  <c r="V499" i="21"/>
  <c r="V470" i="21"/>
  <c r="V441" i="21"/>
  <c r="V404" i="21"/>
  <c r="V380" i="21"/>
  <c r="V350" i="21"/>
  <c r="V320" i="21"/>
  <c r="V295" i="21"/>
  <c r="V270" i="21"/>
  <c r="V239" i="21"/>
  <c r="V215" i="21"/>
  <c r="V190" i="21"/>
  <c r="V159" i="21"/>
  <c r="V131" i="21"/>
  <c r="V106" i="21"/>
  <c r="V79" i="21"/>
  <c r="V57" i="21"/>
  <c r="V35" i="21"/>
  <c r="V13" i="21"/>
  <c r="V730" i="21"/>
  <c r="V704" i="21"/>
  <c r="V676" i="21"/>
  <c r="V651" i="21"/>
  <c r="V624" i="21"/>
  <c r="V597" i="21"/>
  <c r="V535" i="21"/>
  <c r="V498" i="21"/>
  <c r="V469" i="21"/>
  <c r="V440" i="21"/>
  <c r="V379" i="21"/>
  <c r="V349" i="21"/>
  <c r="V319" i="21"/>
  <c r="V269" i="21"/>
  <c r="V238" i="21"/>
  <c r="V214" i="21"/>
  <c r="V158" i="21"/>
  <c r="V130" i="21"/>
  <c r="V105" i="21"/>
  <c r="V78" i="21"/>
  <c r="V56" i="21"/>
  <c r="V34" i="21"/>
  <c r="V703" i="21"/>
  <c r="V675" i="21"/>
  <c r="V497" i="21"/>
  <c r="V318" i="21"/>
  <c r="V268" i="21"/>
  <c r="V157" i="21"/>
  <c r="V104" i="21"/>
  <c r="V12" i="21"/>
  <c r="V729" i="21"/>
  <c r="V702" i="21"/>
  <c r="V674" i="21"/>
  <c r="V650" i="21"/>
  <c r="V623" i="21"/>
  <c r="V596" i="21"/>
  <c r="V568" i="21"/>
  <c r="V534" i="21"/>
  <c r="V496" i="21"/>
  <c r="V468" i="21"/>
  <c r="V439" i="21"/>
  <c r="V403" i="21"/>
  <c r="V378" i="21"/>
  <c r="V348" i="21"/>
  <c r="V317" i="21"/>
  <c r="V294" i="21"/>
  <c r="V267" i="21"/>
  <c r="V237" i="21"/>
  <c r="V213" i="21"/>
  <c r="V189" i="21"/>
  <c r="V156" i="21"/>
  <c r="V129" i="21"/>
  <c r="V103" i="21"/>
  <c r="V77" i="21"/>
  <c r="V55" i="21"/>
  <c r="V33" i="21"/>
  <c r="V728" i="21"/>
  <c r="V701" i="21"/>
  <c r="V649" i="21"/>
  <c r="V212" i="21"/>
  <c r="V54" i="21"/>
  <c r="V700" i="21"/>
  <c r="V673" i="21"/>
  <c r="V622" i="21"/>
  <c r="V595" i="21"/>
  <c r="V533" i="21"/>
  <c r="V495" i="21"/>
  <c r="V402" i="21"/>
  <c r="V347" i="21"/>
  <c r="V316" i="21"/>
  <c r="V266" i="21"/>
  <c r="V236" i="21"/>
  <c r="V188" i="21"/>
  <c r="V155" i="21"/>
  <c r="V102" i="21"/>
  <c r="V76" i="21"/>
  <c r="V32" i="21"/>
  <c r="V11" i="21"/>
  <c r="V594" i="21"/>
  <c r="V494" i="21"/>
  <c r="V346" i="21"/>
  <c r="V235" i="21"/>
  <c r="V128" i="21"/>
  <c r="V10" i="21"/>
  <c r="V699" i="21"/>
  <c r="V672" i="21"/>
  <c r="V593" i="21"/>
  <c r="V532" i="21"/>
  <c r="V493" i="21"/>
  <c r="V467" i="21"/>
  <c r="V438" i="21"/>
  <c r="V377" i="21"/>
  <c r="V345" i="21"/>
  <c r="V187" i="21"/>
  <c r="V101" i="21"/>
  <c r="V621" i="21"/>
  <c r="V401" i="21"/>
  <c r="V234" i="21"/>
  <c r="V75" i="21"/>
  <c r="V620" i="21"/>
  <c r="V400" i="21"/>
  <c r="V233" i="21"/>
  <c r="V74" i="21"/>
  <c r="V698" i="21"/>
  <c r="V492" i="21"/>
  <c r="V315" i="21"/>
  <c r="V265" i="21"/>
  <c r="V154" i="21"/>
  <c r="V100" i="21"/>
  <c r="V9" i="21"/>
  <c r="V697" i="21"/>
  <c r="V671" i="21"/>
  <c r="V592" i="21"/>
  <c r="V531" i="21"/>
  <c r="V491" i="21"/>
  <c r="V437" i="21"/>
  <c r="V399" i="21"/>
  <c r="V344" i="21"/>
  <c r="V314" i="21"/>
  <c r="V264" i="21"/>
  <c r="V232" i="21"/>
  <c r="V186" i="21"/>
  <c r="V153" i="21"/>
  <c r="V99" i="21"/>
  <c r="V73" i="21"/>
  <c r="V31" i="21"/>
  <c r="V8" i="21"/>
  <c r="V30" i="21"/>
  <c r="V7" i="21"/>
  <c r="V696" i="21"/>
  <c r="V619" i="21"/>
  <c r="V591" i="21"/>
  <c r="V436" i="21"/>
  <c r="V343" i="21"/>
  <c r="V211" i="21"/>
  <c r="V127" i="21"/>
  <c r="V53" i="21"/>
  <c r="V695" i="21"/>
  <c r="V670" i="21"/>
  <c r="V490" i="21"/>
  <c r="V342" i="21"/>
  <c r="V313" i="21"/>
  <c r="V263" i="21"/>
  <c r="V152" i="21"/>
  <c r="V98" i="21"/>
  <c r="Q4" i="21"/>
  <c r="O727" i="21"/>
  <c r="T727" i="21"/>
  <c r="O530" i="21"/>
  <c r="T530" i="21" s="1"/>
  <c r="O376" i="21"/>
  <c r="T376" i="21"/>
  <c r="O341" i="21"/>
  <c r="T341" i="21"/>
  <c r="O293" i="21"/>
  <c r="T293" i="21"/>
  <c r="O185" i="21"/>
  <c r="T185" i="21" s="1"/>
  <c r="O126" i="21"/>
  <c r="T126" i="21" s="1"/>
  <c r="O29" i="21"/>
  <c r="T29" i="21"/>
  <c r="O726" i="21"/>
  <c r="T726" i="21"/>
  <c r="O648" i="21"/>
  <c r="T648" i="21"/>
  <c r="O618" i="21"/>
  <c r="T618" i="21" s="1"/>
  <c r="O590" i="21"/>
  <c r="T590" i="21"/>
  <c r="O567" i="21"/>
  <c r="T567" i="21"/>
  <c r="O529" i="21"/>
  <c r="T529" i="21" s="1"/>
  <c r="O489" i="21"/>
  <c r="T489" i="21" s="1"/>
  <c r="O466" i="21"/>
  <c r="T466" i="21"/>
  <c r="O435" i="21"/>
  <c r="T435" i="21"/>
  <c r="O398" i="21"/>
  <c r="T398" i="21"/>
  <c r="O375" i="21"/>
  <c r="T375" i="21"/>
  <c r="O340" i="21"/>
  <c r="T340" i="21" s="1"/>
  <c r="O312" i="21"/>
  <c r="T312" i="21"/>
  <c r="O292" i="21"/>
  <c r="T292" i="21" s="1"/>
  <c r="O262" i="21"/>
  <c r="T262" i="21" s="1"/>
  <c r="O231" i="21"/>
  <c r="T231" i="21"/>
  <c r="O210" i="21"/>
  <c r="T210" i="21"/>
  <c r="O184" i="21"/>
  <c r="T184" i="21" s="1"/>
  <c r="O151" i="21"/>
  <c r="T151" i="21"/>
  <c r="O125" i="21"/>
  <c r="T125" i="21" s="1"/>
  <c r="O97" i="21"/>
  <c r="T97" i="21" s="1"/>
  <c r="O72" i="21"/>
  <c r="T72" i="21" s="1"/>
  <c r="O52" i="21"/>
  <c r="T52" i="21" s="1"/>
  <c r="O28" i="21"/>
  <c r="T28" i="21"/>
  <c r="O566" i="21"/>
  <c r="T566" i="21"/>
  <c r="O528" i="21"/>
  <c r="T528" i="21"/>
  <c r="O488" i="21"/>
  <c r="T488" i="21" s="1"/>
  <c r="O465" i="21"/>
  <c r="T465" i="21"/>
  <c r="O434" i="21"/>
  <c r="T434" i="21"/>
  <c r="O397" i="21"/>
  <c r="T397" i="21" s="1"/>
  <c r="O374" i="21"/>
  <c r="T374" i="21" s="1"/>
  <c r="O339" i="21"/>
  <c r="T339" i="21"/>
  <c r="O311" i="21"/>
  <c r="T311" i="21"/>
  <c r="O291" i="21"/>
  <c r="T291" i="21"/>
  <c r="O261" i="21"/>
  <c r="T261" i="21" s="1"/>
  <c r="O230" i="21"/>
  <c r="T230" i="21" s="1"/>
  <c r="O209" i="21"/>
  <c r="T209" i="21"/>
  <c r="O183" i="21"/>
  <c r="T183" i="21" s="1"/>
  <c r="O150" i="21"/>
  <c r="T150" i="21" s="1"/>
  <c r="O124" i="21"/>
  <c r="T124" i="21"/>
  <c r="O96" i="21"/>
  <c r="T96" i="21"/>
  <c r="O71" i="21"/>
  <c r="T71" i="21" s="1"/>
  <c r="O51" i="21"/>
  <c r="T51" i="21"/>
  <c r="O27" i="21"/>
  <c r="T27" i="21" s="1"/>
  <c r="O725" i="21"/>
  <c r="T725" i="21" s="1"/>
  <c r="O617" i="21"/>
  <c r="T617" i="21" s="1"/>
  <c r="O527" i="21"/>
  <c r="T527" i="21" s="1"/>
  <c r="O373" i="21"/>
  <c r="T373" i="21"/>
  <c r="O290" i="21"/>
  <c r="T290" i="21"/>
  <c r="O260" i="21"/>
  <c r="T260" i="21"/>
  <c r="O149" i="21"/>
  <c r="T149" i="21" s="1"/>
  <c r="O26" i="21"/>
  <c r="T26" i="21" s="1"/>
  <c r="O669" i="21"/>
  <c r="T669" i="21" s="1"/>
  <c r="O647" i="21"/>
  <c r="T647" i="21" s="1"/>
  <c r="O616" i="21"/>
  <c r="T616" i="21" s="1"/>
  <c r="O589" i="21"/>
  <c r="T589" i="21"/>
  <c r="O565" i="21"/>
  <c r="T565" i="21"/>
  <c r="O526" i="21"/>
  <c r="T526" i="21" s="1"/>
  <c r="O487" i="21"/>
  <c r="T487" i="21"/>
  <c r="O464" i="21"/>
  <c r="T464" i="21"/>
  <c r="O433" i="21"/>
  <c r="T433" i="21" s="1"/>
  <c r="O396" i="21"/>
  <c r="T396" i="21" s="1"/>
  <c r="O372" i="21"/>
  <c r="T372" i="21" s="1"/>
  <c r="O338" i="21"/>
  <c r="T338" i="21"/>
  <c r="O310" i="21"/>
  <c r="T310" i="21"/>
  <c r="O289" i="21"/>
  <c r="T289" i="21"/>
  <c r="O259" i="21"/>
  <c r="T259" i="21" s="1"/>
  <c r="O229" i="21"/>
  <c r="T229" i="21"/>
  <c r="O208" i="21"/>
  <c r="T208" i="21" s="1"/>
  <c r="O182" i="21"/>
  <c r="T182" i="21" s="1"/>
  <c r="O148" i="21"/>
  <c r="T148" i="21" s="1"/>
  <c r="O123" i="21"/>
  <c r="T123" i="21"/>
  <c r="O95" i="21"/>
  <c r="T95" i="21"/>
  <c r="O70" i="21"/>
  <c r="T70" i="21"/>
  <c r="O50" i="21"/>
  <c r="T50" i="21" s="1"/>
  <c r="O25" i="21"/>
  <c r="T25" i="21" s="1"/>
  <c r="O646" i="21"/>
  <c r="T646" i="21"/>
  <c r="O615" i="21"/>
  <c r="T615" i="21" s="1"/>
  <c r="O588" i="21"/>
  <c r="T588" i="21" s="1"/>
  <c r="O564" i="21"/>
  <c r="T564" i="21"/>
  <c r="O525" i="21"/>
  <c r="T525" i="21" s="1"/>
  <c r="O486" i="21"/>
  <c r="T486" i="21" s="1"/>
  <c r="O463" i="21"/>
  <c r="T463" i="21"/>
  <c r="O432" i="21"/>
  <c r="T432" i="21"/>
  <c r="O395" i="21"/>
  <c r="T395" i="21" s="1"/>
  <c r="O371" i="21"/>
  <c r="T371" i="21" s="1"/>
  <c r="O337" i="21"/>
  <c r="T337" i="21" s="1"/>
  <c r="O309" i="21"/>
  <c r="T309" i="21"/>
  <c r="O288" i="21"/>
  <c r="T288" i="21"/>
  <c r="O258" i="21"/>
  <c r="T258" i="21" s="1"/>
  <c r="O228" i="21"/>
  <c r="T228" i="21" s="1"/>
  <c r="O207" i="21"/>
  <c r="T207" i="21"/>
  <c r="O181" i="21"/>
  <c r="T181" i="21"/>
  <c r="O147" i="21"/>
  <c r="T147" i="21" s="1"/>
  <c r="O122" i="21"/>
  <c r="T122" i="21" s="1"/>
  <c r="O94" i="21"/>
  <c r="T94" i="21"/>
  <c r="O645" i="21"/>
  <c r="T645" i="21" s="1"/>
  <c r="O431" i="21"/>
  <c r="T431" i="21"/>
  <c r="O724" i="21"/>
  <c r="T724" i="21" s="1"/>
  <c r="O644" i="21"/>
  <c r="T644" i="21" s="1"/>
  <c r="O587" i="21"/>
  <c r="T587" i="21"/>
  <c r="O146" i="21"/>
  <c r="T146" i="21" s="1"/>
  <c r="O643" i="21"/>
  <c r="T643" i="21" s="1"/>
  <c r="O586" i="21"/>
  <c r="T586" i="21" s="1"/>
  <c r="O563" i="21"/>
  <c r="T563" i="21"/>
  <c r="O462" i="21"/>
  <c r="T462" i="21"/>
  <c r="O694" i="21"/>
  <c r="T694" i="21"/>
  <c r="O562" i="21"/>
  <c r="T562" i="21" s="1"/>
  <c r="O524" i="21"/>
  <c r="T524" i="21" s="1"/>
  <c r="O461" i="21"/>
  <c r="T461" i="21" s="1"/>
  <c r="O370" i="21"/>
  <c r="T370" i="21" s="1"/>
  <c r="O336" i="21"/>
  <c r="T336" i="21"/>
  <c r="O287" i="21"/>
  <c r="T287" i="21" s="1"/>
  <c r="O257" i="21"/>
  <c r="T257" i="21"/>
  <c r="O180" i="21"/>
  <c r="T180" i="21"/>
  <c r="O121" i="21"/>
  <c r="T121" i="21"/>
  <c r="O93" i="21"/>
  <c r="T93" i="21" s="1"/>
  <c r="O69" i="21"/>
  <c r="T69" i="21" s="1"/>
  <c r="O693" i="21"/>
  <c r="T693" i="21" s="1"/>
  <c r="O614" i="21"/>
  <c r="T614" i="21"/>
  <c r="O561" i="21"/>
  <c r="T561" i="21"/>
  <c r="O523" i="21"/>
  <c r="T523" i="21" s="1"/>
  <c r="O460" i="21"/>
  <c r="T460" i="21"/>
  <c r="O430" i="21"/>
  <c r="T430" i="21"/>
  <c r="O369" i="21"/>
  <c r="T369" i="21"/>
  <c r="O335" i="21"/>
  <c r="T335" i="21" s="1"/>
  <c r="O286" i="21"/>
  <c r="T286" i="21" s="1"/>
  <c r="O256" i="21"/>
  <c r="T256" i="21" s="1"/>
  <c r="O206" i="21"/>
  <c r="T206" i="21"/>
  <c r="O179" i="21"/>
  <c r="T179" i="21"/>
  <c r="O120" i="21"/>
  <c r="T120" i="21" s="1"/>
  <c r="O92" i="21"/>
  <c r="T92" i="21"/>
  <c r="O49" i="21"/>
  <c r="T49" i="21" s="1"/>
  <c r="O24" i="21"/>
  <c r="T24" i="21" s="1"/>
  <c r="O723" i="21"/>
  <c r="T723" i="21" s="1"/>
  <c r="O692" i="21"/>
  <c r="T692" i="21" s="1"/>
  <c r="O613" i="21"/>
  <c r="T613" i="21" s="1"/>
  <c r="O560" i="21"/>
  <c r="T560" i="21"/>
  <c r="O522" i="21"/>
  <c r="T522" i="21"/>
  <c r="O459" i="21"/>
  <c r="T459" i="21" s="1"/>
  <c r="O429" i="21"/>
  <c r="T429" i="21"/>
  <c r="O368" i="21"/>
  <c r="T368" i="21" s="1"/>
  <c r="O334" i="21"/>
  <c r="T334" i="21" s="1"/>
  <c r="O285" i="21"/>
  <c r="T285" i="21"/>
  <c r="O255" i="21"/>
  <c r="T255" i="21" s="1"/>
  <c r="O205" i="21"/>
  <c r="T205" i="21" s="1"/>
  <c r="O178" i="21"/>
  <c r="T178" i="21"/>
  <c r="O119" i="21"/>
  <c r="T119" i="21"/>
  <c r="O23" i="21"/>
  <c r="T23" i="21" s="1"/>
  <c r="O668" i="21"/>
  <c r="T668" i="21" s="1"/>
  <c r="O642" i="21"/>
  <c r="T642" i="21" s="1"/>
  <c r="O177" i="21"/>
  <c r="T177" i="21" s="1"/>
  <c r="O22" i="21"/>
  <c r="T22" i="21"/>
  <c r="O722" i="21"/>
  <c r="T722" i="21" s="1"/>
  <c r="O612" i="21"/>
  <c r="T612" i="21" s="1"/>
  <c r="O521" i="21"/>
  <c r="T521" i="21"/>
  <c r="O367" i="21"/>
  <c r="T367" i="21"/>
  <c r="O254" i="21"/>
  <c r="T254" i="21" s="1"/>
  <c r="O145" i="21"/>
  <c r="T145" i="21" s="1"/>
  <c r="O21" i="21"/>
  <c r="T21" i="21"/>
  <c r="O585" i="21"/>
  <c r="T585" i="21"/>
  <c r="O458" i="21"/>
  <c r="T458" i="21" s="1"/>
  <c r="O428" i="21"/>
  <c r="T428" i="21" s="1"/>
  <c r="O333" i="21"/>
  <c r="T333" i="21" s="1"/>
  <c r="O753" i="21"/>
  <c r="T753" i="21"/>
  <c r="O584" i="21"/>
  <c r="T584" i="21" s="1"/>
  <c r="O559" i="21"/>
  <c r="T559" i="21" s="1"/>
  <c r="O520" i="21"/>
  <c r="T520" i="21" s="1"/>
  <c r="O485" i="21"/>
  <c r="T485" i="21"/>
  <c r="O457" i="21"/>
  <c r="T457" i="21" s="1"/>
  <c r="O427" i="21"/>
  <c r="T427" i="21"/>
  <c r="O752" i="21"/>
  <c r="T752" i="21" s="1"/>
  <c r="O751" i="21"/>
  <c r="T751" i="21" s="1"/>
  <c r="O583" i="21"/>
  <c r="T583" i="21" s="1"/>
  <c r="O558" i="21"/>
  <c r="T558" i="21" s="1"/>
  <c r="O519" i="21"/>
  <c r="T519" i="21"/>
  <c r="O484" i="21"/>
  <c r="T484" i="21" s="1"/>
  <c r="O426" i="21"/>
  <c r="T426" i="21"/>
  <c r="O750" i="21"/>
  <c r="T750" i="21" s="1"/>
  <c r="O557" i="21"/>
  <c r="T557" i="21"/>
  <c r="O518" i="21"/>
  <c r="T518" i="21" s="1"/>
  <c r="O483" i="21"/>
  <c r="T483" i="21" s="1"/>
  <c r="O425" i="21"/>
  <c r="T425" i="21" s="1"/>
  <c r="O749" i="21"/>
  <c r="T749" i="21"/>
  <c r="O582" i="21"/>
  <c r="T582" i="21"/>
  <c r="O556" i="21"/>
  <c r="T556" i="21" s="1"/>
  <c r="O517" i="21"/>
  <c r="T517" i="21"/>
  <c r="O482" i="21"/>
  <c r="T482" i="21" s="1"/>
  <c r="O456" i="21"/>
  <c r="T456" i="21" s="1"/>
  <c r="O424" i="21"/>
  <c r="T424" i="21" s="1"/>
  <c r="O748" i="21"/>
  <c r="T748" i="21" s="1"/>
  <c r="O747" i="21"/>
  <c r="T747" i="21" s="1"/>
  <c r="O555" i="21"/>
  <c r="T555" i="21"/>
  <c r="O554" i="21"/>
  <c r="T554" i="21"/>
  <c r="O516" i="21"/>
  <c r="T516" i="21" s="1"/>
  <c r="O423" i="21"/>
  <c r="T423" i="21"/>
  <c r="O746" i="21"/>
  <c r="T746" i="21"/>
  <c r="O581" i="21"/>
  <c r="T581" i="21" s="1"/>
  <c r="O553" i="21"/>
  <c r="T553" i="21" s="1"/>
  <c r="O515" i="21"/>
  <c r="T515" i="21" s="1"/>
  <c r="O481" i="21"/>
  <c r="T481" i="21" s="1"/>
  <c r="O455" i="21"/>
  <c r="T455" i="21"/>
  <c r="O422" i="21"/>
  <c r="T422" i="21"/>
  <c r="O421" i="21"/>
  <c r="T421" i="21" s="1"/>
  <c r="O552" i="21"/>
  <c r="T552" i="21"/>
  <c r="O480" i="21"/>
  <c r="T480" i="21" s="1"/>
  <c r="O253" i="21"/>
  <c r="T253" i="21" s="1"/>
  <c r="O204" i="21"/>
  <c r="T204" i="21"/>
  <c r="O68" i="21"/>
  <c r="T68" i="21" s="1"/>
  <c r="O252" i="21"/>
  <c r="T252" i="21" s="1"/>
  <c r="O227" i="21"/>
  <c r="T227" i="21"/>
  <c r="O203" i="21"/>
  <c r="T203" i="21" s="1"/>
  <c r="O176" i="21"/>
  <c r="T176" i="21" s="1"/>
  <c r="O144" i="21"/>
  <c r="T144" i="21" s="1"/>
  <c r="O118" i="21"/>
  <c r="T118" i="21" s="1"/>
  <c r="O91" i="21"/>
  <c r="T91" i="21"/>
  <c r="O67" i="21"/>
  <c r="T67" i="21" s="1"/>
  <c r="O48" i="21"/>
  <c r="T48" i="21" s="1"/>
  <c r="O20" i="21"/>
  <c r="T20" i="21" s="1"/>
  <c r="O691" i="21"/>
  <c r="T691" i="21"/>
  <c r="O667" i="21"/>
  <c r="T667" i="21" s="1"/>
  <c r="O641" i="21"/>
  <c r="T641" i="21" s="1"/>
  <c r="O611" i="21"/>
  <c r="T611" i="21" s="1"/>
  <c r="O580" i="21"/>
  <c r="T580" i="21"/>
  <c r="O551" i="21"/>
  <c r="T551" i="21"/>
  <c r="O514" i="21"/>
  <c r="T514" i="21"/>
  <c r="O479" i="21"/>
  <c r="T479" i="21" s="1"/>
  <c r="O454" i="21"/>
  <c r="T454" i="21" s="1"/>
  <c r="O420" i="21"/>
  <c r="T420" i="21"/>
  <c r="O394" i="21"/>
  <c r="T394" i="21" s="1"/>
  <c r="O366" i="21"/>
  <c r="T366" i="21" s="1"/>
  <c r="O332" i="21"/>
  <c r="T332" i="21" s="1"/>
  <c r="O308" i="21"/>
  <c r="T308" i="21"/>
  <c r="O284" i="21"/>
  <c r="T284" i="21" s="1"/>
  <c r="O251" i="21"/>
  <c r="T251" i="21" s="1"/>
  <c r="O721" i="21"/>
  <c r="T721" i="21" s="1"/>
  <c r="O690" i="21"/>
  <c r="T690" i="21" s="1"/>
  <c r="O666" i="21"/>
  <c r="T666" i="21" s="1"/>
  <c r="O640" i="21"/>
  <c r="T640" i="21" s="1"/>
  <c r="O579" i="21"/>
  <c r="T579" i="21"/>
  <c r="O550" i="21"/>
  <c r="T550" i="21" s="1"/>
  <c r="O513" i="21"/>
  <c r="T513" i="21"/>
  <c r="O478" i="21"/>
  <c r="T478" i="21" s="1"/>
  <c r="O453" i="21"/>
  <c r="T453" i="21" s="1"/>
  <c r="O419" i="21"/>
  <c r="T419" i="21" s="1"/>
  <c r="O393" i="21"/>
  <c r="T393" i="21" s="1"/>
  <c r="O365" i="21"/>
  <c r="T365" i="21" s="1"/>
  <c r="O307" i="21"/>
  <c r="T307" i="21"/>
  <c r="O283" i="21"/>
  <c r="T283" i="21"/>
  <c r="O250" i="21"/>
  <c r="T250" i="21" s="1"/>
  <c r="O226" i="21"/>
  <c r="T226" i="21"/>
  <c r="O202" i="21"/>
  <c r="T202" i="21"/>
  <c r="O175" i="21"/>
  <c r="T175" i="21" s="1"/>
  <c r="O143" i="21"/>
  <c r="T143" i="21" s="1"/>
  <c r="O90" i="21"/>
  <c r="T90" i="21" s="1"/>
  <c r="O47" i="21"/>
  <c r="T47" i="21" s="1"/>
  <c r="O19" i="21"/>
  <c r="T19" i="21" s="1"/>
  <c r="O117" i="21"/>
  <c r="T117" i="21"/>
  <c r="O89" i="21"/>
  <c r="T89" i="21" s="1"/>
  <c r="O720" i="21"/>
  <c r="T720" i="21"/>
  <c r="O639" i="21"/>
  <c r="T639" i="21"/>
  <c r="O142" i="21"/>
  <c r="T142" i="21" s="1"/>
  <c r="O719" i="21"/>
  <c r="T719" i="21" s="1"/>
  <c r="O418" i="21"/>
  <c r="T418" i="21" s="1"/>
  <c r="O364" i="21"/>
  <c r="T364" i="21" s="1"/>
  <c r="O46" i="21"/>
  <c r="T46" i="21" s="1"/>
  <c r="O718" i="21"/>
  <c r="T718" i="21" s="1"/>
  <c r="O45" i="21"/>
  <c r="T45" i="21" s="1"/>
  <c r="O717" i="21"/>
  <c r="T717" i="21"/>
  <c r="O512" i="21"/>
  <c r="T512" i="21" s="1"/>
  <c r="O363" i="21"/>
  <c r="T363" i="21" s="1"/>
  <c r="O638" i="21"/>
  <c r="T638" i="21"/>
  <c r="O637" i="21"/>
  <c r="T637" i="21" s="1"/>
  <c r="O417" i="21"/>
  <c r="T417" i="21" s="1"/>
  <c r="O249" i="21"/>
  <c r="T249" i="21" s="1"/>
  <c r="O745" i="21"/>
  <c r="T745" i="21"/>
  <c r="O362" i="21"/>
  <c r="T362" i="21" s="1"/>
  <c r="O174" i="21"/>
  <c r="T174" i="21" s="1"/>
  <c r="O744" i="21"/>
  <c r="T744" i="21" s="1"/>
  <c r="O282" i="21"/>
  <c r="T282" i="21" s="1"/>
  <c r="O665" i="21"/>
  <c r="T665" i="21" s="1"/>
  <c r="O452" i="21"/>
  <c r="T452" i="21" s="1"/>
  <c r="O18" i="21"/>
  <c r="T18" i="21" s="1"/>
  <c r="O689" i="21"/>
  <c r="T689" i="21" s="1"/>
  <c r="O511" i="21"/>
  <c r="T511" i="21" s="1"/>
  <c r="O451" i="21"/>
  <c r="T451" i="21" s="1"/>
  <c r="O331" i="21"/>
  <c r="T331" i="21" s="1"/>
  <c r="O66" i="21"/>
  <c r="T66" i="21"/>
  <c r="O549" i="21"/>
  <c r="T549" i="21" s="1"/>
  <c r="O510" i="21"/>
  <c r="T510" i="21" s="1"/>
  <c r="O477" i="21"/>
  <c r="T477" i="21" s="1"/>
  <c r="O450" i="21"/>
  <c r="T450" i="21" s="1"/>
  <c r="O416" i="21"/>
  <c r="T416" i="21" s="1"/>
  <c r="O392" i="21"/>
  <c r="T392" i="21" s="1"/>
  <c r="O361" i="21"/>
  <c r="T361" i="21" s="1"/>
  <c r="O281" i="21"/>
  <c r="T281" i="21" s="1"/>
  <c r="O248" i="21"/>
  <c r="T248" i="21"/>
  <c r="O201" i="21"/>
  <c r="T201" i="21"/>
  <c r="O173" i="21"/>
  <c r="T173" i="21"/>
  <c r="O116" i="21"/>
  <c r="T116" i="21" s="1"/>
  <c r="O88" i="21"/>
  <c r="T88" i="21" s="1"/>
  <c r="O44" i="21"/>
  <c r="T44" i="21" s="1"/>
  <c r="O716" i="21"/>
  <c r="T716" i="21" s="1"/>
  <c r="O688" i="21"/>
  <c r="T688" i="21"/>
  <c r="O509" i="21"/>
  <c r="T509" i="21" s="1"/>
  <c r="O330" i="21"/>
  <c r="T330" i="21"/>
  <c r="O280" i="21"/>
  <c r="T280" i="21"/>
  <c r="O172" i="21"/>
  <c r="T172" i="21"/>
  <c r="O115" i="21"/>
  <c r="T115" i="21" s="1"/>
  <c r="O17" i="21"/>
  <c r="T17" i="21" s="1"/>
  <c r="O743" i="21"/>
  <c r="T743" i="21" s="1"/>
  <c r="O715" i="21"/>
  <c r="T715" i="21" s="1"/>
  <c r="O687" i="21"/>
  <c r="T687" i="21"/>
  <c r="O664" i="21"/>
  <c r="T664" i="21" s="1"/>
  <c r="O636" i="21"/>
  <c r="T636" i="21"/>
  <c r="O610" i="21"/>
  <c r="T610" i="21"/>
  <c r="O578" i="21"/>
  <c r="T578" i="21"/>
  <c r="O548" i="21"/>
  <c r="T548" i="21" s="1"/>
  <c r="O508" i="21"/>
  <c r="T508" i="21" s="1"/>
  <c r="O476" i="21"/>
  <c r="T476" i="21" s="1"/>
  <c r="O449" i="21"/>
  <c r="T449" i="21" s="1"/>
  <c r="O415" i="21"/>
  <c r="T415" i="21"/>
  <c r="O391" i="21"/>
  <c r="T391" i="21" s="1"/>
  <c r="O360" i="21"/>
  <c r="T360" i="21"/>
  <c r="O329" i="21"/>
  <c r="T329" i="21" s="1"/>
  <c r="O306" i="21"/>
  <c r="T306" i="21" s="1"/>
  <c r="O279" i="21"/>
  <c r="T279" i="21" s="1"/>
  <c r="O247" i="21"/>
  <c r="T247" i="21" s="1"/>
  <c r="O225" i="21"/>
  <c r="T225" i="21" s="1"/>
  <c r="O200" i="21"/>
  <c r="T200" i="21" s="1"/>
  <c r="O171" i="21"/>
  <c r="T171" i="21" s="1"/>
  <c r="O141" i="21"/>
  <c r="T141" i="21" s="1"/>
  <c r="O114" i="21"/>
  <c r="T114" i="21"/>
  <c r="O87" i="21"/>
  <c r="T87" i="21" s="1"/>
  <c r="O65" i="21"/>
  <c r="T65" i="21" s="1"/>
  <c r="O43" i="21"/>
  <c r="T43" i="21"/>
  <c r="O742" i="21"/>
  <c r="T742" i="21" s="1"/>
  <c r="O714" i="21"/>
  <c r="T714" i="21" s="1"/>
  <c r="O686" i="21"/>
  <c r="T686" i="21" s="1"/>
  <c r="O663" i="21"/>
  <c r="T663" i="21"/>
  <c r="O635" i="21"/>
  <c r="T635" i="21" s="1"/>
  <c r="O609" i="21"/>
  <c r="T609" i="21" s="1"/>
  <c r="O577" i="21"/>
  <c r="T577" i="21" s="1"/>
  <c r="O547" i="21"/>
  <c r="T547" i="21"/>
  <c r="O414" i="21"/>
  <c r="T414" i="21"/>
  <c r="O390" i="21"/>
  <c r="T390" i="21" s="1"/>
  <c r="O359" i="21"/>
  <c r="T359" i="21" s="1"/>
  <c r="O224" i="21"/>
  <c r="T224" i="21" s="1"/>
  <c r="O199" i="21"/>
  <c r="T199" i="21" s="1"/>
  <c r="O170" i="21"/>
  <c r="T170" i="21" s="1"/>
  <c r="O741" i="21"/>
  <c r="T741" i="21" s="1"/>
  <c r="O685" i="21"/>
  <c r="T685" i="21"/>
  <c r="O662" i="21"/>
  <c r="T662" i="21"/>
  <c r="O634" i="21"/>
  <c r="T634" i="21" s="1"/>
  <c r="O608" i="21"/>
  <c r="T608" i="21" s="1"/>
  <c r="O546" i="21"/>
  <c r="T546" i="21" s="1"/>
  <c r="O507" i="21"/>
  <c r="T507" i="21" s="1"/>
  <c r="O475" i="21"/>
  <c r="T475" i="21" s="1"/>
  <c r="O448" i="21"/>
  <c r="T448" i="21" s="1"/>
  <c r="O413" i="21"/>
  <c r="T413" i="21" s="1"/>
  <c r="O389" i="21"/>
  <c r="T389" i="21"/>
  <c r="O358" i="21"/>
  <c r="T358" i="21"/>
  <c r="O328" i="21"/>
  <c r="T328" i="21"/>
  <c r="O305" i="21"/>
  <c r="T305" i="21" s="1"/>
  <c r="O278" i="21"/>
  <c r="T278" i="21" s="1"/>
  <c r="O246" i="21"/>
  <c r="T246" i="21" s="1"/>
  <c r="O223" i="21"/>
  <c r="T223" i="21" s="1"/>
  <c r="O198" i="21"/>
  <c r="T198" i="21"/>
  <c r="O169" i="21"/>
  <c r="T169" i="21" s="1"/>
  <c r="O140" i="21"/>
  <c r="T140" i="21"/>
  <c r="O113" i="21"/>
  <c r="T113" i="21"/>
  <c r="O86" i="21"/>
  <c r="T86" i="21" s="1"/>
  <c r="O64" i="21"/>
  <c r="T64" i="21" s="1"/>
  <c r="O42" i="21"/>
  <c r="T42" i="21" s="1"/>
  <c r="O16" i="21"/>
  <c r="T16" i="21" s="1"/>
  <c r="O740" i="21"/>
  <c r="T740" i="21" s="1"/>
  <c r="O713" i="21"/>
  <c r="T713" i="21"/>
  <c r="O684" i="21"/>
  <c r="T684" i="21" s="1"/>
  <c r="O661" i="21"/>
  <c r="T661" i="21"/>
  <c r="O633" i="21"/>
  <c r="T633" i="21"/>
  <c r="O607" i="21"/>
  <c r="T607" i="21" s="1"/>
  <c r="O576" i="21"/>
  <c r="T576" i="21" s="1"/>
  <c r="O545" i="21"/>
  <c r="T545" i="21" s="1"/>
  <c r="O506" i="21"/>
  <c r="T506" i="21" s="1"/>
  <c r="O474" i="21"/>
  <c r="T474" i="21" s="1"/>
  <c r="O447" i="21"/>
  <c r="T447" i="21"/>
  <c r="O412" i="21"/>
  <c r="T412" i="21" s="1"/>
  <c r="O388" i="21"/>
  <c r="T388" i="21"/>
  <c r="O357" i="21"/>
  <c r="T357" i="21"/>
  <c r="O327" i="21"/>
  <c r="T327" i="21" s="1"/>
  <c r="O304" i="21"/>
  <c r="T304" i="21" s="1"/>
  <c r="O277" i="21"/>
  <c r="T277" i="21" s="1"/>
  <c r="O245" i="21"/>
  <c r="T245" i="21" s="1"/>
  <c r="O222" i="21"/>
  <c r="T222" i="21" s="1"/>
  <c r="O197" i="21"/>
  <c r="T197" i="21" s="1"/>
  <c r="O168" i="21"/>
  <c r="T168" i="21" s="1"/>
  <c r="O139" i="21"/>
  <c r="T139" i="21"/>
  <c r="O112" i="21"/>
  <c r="T112" i="21" s="1"/>
  <c r="O85" i="21"/>
  <c r="T85" i="21" s="1"/>
  <c r="O63" i="21"/>
  <c r="T63" i="21"/>
  <c r="O41" i="21"/>
  <c r="T41" i="21" s="1"/>
  <c r="O15" i="21"/>
  <c r="T15" i="21" s="1"/>
  <c r="O606" i="21"/>
  <c r="T606" i="21" s="1"/>
  <c r="O544" i="21"/>
  <c r="T544" i="21"/>
  <c r="O326" i="21"/>
  <c r="T326" i="21" s="1"/>
  <c r="O303" i="21"/>
  <c r="T303" i="21" s="1"/>
  <c r="O167" i="21"/>
  <c r="T167" i="21" s="1"/>
  <c r="O138" i="21"/>
  <c r="T138" i="21" s="1"/>
  <c r="O84" i="21"/>
  <c r="T84" i="21"/>
  <c r="O14" i="21"/>
  <c r="T14" i="21" s="1"/>
  <c r="O739" i="21"/>
  <c r="T739" i="21" s="1"/>
  <c r="O712" i="21"/>
  <c r="T712" i="21" s="1"/>
  <c r="O660" i="21"/>
  <c r="T660" i="21" s="1"/>
  <c r="O632" i="21"/>
  <c r="T632" i="21" s="1"/>
  <c r="O605" i="21"/>
  <c r="T605" i="21" s="1"/>
  <c r="O575" i="21"/>
  <c r="T575" i="21"/>
  <c r="O543" i="21"/>
  <c r="T543" i="21" s="1"/>
  <c r="O411" i="21"/>
  <c r="T411" i="21" s="1"/>
  <c r="O387" i="21"/>
  <c r="T387" i="21" s="1"/>
  <c r="O356" i="21"/>
  <c r="T356" i="21" s="1"/>
  <c r="O302" i="21"/>
  <c r="T302" i="21" s="1"/>
  <c r="O221" i="21"/>
  <c r="T221" i="21" s="1"/>
  <c r="O196" i="21"/>
  <c r="T196" i="21" s="1"/>
  <c r="O166" i="21"/>
  <c r="T166" i="21" s="1"/>
  <c r="O137" i="21"/>
  <c r="T137" i="21"/>
  <c r="O738" i="21"/>
  <c r="T738" i="21"/>
  <c r="O711" i="21"/>
  <c r="T711" i="21"/>
  <c r="O659" i="21"/>
  <c r="T659" i="21" s="1"/>
  <c r="O604" i="21"/>
  <c r="T604" i="21" s="1"/>
  <c r="O574" i="21"/>
  <c r="T574" i="21" s="1"/>
  <c r="O542" i="21"/>
  <c r="T542" i="21" s="1"/>
  <c r="O505" i="21"/>
  <c r="T505" i="21"/>
  <c r="O410" i="21"/>
  <c r="T410" i="21" s="1"/>
  <c r="O220" i="21"/>
  <c r="T220" i="21"/>
  <c r="O195" i="21"/>
  <c r="T195" i="21"/>
  <c r="P386" i="21"/>
  <c r="U386" i="21"/>
  <c r="O386" i="21"/>
  <c r="T386" i="21" s="1"/>
  <c r="P301" i="21"/>
  <c r="U301" i="21" s="1"/>
  <c r="O301" i="21"/>
  <c r="T301" i="21" s="1"/>
  <c r="O710" i="21"/>
  <c r="T710" i="21" s="1"/>
  <c r="O683" i="21"/>
  <c r="T683" i="21"/>
  <c r="O504" i="21"/>
  <c r="T504" i="21" s="1"/>
  <c r="O325" i="21"/>
  <c r="T325" i="21"/>
  <c r="O276" i="21"/>
  <c r="T276" i="21"/>
  <c r="O165" i="21"/>
  <c r="T165" i="21"/>
  <c r="O111" i="21"/>
  <c r="T111" i="21" s="1"/>
  <c r="O737" i="21"/>
  <c r="T737" i="21" s="1"/>
  <c r="O658" i="21"/>
  <c r="T658" i="21" s="1"/>
  <c r="O631" i="21"/>
  <c r="T631" i="21" s="1"/>
  <c r="O736" i="21"/>
  <c r="T736" i="21"/>
  <c r="O709" i="21"/>
  <c r="T709" i="21" s="1"/>
  <c r="O682" i="21"/>
  <c r="T682" i="21"/>
  <c r="O657" i="21"/>
  <c r="T657" i="21" s="1"/>
  <c r="O630" i="21"/>
  <c r="T630" i="21" s="1"/>
  <c r="O603" i="21"/>
  <c r="T603" i="21" s="1"/>
  <c r="O573" i="21"/>
  <c r="T573" i="21" s="1"/>
  <c r="O541" i="21"/>
  <c r="T541" i="21" s="1"/>
  <c r="O503" i="21"/>
  <c r="T503" i="21" s="1"/>
  <c r="O473" i="21"/>
  <c r="T473" i="21" s="1"/>
  <c r="O446" i="21"/>
  <c r="T446" i="21" s="1"/>
  <c r="O409" i="21"/>
  <c r="T409" i="21"/>
  <c r="O385" i="21"/>
  <c r="T385" i="21" s="1"/>
  <c r="O355" i="21"/>
  <c r="T355" i="21" s="1"/>
  <c r="O324" i="21"/>
  <c r="T324" i="21"/>
  <c r="O300" i="21"/>
  <c r="T300" i="21" s="1"/>
  <c r="O275" i="21"/>
  <c r="T275" i="21" s="1"/>
  <c r="O244" i="21"/>
  <c r="T244" i="21" s="1"/>
  <c r="O219" i="21"/>
  <c r="T219" i="21"/>
  <c r="O194" i="21"/>
  <c r="T194" i="21" s="1"/>
  <c r="O164" i="21"/>
  <c r="T164" i="21" s="1"/>
  <c r="O136" i="21"/>
  <c r="T136" i="21" s="1"/>
  <c r="O110" i="21"/>
  <c r="T110" i="21"/>
  <c r="O83" i="21"/>
  <c r="T83" i="21"/>
  <c r="O62" i="21"/>
  <c r="T62" i="21" s="1"/>
  <c r="O40" i="21"/>
  <c r="T40" i="21" s="1"/>
  <c r="O735" i="21"/>
  <c r="T735" i="21" s="1"/>
  <c r="O708" i="21"/>
  <c r="T708" i="21" s="1"/>
  <c r="O681" i="21"/>
  <c r="T681" i="21" s="1"/>
  <c r="O656" i="21"/>
  <c r="T656" i="21" s="1"/>
  <c r="O629" i="21"/>
  <c r="T629" i="21"/>
  <c r="O602" i="21"/>
  <c r="T602" i="21"/>
  <c r="O572" i="21"/>
  <c r="T572" i="21" s="1"/>
  <c r="O540" i="21"/>
  <c r="T540" i="21" s="1"/>
  <c r="O502" i="21"/>
  <c r="T502" i="21" s="1"/>
  <c r="O472" i="21"/>
  <c r="T472" i="21" s="1"/>
  <c r="O445" i="21"/>
  <c r="T445" i="21" s="1"/>
  <c r="O408" i="21"/>
  <c r="T408" i="21" s="1"/>
  <c r="O384" i="21"/>
  <c r="T384" i="21" s="1"/>
  <c r="O354" i="21"/>
  <c r="T354" i="21"/>
  <c r="O323" i="21"/>
  <c r="T323" i="21"/>
  <c r="O299" i="21"/>
  <c r="T299" i="21"/>
  <c r="O274" i="21"/>
  <c r="T274" i="21" s="1"/>
  <c r="O243" i="21"/>
  <c r="T243" i="21" s="1"/>
  <c r="O218" i="21"/>
  <c r="T218" i="21" s="1"/>
  <c r="O193" i="21"/>
  <c r="T193" i="21" s="1"/>
  <c r="O163" i="21"/>
  <c r="T163" i="21"/>
  <c r="O135" i="21"/>
  <c r="T135" i="21" s="1"/>
  <c r="O109" i="21"/>
  <c r="T109" i="21"/>
  <c r="O82" i="21"/>
  <c r="T82" i="21"/>
  <c r="O61" i="21"/>
  <c r="T61" i="21" s="1"/>
  <c r="O39" i="21"/>
  <c r="T39" i="21" s="1"/>
  <c r="O734" i="21"/>
  <c r="T734" i="21" s="1"/>
  <c r="O680" i="21"/>
  <c r="T680" i="21" s="1"/>
  <c r="O655" i="21"/>
  <c r="T655" i="21" s="1"/>
  <c r="O628" i="21"/>
  <c r="T628" i="21"/>
  <c r="O601" i="21"/>
  <c r="T601" i="21" s="1"/>
  <c r="O539" i="21"/>
  <c r="T539" i="21"/>
  <c r="O444" i="21"/>
  <c r="T444" i="21"/>
  <c r="O407" i="21"/>
  <c r="T407" i="21" s="1"/>
  <c r="O383" i="21"/>
  <c r="T383" i="21" s="1"/>
  <c r="O353" i="21"/>
  <c r="T353" i="21" s="1"/>
  <c r="O298" i="21"/>
  <c r="T298" i="21" s="1"/>
  <c r="O273" i="21"/>
  <c r="T273" i="21" s="1"/>
  <c r="O242" i="21"/>
  <c r="T242" i="21"/>
  <c r="O217" i="21"/>
  <c r="T217" i="21" s="1"/>
  <c r="O162" i="21"/>
  <c r="T162" i="21"/>
  <c r="O134" i="21"/>
  <c r="T134" i="21"/>
  <c r="O60" i="21"/>
  <c r="T60" i="21" s="1"/>
  <c r="O38" i="21"/>
  <c r="T38" i="21" s="1"/>
  <c r="O733" i="21"/>
  <c r="T733" i="21" s="1"/>
  <c r="O707" i="21"/>
  <c r="T707" i="21" s="1"/>
  <c r="O679" i="21"/>
  <c r="T679" i="21" s="1"/>
  <c r="O654" i="21"/>
  <c r="T654" i="21" s="1"/>
  <c r="O627" i="21"/>
  <c r="T627" i="21" s="1"/>
  <c r="O600" i="21"/>
  <c r="T600" i="21"/>
  <c r="O571" i="21"/>
  <c r="T571" i="21" s="1"/>
  <c r="O538" i="21"/>
  <c r="T538" i="21" s="1"/>
  <c r="O501" i="21"/>
  <c r="T501" i="21"/>
  <c r="O443" i="21"/>
  <c r="T443" i="21" s="1"/>
  <c r="O406" i="21"/>
  <c r="T406" i="21" s="1"/>
  <c r="O382" i="21"/>
  <c r="T382" i="21" s="1"/>
  <c r="O352" i="21"/>
  <c r="T352" i="21"/>
  <c r="O322" i="21"/>
  <c r="T322" i="21" s="1"/>
  <c r="O297" i="21"/>
  <c r="T297" i="21" s="1"/>
  <c r="O272" i="21"/>
  <c r="T272" i="21" s="1"/>
  <c r="O241" i="21"/>
  <c r="T241" i="21" s="1"/>
  <c r="O192" i="21"/>
  <c r="T192" i="21"/>
  <c r="O161" i="21"/>
  <c r="T161" i="21" s="1"/>
  <c r="O133" i="21"/>
  <c r="T133" i="21" s="1"/>
  <c r="O108" i="21"/>
  <c r="T108" i="21" s="1"/>
  <c r="O81" i="21"/>
  <c r="T81" i="21" s="1"/>
  <c r="O59" i="21"/>
  <c r="T59" i="21" s="1"/>
  <c r="O37" i="21"/>
  <c r="T37" i="21" s="1"/>
  <c r="O732" i="21"/>
  <c r="T732" i="21"/>
  <c r="O706" i="21"/>
  <c r="T706" i="21" s="1"/>
  <c r="O678" i="21"/>
  <c r="T678" i="21" s="1"/>
  <c r="O653" i="21"/>
  <c r="T653" i="21" s="1"/>
  <c r="O626" i="21"/>
  <c r="T626" i="21" s="1"/>
  <c r="O599" i="21"/>
  <c r="T599" i="21" s="1"/>
  <c r="O570" i="21"/>
  <c r="T570" i="21" s="1"/>
  <c r="O537" i="21"/>
  <c r="T537" i="21" s="1"/>
  <c r="O500" i="21"/>
  <c r="T500" i="21" s="1"/>
  <c r="O471" i="21"/>
  <c r="T471" i="21"/>
  <c r="O442" i="21"/>
  <c r="T442" i="21"/>
  <c r="O405" i="21"/>
  <c r="T405" i="21"/>
  <c r="O381" i="21"/>
  <c r="T381" i="21" s="1"/>
  <c r="O351" i="21"/>
  <c r="T351" i="21" s="1"/>
  <c r="O321" i="21"/>
  <c r="T321" i="21" s="1"/>
  <c r="O296" i="21"/>
  <c r="T296" i="21" s="1"/>
  <c r="O271" i="21"/>
  <c r="T271" i="21" s="1"/>
  <c r="O240" i="21"/>
  <c r="T240" i="21" s="1"/>
  <c r="O216" i="21"/>
  <c r="T216" i="21"/>
  <c r="O191" i="21"/>
  <c r="T191" i="21"/>
  <c r="O160" i="21"/>
  <c r="T160" i="21"/>
  <c r="O132" i="21"/>
  <c r="T132" i="21" s="1"/>
  <c r="O107" i="21"/>
  <c r="T107" i="21" s="1"/>
  <c r="O80" i="21"/>
  <c r="T80" i="21" s="1"/>
  <c r="O58" i="21"/>
  <c r="T58" i="21" s="1"/>
  <c r="O36" i="21"/>
  <c r="T36" i="21"/>
  <c r="O731" i="21"/>
  <c r="T731" i="21" s="1"/>
  <c r="O705" i="21"/>
  <c r="T705" i="21"/>
  <c r="O677" i="21"/>
  <c r="T677" i="21"/>
  <c r="O652" i="21"/>
  <c r="T652" i="21"/>
  <c r="O625" i="21"/>
  <c r="T625" i="21" s="1"/>
  <c r="O598" i="21"/>
  <c r="T598" i="21" s="1"/>
  <c r="O569" i="21"/>
  <c r="T569" i="21" s="1"/>
  <c r="O536" i="21"/>
  <c r="T536" i="21" s="1"/>
  <c r="O499" i="21"/>
  <c r="T499" i="21"/>
  <c r="O470" i="21"/>
  <c r="T470" i="21" s="1"/>
  <c r="O441" i="21"/>
  <c r="T441" i="21"/>
  <c r="O404" i="21"/>
  <c r="T404" i="21" s="1"/>
  <c r="O380" i="21"/>
  <c r="T380" i="21" s="1"/>
  <c r="O350" i="21"/>
  <c r="T350" i="21" s="1"/>
  <c r="O320" i="21"/>
  <c r="T320" i="21" s="1"/>
  <c r="O295" i="21"/>
  <c r="T295" i="21" s="1"/>
  <c r="O270" i="21"/>
  <c r="T270" i="21" s="1"/>
  <c r="O239" i="21"/>
  <c r="T239" i="21" s="1"/>
  <c r="O215" i="21"/>
  <c r="T215" i="21" s="1"/>
  <c r="O190" i="21"/>
  <c r="T190" i="21"/>
  <c r="O159" i="21"/>
  <c r="T159" i="21" s="1"/>
  <c r="O131" i="21"/>
  <c r="T131" i="21" s="1"/>
  <c r="O106" i="21"/>
  <c r="T106" i="21"/>
  <c r="O79" i="21"/>
  <c r="T79" i="21" s="1"/>
  <c r="O57" i="21"/>
  <c r="T57" i="21" s="1"/>
  <c r="O35" i="21"/>
  <c r="T35" i="21" s="1"/>
  <c r="O13" i="21"/>
  <c r="T13" i="21"/>
  <c r="O730" i="21"/>
  <c r="T730" i="21" s="1"/>
  <c r="O704" i="21"/>
  <c r="T704" i="21" s="1"/>
  <c r="O676" i="21"/>
  <c r="T676" i="21" s="1"/>
  <c r="O651" i="21"/>
  <c r="T651" i="21"/>
  <c r="O624" i="21"/>
  <c r="T624" i="21"/>
  <c r="O597" i="21"/>
  <c r="T597" i="21" s="1"/>
  <c r="O535" i="21"/>
  <c r="T535" i="21" s="1"/>
  <c r="O498" i="21"/>
  <c r="T498" i="21" s="1"/>
  <c r="O469" i="21"/>
  <c r="T469" i="21" s="1"/>
  <c r="O440" i="21"/>
  <c r="T440" i="21" s="1"/>
  <c r="O379" i="21"/>
  <c r="T379" i="21" s="1"/>
  <c r="O349" i="21"/>
  <c r="T349" i="21"/>
  <c r="O319" i="21"/>
  <c r="T319" i="21"/>
  <c r="O269" i="21"/>
  <c r="T269" i="21" s="1"/>
  <c r="O238" i="21"/>
  <c r="T238" i="21" s="1"/>
  <c r="O214" i="21"/>
  <c r="T214" i="21" s="1"/>
  <c r="O158" i="21"/>
  <c r="T158" i="21" s="1"/>
  <c r="O130" i="21"/>
  <c r="T130" i="21" s="1"/>
  <c r="O105" i="21"/>
  <c r="T105" i="21" s="1"/>
  <c r="O78" i="21"/>
  <c r="T78" i="21" s="1"/>
  <c r="O56" i="21"/>
  <c r="T56" i="21"/>
  <c r="O34" i="21"/>
  <c r="T34" i="21" s="1"/>
  <c r="O703" i="21"/>
  <c r="T703" i="21"/>
  <c r="O675" i="21"/>
  <c r="T675" i="21" s="1"/>
  <c r="O497" i="21"/>
  <c r="T497" i="21" s="1"/>
  <c r="O318" i="21"/>
  <c r="T318" i="21" s="1"/>
  <c r="O268" i="21"/>
  <c r="T268" i="21" s="1"/>
  <c r="O157" i="21"/>
  <c r="T157" i="21"/>
  <c r="O104" i="21"/>
  <c r="T104" i="21" s="1"/>
  <c r="O12" i="21"/>
  <c r="T12" i="21"/>
  <c r="O729" i="21"/>
  <c r="T729" i="21"/>
  <c r="O702" i="21"/>
  <c r="T702" i="21" s="1"/>
  <c r="O674" i="21"/>
  <c r="T674" i="21" s="1"/>
  <c r="O650" i="21"/>
  <c r="T650" i="21" s="1"/>
  <c r="O623" i="21"/>
  <c r="T623" i="21" s="1"/>
  <c r="O596" i="21"/>
  <c r="T596" i="21" s="1"/>
  <c r="O568" i="21"/>
  <c r="T568" i="21"/>
  <c r="O534" i="21"/>
  <c r="T534" i="21" s="1"/>
  <c r="O496" i="21"/>
  <c r="T496" i="21"/>
  <c r="O468" i="21"/>
  <c r="T468" i="21"/>
  <c r="O439" i="21"/>
  <c r="T439" i="21" s="1"/>
  <c r="O403" i="21"/>
  <c r="T403" i="21" s="1"/>
  <c r="O378" i="21"/>
  <c r="T378" i="21" s="1"/>
  <c r="O348" i="21"/>
  <c r="T348" i="21" s="1"/>
  <c r="O317" i="21"/>
  <c r="T317" i="21" s="1"/>
  <c r="O294" i="21"/>
  <c r="T294" i="21"/>
  <c r="O267" i="21"/>
  <c r="T267" i="21" s="1"/>
  <c r="O237" i="21"/>
  <c r="T237" i="21"/>
  <c r="O213" i="21"/>
  <c r="T213" i="21"/>
  <c r="O189" i="21"/>
  <c r="T189" i="21" s="1"/>
  <c r="O156" i="21"/>
  <c r="T156" i="21" s="1"/>
  <c r="O129" i="21"/>
  <c r="T129" i="21" s="1"/>
  <c r="O103" i="21"/>
  <c r="T103" i="21" s="1"/>
  <c r="O77" i="21"/>
  <c r="T77" i="21" s="1"/>
  <c r="O55" i="21"/>
  <c r="T55" i="21" s="1"/>
  <c r="O33" i="21"/>
  <c r="T33" i="21" s="1"/>
  <c r="O728" i="21"/>
  <c r="T728" i="21"/>
  <c r="O701" i="21"/>
  <c r="T701" i="21" s="1"/>
  <c r="O649" i="21"/>
  <c r="T649" i="21" s="1"/>
  <c r="O212" i="21"/>
  <c r="T212" i="21"/>
  <c r="O54" i="21"/>
  <c r="T54" i="21" s="1"/>
  <c r="O700" i="21"/>
  <c r="T700" i="21" s="1"/>
  <c r="O673" i="21"/>
  <c r="T673" i="21" s="1"/>
  <c r="O622" i="21"/>
  <c r="T622" i="21"/>
  <c r="O595" i="21"/>
  <c r="T595" i="21" s="1"/>
  <c r="O533" i="21"/>
  <c r="T533" i="21" s="1"/>
  <c r="O495" i="21"/>
  <c r="T495" i="21" s="1"/>
  <c r="O402" i="21"/>
  <c r="T402" i="21" s="1"/>
  <c r="O347" i="21"/>
  <c r="T347" i="21"/>
  <c r="O316" i="21"/>
  <c r="T316" i="21" s="1"/>
  <c r="O266" i="21"/>
  <c r="T266" i="21" s="1"/>
  <c r="O236" i="21"/>
  <c r="T236" i="21" s="1"/>
  <c r="O188" i="21"/>
  <c r="T188" i="21" s="1"/>
  <c r="O155" i="21"/>
  <c r="T155" i="21" s="1"/>
  <c r="O102" i="21"/>
  <c r="T102" i="21" s="1"/>
  <c r="O76" i="21"/>
  <c r="T76" i="21"/>
  <c r="O32" i="21"/>
  <c r="T32" i="21" s="1"/>
  <c r="O11" i="21"/>
  <c r="T11" i="21" s="1"/>
  <c r="O594" i="21"/>
  <c r="T594" i="21" s="1"/>
  <c r="O494" i="21"/>
  <c r="T494" i="21" s="1"/>
  <c r="O346" i="21"/>
  <c r="T346" i="21" s="1"/>
  <c r="O235" i="21"/>
  <c r="T235" i="21"/>
  <c r="O128" i="21"/>
  <c r="T128" i="21" s="1"/>
  <c r="O10" i="21"/>
  <c r="T10" i="21" s="1"/>
  <c r="O699" i="21"/>
  <c r="T699" i="21"/>
  <c r="O672" i="21"/>
  <c r="T672" i="21"/>
  <c r="O593" i="21"/>
  <c r="T593" i="21" s="1"/>
  <c r="O532" i="21"/>
  <c r="T532" i="21" s="1"/>
  <c r="O493" i="21"/>
  <c r="T493" i="21" s="1"/>
  <c r="O467" i="21"/>
  <c r="T467" i="21" s="1"/>
  <c r="O438" i="21"/>
  <c r="T438" i="21" s="1"/>
  <c r="O377" i="21"/>
  <c r="T377" i="21"/>
  <c r="O345" i="21"/>
  <c r="T345" i="21"/>
  <c r="O187" i="21"/>
  <c r="T187" i="21" s="1"/>
  <c r="O101" i="21"/>
  <c r="T101" i="21" s="1"/>
  <c r="O621" i="21"/>
  <c r="T621" i="21" s="1"/>
  <c r="O401" i="21"/>
  <c r="T401" i="21" s="1"/>
  <c r="O234" i="21"/>
  <c r="T234" i="21"/>
  <c r="O75" i="21"/>
  <c r="T75" i="21" s="1"/>
  <c r="O620" i="21"/>
  <c r="T620" i="21" s="1"/>
  <c r="O400" i="21"/>
  <c r="T400" i="21" s="1"/>
  <c r="O233" i="21"/>
  <c r="T233" i="21"/>
  <c r="O74" i="21"/>
  <c r="T74" i="21" s="1"/>
  <c r="O698" i="21"/>
  <c r="T698" i="21" s="1"/>
  <c r="O492" i="21"/>
  <c r="T492" i="21" s="1"/>
  <c r="O315" i="21"/>
  <c r="T315" i="21"/>
  <c r="O265" i="21"/>
  <c r="T265" i="21" s="1"/>
  <c r="O154" i="21"/>
  <c r="T154" i="21"/>
  <c r="O100" i="21"/>
  <c r="T100" i="21" s="1"/>
  <c r="O9" i="21"/>
  <c r="T9" i="21" s="1"/>
  <c r="O697" i="21"/>
  <c r="T697" i="21" s="1"/>
  <c r="O671" i="21"/>
  <c r="T671" i="21" s="1"/>
  <c r="O592" i="21"/>
  <c r="T592" i="21" s="1"/>
  <c r="O531" i="21"/>
  <c r="T531" i="21"/>
  <c r="O491" i="21"/>
  <c r="T491" i="21" s="1"/>
  <c r="O437" i="21"/>
  <c r="T437" i="21" s="1"/>
  <c r="O399" i="21"/>
  <c r="T399" i="21"/>
  <c r="O344" i="21"/>
  <c r="T344" i="21"/>
  <c r="O314" i="21"/>
  <c r="T314" i="21" s="1"/>
  <c r="O264" i="21"/>
  <c r="T264" i="21" s="1"/>
  <c r="O232" i="21"/>
  <c r="T232" i="21" s="1"/>
  <c r="O186" i="21"/>
  <c r="T186" i="21" s="1"/>
  <c r="O153" i="21"/>
  <c r="T153" i="21" s="1"/>
  <c r="O99" i="21"/>
  <c r="T99" i="21"/>
  <c r="O73" i="21"/>
  <c r="T73" i="21"/>
  <c r="O31" i="21"/>
  <c r="T31" i="21" s="1"/>
  <c r="O8" i="21"/>
  <c r="T8" i="21" s="1"/>
  <c r="O30" i="21"/>
  <c r="T30" i="21" s="1"/>
  <c r="O7" i="21"/>
  <c r="T7" i="21" s="1"/>
  <c r="O696" i="21"/>
  <c r="T696" i="21"/>
  <c r="O619" i="21"/>
  <c r="T619" i="21" s="1"/>
  <c r="O591" i="21"/>
  <c r="T591" i="21" s="1"/>
  <c r="O436" i="21"/>
  <c r="T436" i="21" s="1"/>
  <c r="O343" i="21"/>
  <c r="T343" i="21"/>
  <c r="O211" i="21"/>
  <c r="T211" i="21" s="1"/>
  <c r="O127" i="21"/>
  <c r="T127" i="21" s="1"/>
  <c r="O53" i="21"/>
  <c r="T53" i="21" s="1"/>
  <c r="O695" i="21"/>
  <c r="T695" i="21"/>
  <c r="O670" i="21"/>
  <c r="T670" i="21" s="1"/>
  <c r="O490" i="21"/>
  <c r="T490" i="21"/>
  <c r="O342" i="21"/>
  <c r="T342" i="21" s="1"/>
  <c r="O313" i="21"/>
  <c r="T313" i="21" s="1"/>
  <c r="O263" i="21"/>
  <c r="T263" i="21" s="1"/>
  <c r="O152" i="21"/>
  <c r="T152" i="21" s="1"/>
  <c r="O98" i="21"/>
  <c r="T98" i="21" s="1"/>
  <c r="O6" i="21"/>
  <c r="T6" i="21"/>
  <c r="W753" i="21"/>
  <c r="W752" i="21"/>
  <c r="W751" i="21"/>
  <c r="W750" i="21"/>
  <c r="W749" i="21"/>
  <c r="W748" i="21"/>
  <c r="W747" i="21"/>
  <c r="W746" i="21"/>
  <c r="W745" i="21"/>
  <c r="W744" i="21"/>
  <c r="W743" i="21"/>
  <c r="W742" i="21"/>
  <c r="W741" i="21"/>
  <c r="W740" i="21"/>
  <c r="W739" i="21"/>
  <c r="W738" i="21"/>
  <c r="W737" i="21"/>
  <c r="W736" i="21"/>
  <c r="W735" i="21"/>
  <c r="W734" i="21"/>
  <c r="W733" i="21"/>
  <c r="W732" i="21"/>
  <c r="W731" i="21"/>
  <c r="W730" i="21"/>
  <c r="W729" i="21"/>
  <c r="W728" i="21"/>
  <c r="W726" i="21"/>
  <c r="W725" i="21"/>
  <c r="W723" i="21"/>
  <c r="W720" i="21"/>
  <c r="W721" i="21"/>
  <c r="W716" i="21"/>
  <c r="W715" i="21"/>
  <c r="W714" i="21"/>
  <c r="W713" i="21"/>
  <c r="W712" i="21"/>
  <c r="W710" i="21"/>
  <c r="W711" i="21"/>
  <c r="W709" i="21"/>
  <c r="W708" i="21"/>
  <c r="W707" i="21"/>
  <c r="W706" i="21"/>
  <c r="W705" i="21"/>
  <c r="W704" i="21"/>
  <c r="W703" i="21"/>
  <c r="W702" i="21"/>
  <c r="W701" i="21"/>
  <c r="W700" i="21"/>
  <c r="W698" i="21"/>
  <c r="W697" i="21"/>
  <c r="W696" i="21"/>
  <c r="W699" i="21"/>
  <c r="W727" i="21"/>
  <c r="W724" i="21"/>
  <c r="W722" i="21"/>
  <c r="W719" i="21"/>
  <c r="W718" i="21"/>
  <c r="W717" i="21"/>
  <c r="W695" i="21"/>
  <c r="W672" i="21"/>
  <c r="W691" i="21"/>
  <c r="W689" i="21"/>
  <c r="W688" i="21"/>
  <c r="W683" i="21"/>
  <c r="W675" i="21"/>
  <c r="W670" i="21"/>
  <c r="W694" i="21"/>
  <c r="W693" i="21"/>
  <c r="W692" i="21"/>
  <c r="W673" i="21"/>
  <c r="W671" i="21"/>
  <c r="W690" i="21"/>
  <c r="W687" i="21"/>
  <c r="W686" i="21"/>
  <c r="W678" i="21"/>
  <c r="W685" i="21"/>
  <c r="W684" i="21"/>
  <c r="W682" i="21"/>
  <c r="W681" i="21"/>
  <c r="W680" i="21"/>
  <c r="W676" i="21"/>
  <c r="W679" i="21"/>
  <c r="W677" i="21"/>
  <c r="W674" i="21"/>
  <c r="W669" i="21"/>
  <c r="W667" i="21"/>
  <c r="W668" i="21"/>
  <c r="W649" i="21"/>
  <c r="W665" i="21"/>
  <c r="W666" i="21"/>
  <c r="W664" i="21"/>
  <c r="W663" i="21"/>
  <c r="W653" i="21"/>
  <c r="W662" i="21"/>
  <c r="W661" i="21"/>
  <c r="W660" i="21"/>
  <c r="W658" i="21"/>
  <c r="W659" i="21"/>
  <c r="W657" i="21"/>
  <c r="W656" i="21"/>
  <c r="W655" i="21"/>
  <c r="W651" i="21"/>
  <c r="W654" i="21"/>
  <c r="W652" i="21"/>
  <c r="W650" i="21"/>
  <c r="W637" i="21"/>
  <c r="W646" i="21"/>
  <c r="W647" i="21"/>
  <c r="W648" i="21"/>
  <c r="W641" i="21"/>
  <c r="W644" i="21"/>
  <c r="W639" i="21"/>
  <c r="W642" i="21"/>
  <c r="W619" i="21"/>
  <c r="W621" i="21"/>
  <c r="W620" i="21"/>
  <c r="W638" i="21"/>
  <c r="W622" i="21"/>
  <c r="W643" i="21"/>
  <c r="W645" i="21"/>
  <c r="W640" i="21"/>
  <c r="W636" i="21"/>
  <c r="W635" i="21"/>
  <c r="W626" i="21"/>
  <c r="W634" i="21"/>
  <c r="W633" i="21"/>
  <c r="W632" i="21"/>
  <c r="W631" i="21"/>
  <c r="W630" i="21"/>
  <c r="W629" i="21"/>
  <c r="W628" i="21"/>
  <c r="W624" i="21"/>
  <c r="W627" i="21"/>
  <c r="W625" i="21"/>
  <c r="W623" i="21"/>
  <c r="W615" i="21"/>
  <c r="W616" i="21"/>
  <c r="W593" i="21"/>
  <c r="W618" i="21"/>
  <c r="W611" i="21"/>
  <c r="W591" i="21"/>
  <c r="W614" i="21"/>
  <c r="W613" i="21"/>
  <c r="W595" i="21"/>
  <c r="W592" i="21"/>
  <c r="W594" i="21"/>
  <c r="W612" i="21"/>
  <c r="W617" i="21"/>
  <c r="W610" i="21"/>
  <c r="W609" i="21"/>
  <c r="W599" i="21"/>
  <c r="W608" i="21"/>
  <c r="W607" i="21"/>
  <c r="W606" i="21"/>
  <c r="W605" i="21"/>
  <c r="W604" i="21"/>
  <c r="W603" i="21"/>
  <c r="W602" i="21"/>
  <c r="W601" i="21"/>
  <c r="W597" i="21"/>
  <c r="W600" i="21"/>
  <c r="W598" i="21"/>
  <c r="W596" i="21"/>
  <c r="W588" i="21"/>
  <c r="W589" i="21"/>
  <c r="W590" i="21"/>
  <c r="W580" i="21"/>
  <c r="W587" i="21"/>
  <c r="W586" i="21"/>
  <c r="W585" i="21"/>
  <c r="W579" i="21"/>
  <c r="W584" i="21"/>
  <c r="W583" i="21"/>
  <c r="W582" i="21"/>
  <c r="W581" i="21"/>
  <c r="W578" i="21"/>
  <c r="W577" i="21"/>
  <c r="W570" i="21"/>
  <c r="W576" i="21"/>
  <c r="W575" i="21"/>
  <c r="W574" i="21"/>
  <c r="W573" i="21"/>
  <c r="W572" i="21"/>
  <c r="W571" i="21"/>
  <c r="W569" i="21"/>
  <c r="W568" i="21"/>
  <c r="W563" i="21"/>
  <c r="W550" i="21"/>
  <c r="W564" i="21"/>
  <c r="W565" i="21"/>
  <c r="W549" i="21"/>
  <c r="W532" i="21"/>
  <c r="W567" i="21"/>
  <c r="W566" i="21"/>
  <c r="W551" i="21"/>
  <c r="W562" i="21"/>
  <c r="W552" i="21"/>
  <c r="W560" i="21"/>
  <c r="W561" i="21"/>
  <c r="W533" i="21"/>
  <c r="W531" i="21"/>
  <c r="W557" i="21"/>
  <c r="W554" i="21"/>
  <c r="W555" i="21"/>
  <c r="W559" i="21"/>
  <c r="W558" i="21"/>
  <c r="W556" i="21"/>
  <c r="W553" i="21"/>
  <c r="W548" i="21"/>
  <c r="W547" i="21"/>
  <c r="W537" i="21"/>
  <c r="W546" i="21"/>
  <c r="W545" i="21"/>
  <c r="W543" i="21"/>
  <c r="W542" i="21"/>
  <c r="W544" i="21"/>
  <c r="W541" i="21"/>
  <c r="W540" i="21"/>
  <c r="W539" i="21"/>
  <c r="W535" i="21"/>
  <c r="W538" i="21"/>
  <c r="W536" i="21"/>
  <c r="W534" i="21"/>
  <c r="W525" i="21"/>
  <c r="W526" i="21"/>
  <c r="W493" i="21"/>
  <c r="W510" i="21"/>
  <c r="W529" i="21"/>
  <c r="W528" i="21"/>
  <c r="W514" i="21"/>
  <c r="W511" i="21"/>
  <c r="W530" i="21"/>
  <c r="W492" i="21"/>
  <c r="W497" i="21"/>
  <c r="W504" i="21"/>
  <c r="W509" i="21"/>
  <c r="W512" i="21"/>
  <c r="W490" i="21"/>
  <c r="W524" i="21"/>
  <c r="W523" i="21"/>
  <c r="W522" i="21"/>
  <c r="W495" i="21"/>
  <c r="W491" i="21"/>
  <c r="W516" i="21"/>
  <c r="W518" i="21"/>
  <c r="W520" i="21"/>
  <c r="W519" i="21"/>
  <c r="W517" i="21"/>
  <c r="W515" i="21"/>
  <c r="W508" i="21"/>
  <c r="W500" i="21"/>
  <c r="W507" i="21"/>
  <c r="W506" i="21"/>
  <c r="W505" i="21"/>
  <c r="W503" i="21"/>
  <c r="W502" i="21"/>
  <c r="W501" i="21"/>
  <c r="W498" i="21"/>
  <c r="W499" i="21"/>
  <c r="W496" i="21"/>
  <c r="W527" i="21"/>
  <c r="W521" i="21"/>
  <c r="W494" i="21"/>
  <c r="W513" i="21"/>
  <c r="W486" i="21"/>
  <c r="W487" i="21"/>
  <c r="W477" i="21"/>
  <c r="W467" i="21"/>
  <c r="W489" i="21"/>
  <c r="W488" i="21"/>
  <c r="W479" i="21"/>
  <c r="W480" i="21"/>
  <c r="W478" i="21"/>
  <c r="W485" i="21"/>
  <c r="W484" i="21"/>
  <c r="W483" i="21"/>
  <c r="W482" i="21"/>
  <c r="W481" i="21"/>
  <c r="W476" i="21"/>
  <c r="W471" i="21"/>
  <c r="W475" i="21"/>
  <c r="W474" i="21"/>
  <c r="W473" i="21"/>
  <c r="W472" i="21"/>
  <c r="W470" i="21"/>
  <c r="W469" i="21"/>
  <c r="W468" i="21"/>
  <c r="W463" i="21"/>
  <c r="W464" i="21"/>
  <c r="W438" i="21"/>
  <c r="W450" i="21"/>
  <c r="W466" i="21"/>
  <c r="W465" i="21"/>
  <c r="W454" i="21"/>
  <c r="W452" i="21"/>
  <c r="W436" i="21"/>
  <c r="W451" i="21"/>
  <c r="W460" i="21"/>
  <c r="W461" i="21"/>
  <c r="W459" i="21"/>
  <c r="W437" i="21"/>
  <c r="W462" i="21"/>
  <c r="W458" i="21"/>
  <c r="W453" i="21"/>
  <c r="W457" i="21"/>
  <c r="W456" i="21"/>
  <c r="W455" i="21"/>
  <c r="W449" i="21"/>
  <c r="W442" i="21"/>
  <c r="W448" i="21"/>
  <c r="W447" i="21"/>
  <c r="W446" i="21"/>
  <c r="W445" i="21"/>
  <c r="W440" i="21"/>
  <c r="W444" i="21"/>
  <c r="W443" i="21"/>
  <c r="W441" i="21"/>
  <c r="W439" i="21"/>
  <c r="W417" i="21"/>
  <c r="W432" i="21"/>
  <c r="W433" i="21"/>
  <c r="W416" i="21"/>
  <c r="W435" i="21"/>
  <c r="W434" i="21"/>
  <c r="W420" i="21"/>
  <c r="W427" i="21"/>
  <c r="W426" i="21"/>
  <c r="W425" i="21"/>
  <c r="W424" i="21"/>
  <c r="W423" i="21"/>
  <c r="W422" i="21"/>
  <c r="W421" i="21"/>
  <c r="W401" i="21"/>
  <c r="W400" i="21"/>
  <c r="W418" i="21"/>
  <c r="W429" i="21"/>
  <c r="W430" i="21"/>
  <c r="W402" i="21"/>
  <c r="W399" i="21"/>
  <c r="W431" i="21"/>
  <c r="W428" i="21"/>
  <c r="W419" i="21"/>
  <c r="W415" i="21"/>
  <c r="W414" i="21"/>
  <c r="W405" i="21"/>
  <c r="W413" i="21"/>
  <c r="W412" i="21"/>
  <c r="W411" i="21"/>
  <c r="W410" i="21"/>
  <c r="W409" i="21"/>
  <c r="W408" i="21"/>
  <c r="W407" i="21"/>
  <c r="W406" i="21"/>
  <c r="W404" i="21"/>
  <c r="W403" i="21"/>
  <c r="W395" i="21"/>
  <c r="W396" i="21"/>
  <c r="W377" i="21"/>
  <c r="W392" i="21"/>
  <c r="W398" i="21"/>
  <c r="W397" i="21"/>
  <c r="W394" i="21"/>
  <c r="W393" i="21"/>
  <c r="W391" i="21"/>
  <c r="W390" i="21"/>
  <c r="W381" i="21"/>
  <c r="W389" i="21"/>
  <c r="W388" i="21"/>
  <c r="W387" i="21"/>
  <c r="W386" i="21"/>
  <c r="W385" i="21"/>
  <c r="W384" i="21"/>
  <c r="W383" i="21"/>
  <c r="W382" i="21"/>
  <c r="W380" i="21"/>
  <c r="W379" i="21"/>
  <c r="W378" i="21"/>
  <c r="W345" i="21"/>
  <c r="W371" i="21"/>
  <c r="W372" i="21"/>
  <c r="W361" i="21"/>
  <c r="W375" i="21"/>
  <c r="W374" i="21"/>
  <c r="W366" i="21"/>
  <c r="W362" i="21"/>
  <c r="W343" i="21"/>
  <c r="W364" i="21"/>
  <c r="W342" i="21"/>
  <c r="W376" i="21"/>
  <c r="W363" i="21"/>
  <c r="W370" i="21"/>
  <c r="W369" i="21"/>
  <c r="W368" i="21"/>
  <c r="W347" i="21"/>
  <c r="W344" i="21"/>
  <c r="W367" i="21"/>
  <c r="W346" i="21"/>
  <c r="W373" i="21"/>
  <c r="W365" i="21"/>
  <c r="W360" i="21"/>
  <c r="W359" i="21"/>
  <c r="W351" i="21"/>
  <c r="W358" i="21"/>
  <c r="W357" i="21"/>
  <c r="W356" i="21"/>
  <c r="W355" i="21"/>
  <c r="W354" i="21"/>
  <c r="W353" i="21"/>
  <c r="W349" i="21"/>
  <c r="W352" i="21"/>
  <c r="W350" i="21"/>
  <c r="W348" i="21"/>
  <c r="W337" i="21"/>
  <c r="W338" i="21"/>
  <c r="W340" i="21"/>
  <c r="W339" i="21"/>
  <c r="W332" i="21"/>
  <c r="W333" i="21"/>
  <c r="W336" i="21"/>
  <c r="W331" i="21"/>
  <c r="W330" i="21"/>
  <c r="W318" i="21"/>
  <c r="W325" i="21"/>
  <c r="W341" i="21"/>
  <c r="W315" i="21"/>
  <c r="W313" i="21"/>
  <c r="W334" i="21"/>
  <c r="W335" i="21"/>
  <c r="W316" i="21"/>
  <c r="W314" i="21"/>
  <c r="W328" i="21"/>
  <c r="W321" i="21"/>
  <c r="W329" i="21"/>
  <c r="W327" i="21"/>
  <c r="W326" i="21"/>
  <c r="W324" i="21"/>
  <c r="W323" i="21"/>
  <c r="W319" i="21"/>
  <c r="W322" i="21"/>
  <c r="W320" i="21"/>
  <c r="W317" i="21"/>
  <c r="W309" i="21"/>
  <c r="W310" i="21"/>
  <c r="W312" i="21"/>
  <c r="W311" i="21"/>
  <c r="W308" i="21"/>
  <c r="W307" i="21"/>
  <c r="W306" i="21"/>
  <c r="W296" i="21"/>
  <c r="W305" i="21"/>
  <c r="W304" i="21"/>
  <c r="W302" i="21"/>
  <c r="W301" i="21"/>
  <c r="W303" i="21"/>
  <c r="W300" i="21"/>
  <c r="W299" i="21"/>
  <c r="W298" i="21"/>
  <c r="W297" i="21"/>
  <c r="W295" i="21"/>
  <c r="W294" i="21"/>
  <c r="W290" i="21"/>
  <c r="W288" i="21"/>
  <c r="W289" i="21"/>
  <c r="W281" i="21"/>
  <c r="W292" i="21"/>
  <c r="W291" i="21"/>
  <c r="W284" i="21"/>
  <c r="W282" i="21"/>
  <c r="W280" i="21"/>
  <c r="W276" i="21"/>
  <c r="W268" i="21"/>
  <c r="W293" i="21"/>
  <c r="W265" i="21"/>
  <c r="W263" i="21"/>
  <c r="W287" i="21"/>
  <c r="W286" i="21"/>
  <c r="W285" i="21"/>
  <c r="W266" i="21"/>
  <c r="W264" i="21"/>
  <c r="W283" i="21"/>
  <c r="W277" i="21"/>
  <c r="W279" i="21"/>
  <c r="W271" i="21"/>
  <c r="W278" i="21"/>
  <c r="W275" i="21"/>
  <c r="W274" i="21"/>
  <c r="W273" i="21"/>
  <c r="W269" i="21"/>
  <c r="W272" i="21"/>
  <c r="W270" i="21"/>
  <c r="W267" i="21"/>
  <c r="W258" i="21"/>
  <c r="W259" i="21"/>
  <c r="W248" i="21"/>
  <c r="W262" i="21"/>
  <c r="W261" i="21"/>
  <c r="W251" i="21"/>
  <c r="W252" i="21"/>
  <c r="W234" i="21"/>
  <c r="W233" i="21"/>
  <c r="W249" i="21"/>
  <c r="W253" i="21"/>
  <c r="W257" i="21"/>
  <c r="W255" i="21"/>
  <c r="W256" i="21"/>
  <c r="W236" i="21"/>
  <c r="W232" i="21"/>
  <c r="W254" i="21"/>
  <c r="W235" i="21"/>
  <c r="W260" i="21"/>
  <c r="W250" i="21"/>
  <c r="W247" i="21"/>
  <c r="W240" i="21"/>
  <c r="W246" i="21"/>
  <c r="W245" i="21"/>
  <c r="W244" i="21"/>
  <c r="W243" i="21"/>
  <c r="W242" i="21"/>
  <c r="W241" i="21"/>
  <c r="W238" i="21"/>
  <c r="W239" i="21"/>
  <c r="W237" i="21"/>
  <c r="W228" i="21"/>
  <c r="W229" i="21"/>
  <c r="W231" i="21"/>
  <c r="W230" i="21"/>
  <c r="W227" i="21"/>
  <c r="W212" i="21"/>
  <c r="W211" i="21"/>
  <c r="W226" i="21"/>
  <c r="W225" i="21"/>
  <c r="W224" i="21"/>
  <c r="W216" i="21"/>
  <c r="W223" i="21"/>
  <c r="W222" i="21"/>
  <c r="W221" i="21"/>
  <c r="W220" i="21"/>
  <c r="W219" i="21"/>
  <c r="W218" i="21"/>
  <c r="W217" i="21"/>
  <c r="W214" i="21"/>
  <c r="W215" i="21"/>
  <c r="W213" i="21"/>
  <c r="W207" i="21"/>
  <c r="W208" i="21"/>
  <c r="W201" i="21"/>
  <c r="W187" i="21"/>
  <c r="W210" i="21"/>
  <c r="W209" i="21"/>
  <c r="W203" i="21"/>
  <c r="W204" i="21"/>
  <c r="W205" i="21"/>
  <c r="W206" i="21"/>
  <c r="W188" i="21"/>
  <c r="W186" i="21"/>
  <c r="W202" i="21"/>
  <c r="W200" i="21"/>
  <c r="W199" i="21"/>
  <c r="W191" i="21"/>
  <c r="W198" i="21"/>
  <c r="W197" i="21"/>
  <c r="W196" i="21"/>
  <c r="W195" i="21"/>
  <c r="W194" i="21"/>
  <c r="W193" i="21"/>
  <c r="W192" i="21"/>
  <c r="W190" i="21"/>
  <c r="W189" i="21"/>
  <c r="W175" i="21"/>
  <c r="W173" i="21"/>
  <c r="W181" i="21"/>
  <c r="W182" i="21"/>
  <c r="W184" i="21"/>
  <c r="W183" i="21"/>
  <c r="W176" i="21"/>
  <c r="W180" i="21"/>
  <c r="W178" i="21"/>
  <c r="W179" i="21"/>
  <c r="W155" i="21"/>
  <c r="W153" i="21"/>
  <c r="W177" i="21"/>
  <c r="W174" i="21"/>
  <c r="W157" i="21"/>
  <c r="W165" i="21"/>
  <c r="W172" i="21"/>
  <c r="W185" i="21"/>
  <c r="W154" i="21"/>
  <c r="W152" i="21"/>
  <c r="W171" i="21"/>
  <c r="W170" i="21"/>
  <c r="W160" i="21"/>
  <c r="W169" i="21"/>
  <c r="W168" i="21"/>
  <c r="W167" i="21"/>
  <c r="W166" i="21"/>
  <c r="W164" i="21"/>
  <c r="W163" i="21"/>
  <c r="W162" i="21"/>
  <c r="W158" i="21"/>
  <c r="W161" i="21"/>
  <c r="W159" i="21"/>
  <c r="W156" i="21"/>
  <c r="W147" i="21"/>
  <c r="W148" i="21"/>
  <c r="W151" i="21"/>
  <c r="W150" i="21"/>
  <c r="W144" i="21"/>
  <c r="W146" i="21"/>
  <c r="W142" i="21"/>
  <c r="W127" i="21"/>
  <c r="W145" i="21"/>
  <c r="W128" i="21"/>
  <c r="W149" i="21"/>
  <c r="W143" i="21"/>
  <c r="W141" i="21"/>
  <c r="W132" i="21"/>
  <c r="W140" i="21"/>
  <c r="W139" i="21"/>
  <c r="W137" i="21"/>
  <c r="W138" i="21"/>
  <c r="W136" i="21"/>
  <c r="W135" i="21"/>
  <c r="W134" i="21"/>
  <c r="W133" i="21"/>
  <c r="W130" i="21"/>
  <c r="W131" i="21"/>
  <c r="W129" i="21"/>
  <c r="W99" i="21"/>
  <c r="W122" i="21"/>
  <c r="W123" i="21"/>
  <c r="W116" i="21"/>
  <c r="W101" i="21"/>
  <c r="W125" i="21"/>
  <c r="W124" i="21"/>
  <c r="W118" i="21"/>
  <c r="W126" i="21"/>
  <c r="W100" i="21"/>
  <c r="W115" i="21"/>
  <c r="W111" i="21"/>
  <c r="W104" i="21"/>
  <c r="W98" i="21"/>
  <c r="W121" i="21"/>
  <c r="W117" i="21"/>
  <c r="W119" i="21"/>
  <c r="W120" i="21"/>
  <c r="W102" i="21"/>
  <c r="W114" i="21"/>
  <c r="W107" i="21"/>
  <c r="W113" i="21"/>
  <c r="W112" i="21"/>
  <c r="W110" i="21"/>
  <c r="W109" i="21"/>
  <c r="W105" i="21"/>
  <c r="W108" i="21"/>
  <c r="W106" i="21"/>
  <c r="W103" i="21"/>
  <c r="W94" i="21"/>
  <c r="W95" i="21"/>
  <c r="W88" i="21"/>
  <c r="W97" i="21"/>
  <c r="W96" i="21"/>
  <c r="W91" i="21"/>
  <c r="W75" i="21"/>
  <c r="W74" i="21"/>
  <c r="W93" i="21"/>
  <c r="W89" i="21"/>
  <c r="W92" i="21"/>
  <c r="W76" i="21"/>
  <c r="W73" i="21"/>
  <c r="W90" i="21"/>
  <c r="W87" i="21"/>
  <c r="W80" i="21"/>
  <c r="W86" i="21"/>
  <c r="W85" i="21"/>
  <c r="W84" i="21"/>
  <c r="W83" i="21"/>
  <c r="W82" i="21"/>
  <c r="W78" i="21"/>
  <c r="W81" i="21"/>
  <c r="W79" i="21"/>
  <c r="W77" i="21"/>
  <c r="W70" i="21"/>
  <c r="W72" i="21"/>
  <c r="W71" i="21"/>
  <c r="W67" i="21"/>
  <c r="W54" i="21"/>
  <c r="W53" i="21"/>
  <c r="W69" i="21"/>
  <c r="W68" i="21"/>
  <c r="W66" i="21"/>
  <c r="W65" i="21"/>
  <c r="W58" i="21"/>
  <c r="W64" i="21"/>
  <c r="W63" i="21"/>
  <c r="W62" i="21"/>
  <c r="W61" i="21"/>
  <c r="W60" i="21"/>
  <c r="W56" i="21"/>
  <c r="W59" i="21"/>
  <c r="W57" i="21"/>
  <c r="W55" i="21"/>
  <c r="W50" i="21"/>
  <c r="W44" i="21"/>
  <c r="W52" i="21"/>
  <c r="W51" i="21"/>
  <c r="W48" i="21"/>
  <c r="W45" i="21"/>
  <c r="W30" i="21"/>
  <c r="W46" i="21"/>
  <c r="W49" i="21"/>
  <c r="W32" i="21"/>
  <c r="W31" i="21"/>
  <c r="W47" i="21"/>
  <c r="W43" i="21"/>
  <c r="W36" i="21"/>
  <c r="W42" i="21"/>
  <c r="W41" i="21"/>
  <c r="W40" i="21"/>
  <c r="W39" i="21"/>
  <c r="W38" i="21"/>
  <c r="W34" i="21"/>
  <c r="W37" i="21"/>
  <c r="W35" i="21"/>
  <c r="W33" i="21"/>
  <c r="W25" i="21"/>
  <c r="W7" i="21"/>
  <c r="W28" i="21"/>
  <c r="W27" i="21"/>
  <c r="W20" i="21"/>
  <c r="W18" i="21"/>
  <c r="W22" i="21"/>
  <c r="W29" i="21"/>
  <c r="W9" i="21"/>
  <c r="W17" i="21"/>
  <c r="W12" i="21"/>
  <c r="W6" i="21"/>
  <c r="W23" i="21"/>
  <c r="W24" i="21"/>
  <c r="W11" i="21"/>
  <c r="W8" i="21"/>
  <c r="W19" i="21"/>
  <c r="W26" i="21"/>
  <c r="W21" i="21"/>
  <c r="W10" i="21"/>
  <c r="W16" i="21"/>
  <c r="W15" i="21"/>
  <c r="W14" i="21"/>
  <c r="W13" i="21"/>
  <c r="V727" i="21"/>
  <c r="V530" i="21"/>
  <c r="V341" i="21"/>
  <c r="V6" i="21"/>
  <c r="V293" i="21"/>
  <c r="V376" i="21"/>
  <c r="V185" i="21"/>
  <c r="P118" i="21"/>
  <c r="U118" i="21"/>
  <c r="C3" i="19"/>
  <c r="C14" i="19"/>
  <c r="C4" i="19"/>
  <c r="C5" i="19"/>
  <c r="C6" i="19"/>
  <c r="C7" i="19"/>
  <c r="C8" i="19"/>
  <c r="C9" i="19"/>
  <c r="D10" i="19"/>
  <c r="D11" i="19"/>
  <c r="C19" i="19"/>
  <c r="C30" i="19"/>
  <c r="C33" i="19" s="1"/>
  <c r="C20" i="19"/>
  <c r="C21" i="19"/>
  <c r="C22" i="19"/>
  <c r="C23" i="19"/>
  <c r="C24" i="19"/>
  <c r="C25" i="19"/>
  <c r="C32" i="19"/>
  <c r="P142" i="21"/>
  <c r="U142" i="21"/>
  <c r="P10" i="21"/>
  <c r="U10" i="21"/>
  <c r="P478" i="21"/>
  <c r="U478" i="21"/>
  <c r="P100" i="21"/>
  <c r="U100" i="21"/>
  <c r="P293" i="21"/>
  <c r="U293" i="21"/>
  <c r="P623" i="21"/>
  <c r="U623" i="21"/>
  <c r="P473" i="21"/>
  <c r="U473" i="21"/>
  <c r="P604" i="21"/>
  <c r="U604" i="21" s="1"/>
  <c r="P713" i="21"/>
  <c r="U713" i="21"/>
  <c r="P578" i="21"/>
  <c r="U578" i="21"/>
  <c r="P421" i="21"/>
  <c r="U421" i="21"/>
  <c r="P422" i="21"/>
  <c r="U422" i="21"/>
  <c r="P747" i="21"/>
  <c r="U747" i="21"/>
  <c r="P748" i="21"/>
  <c r="U748" i="21" s="1"/>
  <c r="P424" i="21"/>
  <c r="U424" i="21"/>
  <c r="P425" i="21"/>
  <c r="U425" i="21" s="1"/>
  <c r="P426" i="21"/>
  <c r="U426" i="21"/>
  <c r="P427" i="21"/>
  <c r="U427" i="21"/>
  <c r="P343" i="21"/>
  <c r="U343" i="21"/>
  <c r="P745" i="21"/>
  <c r="U745" i="21"/>
  <c r="P642" i="21"/>
  <c r="U642" i="21"/>
  <c r="P30" i="21"/>
  <c r="U30" i="21"/>
  <c r="P689" i="21"/>
  <c r="U689" i="21"/>
  <c r="P253" i="21"/>
  <c r="U253" i="21" s="1"/>
  <c r="P551" i="21"/>
  <c r="U551" i="21"/>
  <c r="P338" i="21"/>
  <c r="U338" i="21"/>
  <c r="P311" i="21"/>
  <c r="U311" i="21"/>
  <c r="P726" i="21"/>
  <c r="U726" i="21" s="1"/>
  <c r="P399" i="21"/>
  <c r="U399" i="21"/>
  <c r="P533" i="21"/>
  <c r="U533" i="21"/>
  <c r="P184" i="21"/>
  <c r="U184" i="21" s="1"/>
  <c r="P565" i="21"/>
  <c r="U565" i="21" s="1"/>
  <c r="P514" i="21"/>
  <c r="U514" i="21"/>
  <c r="P114" i="21"/>
  <c r="U114" i="21"/>
  <c r="P252" i="21"/>
  <c r="U252" i="21"/>
  <c r="P48" i="21"/>
  <c r="U48" i="21" s="1"/>
  <c r="P584" i="21"/>
  <c r="U584" i="21"/>
  <c r="P746" i="21"/>
  <c r="U746" i="21"/>
  <c r="P515" i="21"/>
  <c r="U515" i="21"/>
  <c r="P711" i="21"/>
  <c r="U711" i="21" s="1"/>
  <c r="P195" i="21"/>
  <c r="U195" i="21"/>
  <c r="P505" i="21"/>
  <c r="U505" i="21"/>
  <c r="P659" i="21"/>
  <c r="U659" i="21"/>
  <c r="P244" i="21"/>
  <c r="U244" i="21" s="1"/>
  <c r="P729" i="21"/>
  <c r="U729" i="21"/>
  <c r="P496" i="21"/>
  <c r="U496" i="21"/>
  <c r="P378" i="21"/>
  <c r="U378" i="21"/>
  <c r="P156" i="21"/>
  <c r="U156" i="21" s="1"/>
  <c r="P103" i="21"/>
  <c r="U103" i="21"/>
  <c r="P294" i="21"/>
  <c r="U294" i="21"/>
  <c r="P468" i="21"/>
  <c r="U468" i="21"/>
  <c r="P403" i="21"/>
  <c r="U403" i="21"/>
  <c r="P189" i="21"/>
  <c r="U189" i="21"/>
  <c r="P534" i="21"/>
  <c r="U534" i="21"/>
  <c r="P77" i="21"/>
  <c r="U77" i="21"/>
  <c r="P204" i="21"/>
  <c r="U204" i="21" s="1"/>
  <c r="P282" i="21"/>
  <c r="U282" i="21"/>
  <c r="P127" i="21"/>
  <c r="U127" i="21"/>
  <c r="P53" i="21"/>
  <c r="U53" i="21"/>
  <c r="P85" i="21"/>
  <c r="U85" i="21" s="1"/>
  <c r="P222" i="21"/>
  <c r="U222" i="21"/>
  <c r="P428" i="21"/>
  <c r="U428" i="21" s="1"/>
  <c r="P513" i="21"/>
  <c r="U513" i="21"/>
  <c r="P47" i="21"/>
  <c r="U47" i="21" s="1"/>
  <c r="P382" i="21"/>
  <c r="U382" i="21"/>
  <c r="P654" i="21"/>
  <c r="U654" i="21"/>
  <c r="P297" i="21"/>
  <c r="U297" i="21"/>
  <c r="P133" i="21"/>
  <c r="U133" i="21"/>
  <c r="P438" i="21"/>
  <c r="U438" i="21"/>
  <c r="P377" i="21"/>
  <c r="U377" i="21" s="1"/>
  <c r="P345" i="21"/>
  <c r="U345" i="21"/>
  <c r="P699" i="21"/>
  <c r="U699" i="21" s="1"/>
  <c r="P187" i="21"/>
  <c r="U187" i="21"/>
  <c r="P493" i="21"/>
  <c r="U493" i="21"/>
  <c r="P672" i="21"/>
  <c r="U672" i="21"/>
  <c r="P724" i="21"/>
  <c r="U724" i="21"/>
  <c r="P644" i="21"/>
  <c r="U644" i="21"/>
  <c r="P333" i="21"/>
  <c r="U333" i="21" s="1"/>
  <c r="P273" i="21"/>
  <c r="U273" i="21" s="1"/>
  <c r="P162" i="21"/>
  <c r="U162" i="21" s="1"/>
  <c r="P680" i="21"/>
  <c r="U680" i="21"/>
  <c r="P461" i="21"/>
  <c r="U461" i="21"/>
  <c r="P562" i="21"/>
  <c r="U562" i="21"/>
  <c r="P480" i="21"/>
  <c r="U480" i="21"/>
  <c r="P552" i="21"/>
  <c r="U552" i="21"/>
  <c r="P664" i="21"/>
  <c r="U664" i="21"/>
  <c r="P19" i="21"/>
  <c r="U19" i="21" s="1"/>
  <c r="P22" i="21"/>
  <c r="U22" i="21" s="1"/>
  <c r="P68" i="21"/>
  <c r="U68" i="21"/>
  <c r="P7" i="21"/>
  <c r="U7" i="21"/>
  <c r="P391" i="21"/>
  <c r="U391" i="21"/>
  <c r="P594" i="21"/>
  <c r="U594" i="21"/>
  <c r="P550" i="21"/>
  <c r="U550" i="21"/>
  <c r="P591" i="21"/>
  <c r="U591" i="21" s="1"/>
  <c r="P668" i="21"/>
  <c r="U668" i="21" s="1"/>
  <c r="P517" i="21"/>
  <c r="U517" i="21" s="1"/>
  <c r="P141" i="21"/>
  <c r="U141" i="21"/>
  <c r="P687" i="21"/>
  <c r="U687" i="21"/>
  <c r="P123" i="21"/>
  <c r="U123" i="21"/>
  <c r="P347" i="21"/>
  <c r="U347" i="21"/>
  <c r="P708" i="21"/>
  <c r="U708" i="21"/>
  <c r="P540" i="21"/>
  <c r="U540" i="21"/>
  <c r="P502" i="21"/>
  <c r="U502" i="21"/>
  <c r="P472" i="21"/>
  <c r="U472" i="21" s="1"/>
  <c r="P323" i="21"/>
  <c r="U323" i="21"/>
  <c r="P368" i="21"/>
  <c r="U368" i="21"/>
  <c r="P285" i="21"/>
  <c r="U285" i="21"/>
  <c r="P255" i="21"/>
  <c r="U255" i="21" s="1"/>
  <c r="P429" i="21"/>
  <c r="U429" i="21"/>
  <c r="P560" i="21"/>
  <c r="U560" i="21"/>
  <c r="P334" i="21"/>
  <c r="U334" i="21" s="1"/>
  <c r="P119" i="21"/>
  <c r="U119" i="21" s="1"/>
  <c r="P613" i="21"/>
  <c r="U613" i="21"/>
  <c r="P459" i="21"/>
  <c r="U459" i="21"/>
  <c r="P178" i="21"/>
  <c r="U178" i="21"/>
  <c r="P717" i="21"/>
  <c r="U717" i="21"/>
  <c r="P363" i="21"/>
  <c r="U363" i="21"/>
  <c r="P512" i="21"/>
  <c r="U512" i="21"/>
  <c r="P507" i="21"/>
  <c r="U507" i="21"/>
  <c r="P662" i="21"/>
  <c r="U662" i="21" s="1"/>
  <c r="P16" i="21"/>
  <c r="U16" i="21"/>
  <c r="P475" i="21"/>
  <c r="U475" i="21"/>
  <c r="P169" i="21"/>
  <c r="U169" i="21"/>
  <c r="P86" i="21"/>
  <c r="U86" i="21"/>
  <c r="P389" i="21"/>
  <c r="U389" i="21"/>
  <c r="P358" i="21"/>
  <c r="U358" i="21"/>
  <c r="P448" i="21"/>
  <c r="U448" i="21"/>
  <c r="P685" i="21"/>
  <c r="U685" i="21" s="1"/>
  <c r="P537" i="21"/>
  <c r="U537" i="21"/>
  <c r="P653" i="21"/>
  <c r="U653" i="21"/>
  <c r="P351" i="21"/>
  <c r="U351" i="21"/>
  <c r="P36" i="21"/>
  <c r="U36" i="21"/>
  <c r="P321" i="21"/>
  <c r="U321" i="21"/>
  <c r="P442" i="21"/>
  <c r="U442" i="21"/>
  <c r="P706" i="21"/>
  <c r="U706" i="21"/>
  <c r="P405" i="21"/>
  <c r="U405" i="21" s="1"/>
  <c r="P570" i="21"/>
  <c r="U570" i="21"/>
  <c r="P191" i="21"/>
  <c r="U191" i="21"/>
  <c r="P500" i="21"/>
  <c r="U500" i="21"/>
  <c r="P599" i="21"/>
  <c r="U599" i="21"/>
  <c r="P240" i="21"/>
  <c r="U240" i="21"/>
  <c r="P271" i="21"/>
  <c r="U271" i="21" s="1"/>
  <c r="P107" i="21"/>
  <c r="U107" i="21"/>
  <c r="P626" i="21"/>
  <c r="U626" i="21" s="1"/>
  <c r="P132" i="21"/>
  <c r="U132" i="21"/>
  <c r="P58" i="21"/>
  <c r="U58" i="21"/>
  <c r="P471" i="21"/>
  <c r="U471" i="21"/>
  <c r="P678" i="21"/>
  <c r="U678" i="21"/>
  <c r="P160" i="21"/>
  <c r="U160" i="21"/>
  <c r="P26" i="21"/>
  <c r="U26" i="21"/>
  <c r="P527" i="21"/>
  <c r="U527" i="21"/>
  <c r="P586" i="21"/>
  <c r="U586" i="21" s="1"/>
  <c r="P462" i="21"/>
  <c r="U462" i="21"/>
  <c r="P521" i="21"/>
  <c r="U521" i="21"/>
  <c r="P21" i="21"/>
  <c r="U21" i="21"/>
  <c r="P201" i="21"/>
  <c r="U201" i="21" s="1"/>
  <c r="P392" i="21"/>
  <c r="U392" i="21"/>
  <c r="P173" i="21"/>
  <c r="U173" i="21"/>
  <c r="P212" i="21"/>
  <c r="U212" i="21" s="1"/>
  <c r="P649" i="21"/>
  <c r="U649" i="21" s="1"/>
  <c r="P737" i="21"/>
  <c r="U737" i="21"/>
  <c r="P598" i="21"/>
  <c r="U598" i="21"/>
  <c r="P536" i="21"/>
  <c r="U536" i="21"/>
  <c r="P190" i="21"/>
  <c r="U190" i="21" s="1"/>
  <c r="P57" i="21"/>
  <c r="U57" i="21"/>
  <c r="P270" i="21"/>
  <c r="U270" i="21"/>
  <c r="P239" i="21"/>
  <c r="U239" i="21"/>
  <c r="P320" i="21"/>
  <c r="U320" i="21" s="1"/>
  <c r="P569" i="21"/>
  <c r="U569" i="21"/>
  <c r="P470" i="21"/>
  <c r="U470" i="21"/>
  <c r="P35" i="21"/>
  <c r="U35" i="21"/>
  <c r="P215" i="21"/>
  <c r="U215" i="21" s="1"/>
  <c r="P441" i="21"/>
  <c r="U441" i="21"/>
  <c r="P652" i="21"/>
  <c r="U652" i="21"/>
  <c r="P731" i="21"/>
  <c r="U731" i="21"/>
  <c r="P295" i="21"/>
  <c r="U295" i="21" s="1"/>
  <c r="P625" i="21"/>
  <c r="U625" i="21"/>
  <c r="P523" i="21"/>
  <c r="U523" i="21"/>
  <c r="P335" i="21"/>
  <c r="U335" i="21"/>
  <c r="P49" i="21"/>
  <c r="U49" i="21"/>
  <c r="P430" i="21"/>
  <c r="U430" i="21"/>
  <c r="P24" i="21"/>
  <c r="U24" i="21"/>
  <c r="P92" i="21"/>
  <c r="U92" i="21"/>
  <c r="P286" i="21"/>
  <c r="U286" i="21" s="1"/>
  <c r="P369" i="21"/>
  <c r="U369" i="21"/>
  <c r="P206" i="21"/>
  <c r="U206" i="21"/>
  <c r="P136" i="21"/>
  <c r="U136" i="21"/>
  <c r="P587" i="21"/>
  <c r="U587" i="21" s="1"/>
  <c r="P494" i="21"/>
  <c r="U494" i="21"/>
  <c r="P545" i="21"/>
  <c r="U545" i="21" s="1"/>
  <c r="P559" i="21"/>
  <c r="U559" i="21"/>
  <c r="P227" i="21"/>
  <c r="U227" i="21" s="1"/>
  <c r="P8" i="21"/>
  <c r="U8" i="21"/>
  <c r="P146" i="21"/>
  <c r="U146" i="21"/>
  <c r="P694" i="21"/>
  <c r="U694" i="21"/>
  <c r="P291" i="21"/>
  <c r="U291" i="21"/>
  <c r="P573" i="21"/>
  <c r="U573" i="21"/>
  <c r="P753" i="21"/>
  <c r="U753" i="21"/>
  <c r="P287" i="21"/>
  <c r="U287" i="21"/>
  <c r="P635" i="21"/>
  <c r="U635" i="21" s="1"/>
  <c r="P199" i="21"/>
  <c r="U199" i="21"/>
  <c r="P663" i="21"/>
  <c r="U663" i="21"/>
  <c r="P359" i="21"/>
  <c r="U359" i="21"/>
  <c r="P224" i="21"/>
  <c r="U224" i="21"/>
  <c r="P414" i="21"/>
  <c r="U414" i="21"/>
  <c r="P609" i="21"/>
  <c r="U609" i="21" s="1"/>
  <c r="P577" i="21"/>
  <c r="U577" i="21" s="1"/>
  <c r="P547" i="21"/>
  <c r="U547" i="21" s="1"/>
  <c r="P170" i="21"/>
  <c r="U170" i="21"/>
  <c r="P686" i="21"/>
  <c r="U686" i="21"/>
  <c r="P390" i="21"/>
  <c r="U390" i="21"/>
  <c r="P742" i="21"/>
  <c r="U742" i="21"/>
  <c r="P714" i="21"/>
  <c r="U714" i="21"/>
  <c r="P17" i="21"/>
  <c r="U17" i="21"/>
  <c r="P400" i="21"/>
  <c r="U400" i="21"/>
  <c r="P233" i="21"/>
  <c r="U233" i="21" s="1"/>
  <c r="P74" i="21"/>
  <c r="U74" i="21"/>
  <c r="P620" i="21"/>
  <c r="U620" i="21"/>
  <c r="P104" i="21"/>
  <c r="U104" i="21"/>
  <c r="P621" i="21"/>
  <c r="U621" i="21"/>
  <c r="P75" i="21"/>
  <c r="U75" i="21"/>
  <c r="P401" i="21"/>
  <c r="U401" i="21" s="1"/>
  <c r="P234" i="21"/>
  <c r="U234" i="21" s="1"/>
  <c r="P147" i="21"/>
  <c r="U147" i="21" s="1"/>
  <c r="P588" i="21"/>
  <c r="U588" i="21"/>
  <c r="P486" i="21"/>
  <c r="U486" i="21"/>
  <c r="P395" i="21"/>
  <c r="U395" i="21"/>
  <c r="P258" i="21"/>
  <c r="U258" i="21"/>
  <c r="P525" i="21"/>
  <c r="U525" i="21"/>
  <c r="P14" i="21"/>
  <c r="U14" i="21"/>
  <c r="P606" i="21"/>
  <c r="U606" i="21"/>
  <c r="P387" i="21"/>
  <c r="U387" i="21" s="1"/>
  <c r="P166" i="21"/>
  <c r="U166" i="21"/>
  <c r="P575" i="21"/>
  <c r="U575" i="21"/>
  <c r="P632" i="21"/>
  <c r="U632" i="21"/>
  <c r="P739" i="21"/>
  <c r="U739" i="21" s="1"/>
  <c r="P302" i="21"/>
  <c r="U302" i="21"/>
  <c r="P356" i="21"/>
  <c r="U356" i="21"/>
  <c r="P543" i="21"/>
  <c r="U543" i="21" s="1"/>
  <c r="P712" i="21"/>
  <c r="U712" i="21" s="1"/>
  <c r="P660" i="21"/>
  <c r="U660" i="21"/>
  <c r="P137" i="21"/>
  <c r="U137" i="21"/>
  <c r="P313" i="21"/>
  <c r="U313" i="21"/>
  <c r="P670" i="21"/>
  <c r="U670" i="21"/>
  <c r="P490" i="21"/>
  <c r="U490" i="21"/>
  <c r="P98" i="21"/>
  <c r="U98" i="21"/>
  <c r="P665" i="21"/>
  <c r="U665" i="21"/>
  <c r="P18" i="21"/>
  <c r="U18" i="21" s="1"/>
  <c r="P516" i="21"/>
  <c r="U516" i="21"/>
  <c r="P554" i="21"/>
  <c r="U554" i="21"/>
  <c r="P423" i="21"/>
  <c r="U423" i="21"/>
  <c r="P730" i="21"/>
  <c r="U730" i="21"/>
  <c r="P704" i="21"/>
  <c r="U704" i="21"/>
  <c r="P469" i="21"/>
  <c r="U469" i="21"/>
  <c r="P418" i="21"/>
  <c r="U418" i="21"/>
  <c r="P46" i="21"/>
  <c r="U46" i="21" s="1"/>
  <c r="P719" i="21"/>
  <c r="U719" i="21"/>
  <c r="P364" i="21"/>
  <c r="U364" i="21"/>
  <c r="P645" i="21"/>
  <c r="U645" i="21"/>
  <c r="P431" i="21"/>
  <c r="U431" i="21"/>
  <c r="P612" i="21"/>
  <c r="U612" i="21"/>
  <c r="P679" i="21"/>
  <c r="U679" i="21"/>
  <c r="P443" i="21"/>
  <c r="U443" i="21"/>
  <c r="P54" i="21"/>
  <c r="U54" i="21" s="1"/>
  <c r="P744" i="21"/>
  <c r="U744" i="21"/>
  <c r="P631" i="21"/>
  <c r="U631" i="21"/>
  <c r="P481" i="21"/>
  <c r="U481" i="21"/>
  <c r="P456" i="21"/>
  <c r="U456" i="21"/>
  <c r="P180" i="21"/>
  <c r="U180" i="21"/>
  <c r="P655" i="21"/>
  <c r="U655" i="21" s="1"/>
  <c r="P353" i="21"/>
  <c r="U353" i="21"/>
  <c r="P548" i="21"/>
  <c r="U548" i="21" s="1"/>
  <c r="P715" i="21"/>
  <c r="U715" i="21"/>
  <c r="P636" i="21"/>
  <c r="U636" i="21"/>
  <c r="P284" i="21"/>
  <c r="U284" i="21"/>
  <c r="P375" i="21"/>
  <c r="U375" i="21"/>
  <c r="P579" i="21"/>
  <c r="U579" i="21"/>
  <c r="P283" i="21"/>
  <c r="U283" i="21"/>
  <c r="P145" i="21"/>
  <c r="U145" i="21"/>
  <c r="P254" i="21"/>
  <c r="U254" i="21" s="1"/>
  <c r="P290" i="21"/>
  <c r="U290" i="21"/>
  <c r="P571" i="21"/>
  <c r="U571" i="21"/>
  <c r="P192" i="21"/>
  <c r="U192" i="21"/>
  <c r="P707" i="21"/>
  <c r="U707" i="21" s="1"/>
  <c r="P701" i="21"/>
  <c r="U701" i="21"/>
  <c r="P728" i="21"/>
  <c r="U728" i="21"/>
  <c r="P237" i="21"/>
  <c r="U237" i="21" s="1"/>
  <c r="P129" i="21"/>
  <c r="U129" i="21" s="1"/>
  <c r="P650" i="21"/>
  <c r="U650" i="21"/>
  <c r="P348" i="21"/>
  <c r="U348" i="21"/>
  <c r="P267" i="21"/>
  <c r="U267" i="21"/>
  <c r="P568" i="21"/>
  <c r="U568" i="21"/>
  <c r="P574" i="21"/>
  <c r="U574" i="21"/>
  <c r="P410" i="21"/>
  <c r="U410" i="21"/>
  <c r="P455" i="21"/>
  <c r="U455" i="21"/>
  <c r="P457" i="21"/>
  <c r="U457" i="21" s="1"/>
  <c r="P91" i="21"/>
  <c r="U91" i="21"/>
  <c r="P67" i="21"/>
  <c r="U67" i="21"/>
  <c r="P99" i="21"/>
  <c r="U99" i="21"/>
  <c r="P314" i="21"/>
  <c r="U314" i="21" s="1"/>
  <c r="P370" i="21"/>
  <c r="U370" i="21"/>
  <c r="P121" i="21"/>
  <c r="U121" i="21"/>
  <c r="P444" i="21"/>
  <c r="U444" i="21"/>
  <c r="P306" i="21"/>
  <c r="U306" i="21" s="1"/>
  <c r="P247" i="21"/>
  <c r="U247" i="21"/>
  <c r="P171" i="21"/>
  <c r="U171" i="21"/>
  <c r="P449" i="21"/>
  <c r="U449" i="21"/>
  <c r="P580" i="21"/>
  <c r="U580" i="21"/>
  <c r="P420" i="21"/>
  <c r="U420" i="21"/>
  <c r="P262" i="21"/>
  <c r="U262" i="21"/>
  <c r="P398" i="21"/>
  <c r="U398" i="21"/>
  <c r="P722" i="21"/>
  <c r="U722" i="21" s="1"/>
  <c r="P260" i="21"/>
  <c r="U260" i="21"/>
  <c r="P733" i="21"/>
  <c r="U733" i="21"/>
  <c r="P437" i="21"/>
  <c r="U437" i="21"/>
  <c r="P336" i="21"/>
  <c r="U336" i="21" s="1"/>
  <c r="P415" i="21"/>
  <c r="U415" i="21"/>
  <c r="P329" i="21"/>
  <c r="U329" i="21" s="1"/>
  <c r="P453" i="21"/>
  <c r="U453" i="21"/>
  <c r="P367" i="21"/>
  <c r="U367" i="21" s="1"/>
  <c r="P216" i="21"/>
  <c r="U216" i="21"/>
  <c r="P732" i="21"/>
  <c r="U732" i="21"/>
  <c r="P381" i="21"/>
  <c r="U381" i="21"/>
  <c r="P80" i="21"/>
  <c r="U80" i="21"/>
  <c r="P296" i="21"/>
  <c r="U296" i="21"/>
  <c r="P161" i="21"/>
  <c r="U161" i="21"/>
  <c r="P501" i="21"/>
  <c r="U501" i="21"/>
  <c r="P42" i="21"/>
  <c r="U42" i="21" s="1"/>
  <c r="P634" i="21"/>
  <c r="U634" i="21"/>
  <c r="P223" i="21"/>
  <c r="U223" i="21"/>
  <c r="P741" i="21"/>
  <c r="U741" i="21"/>
  <c r="P696" i="21"/>
  <c r="U696" i="21"/>
  <c r="P702" i="21"/>
  <c r="U702" i="21"/>
  <c r="P596" i="21"/>
  <c r="U596" i="21" s="1"/>
  <c r="P33" i="21"/>
  <c r="U33" i="21" s="1"/>
  <c r="P55" i="21"/>
  <c r="U55" i="21" s="1"/>
  <c r="P317" i="21"/>
  <c r="U317" i="21"/>
  <c r="P110" i="21"/>
  <c r="U110" i="21"/>
  <c r="P658" i="21"/>
  <c r="U658" i="21"/>
  <c r="P220" i="21"/>
  <c r="U220" i="21"/>
  <c r="P203" i="21"/>
  <c r="U203" i="21"/>
  <c r="P23" i="21"/>
  <c r="U23" i="21"/>
  <c r="P205" i="21"/>
  <c r="U205" i="21"/>
  <c r="P692" i="21"/>
  <c r="U692" i="21" s="1"/>
  <c r="P380" i="21"/>
  <c r="U380" i="21"/>
  <c r="P499" i="21"/>
  <c r="U499" i="21"/>
  <c r="P79" i="21"/>
  <c r="U79" i="21"/>
  <c r="P404" i="21"/>
  <c r="U404" i="21"/>
  <c r="P705" i="21"/>
  <c r="U705" i="21"/>
  <c r="P531" i="21"/>
  <c r="U531" i="21" s="1"/>
  <c r="P524" i="21"/>
  <c r="U524" i="21" s="1"/>
  <c r="P257" i="21"/>
  <c r="U257" i="21" s="1"/>
  <c r="P298" i="21"/>
  <c r="U298" i="21"/>
  <c r="P274" i="21"/>
  <c r="U274" i="21"/>
  <c r="P610" i="21"/>
  <c r="U610" i="21"/>
  <c r="P200" i="21"/>
  <c r="U200" i="21"/>
  <c r="P476" i="21"/>
  <c r="U476" i="21"/>
  <c r="P225" i="21"/>
  <c r="U225" i="21"/>
  <c r="P44" i="21"/>
  <c r="U44" i="21"/>
  <c r="P641" i="21"/>
  <c r="U641" i="21" s="1"/>
  <c r="P489" i="21"/>
  <c r="U489" i="21"/>
  <c r="P532" i="21"/>
  <c r="U532" i="21"/>
  <c r="P45" i="21"/>
  <c r="U45" i="21"/>
  <c r="P509" i="21"/>
  <c r="U509" i="21" s="1"/>
  <c r="P330" i="21"/>
  <c r="U330" i="21"/>
  <c r="P688" i="21"/>
  <c r="U688" i="21"/>
  <c r="P115" i="21"/>
  <c r="U115" i="21" s="1"/>
  <c r="P683" i="21"/>
  <c r="U683" i="21" s="1"/>
  <c r="P111" i="21"/>
  <c r="U111" i="21"/>
  <c r="P276" i="21"/>
  <c r="U276" i="21"/>
  <c r="P165" i="21"/>
  <c r="U165" i="21"/>
  <c r="P325" i="21"/>
  <c r="U325" i="21"/>
  <c r="P504" i="21"/>
  <c r="U504" i="21"/>
  <c r="P497" i="21"/>
  <c r="U497" i="21"/>
  <c r="P12" i="21"/>
  <c r="U12" i="21"/>
  <c r="P268" i="21"/>
  <c r="U268" i="21" s="1"/>
  <c r="P318" i="21"/>
  <c r="U318" i="21"/>
  <c r="P703" i="21"/>
  <c r="U703" i="21"/>
  <c r="P675" i="21"/>
  <c r="U675" i="21"/>
  <c r="P637" i="21"/>
  <c r="U637" i="21"/>
  <c r="P417" i="21"/>
  <c r="U417" i="21"/>
  <c r="P432" i="21"/>
  <c r="U432" i="21"/>
  <c r="P207" i="21"/>
  <c r="U207" i="21"/>
  <c r="P228" i="21"/>
  <c r="U228" i="21" s="1"/>
  <c r="P337" i="21"/>
  <c r="U337" i="21"/>
  <c r="P122" i="21"/>
  <c r="U122" i="21"/>
  <c r="P615" i="21"/>
  <c r="U615" i="21"/>
  <c r="P309" i="21"/>
  <c r="U309" i="21"/>
  <c r="P463" i="21"/>
  <c r="U463" i="21"/>
  <c r="P288" i="21"/>
  <c r="U288" i="21"/>
  <c r="P371" i="21"/>
  <c r="U371" i="21"/>
  <c r="P94" i="21"/>
  <c r="U94" i="21" s="1"/>
  <c r="P181" i="21"/>
  <c r="U181" i="21"/>
  <c r="P362" i="21"/>
  <c r="U362" i="21"/>
  <c r="P174" i="21"/>
  <c r="U174" i="21"/>
  <c r="P640" i="21"/>
  <c r="U640" i="21"/>
  <c r="P365" i="21"/>
  <c r="U365" i="21"/>
  <c r="P90" i="21"/>
  <c r="U90" i="21" s="1"/>
  <c r="P721" i="21"/>
  <c r="U721" i="21"/>
  <c r="P307" i="21"/>
  <c r="U307" i="21" s="1"/>
  <c r="P143" i="21"/>
  <c r="U143" i="21"/>
  <c r="P690" i="21"/>
  <c r="U690" i="21"/>
  <c r="P419" i="21"/>
  <c r="U419" i="21"/>
  <c r="P175" i="21"/>
  <c r="U175" i="21"/>
  <c r="P250" i="21"/>
  <c r="U250" i="21"/>
  <c r="P393" i="21"/>
  <c r="U393" i="21"/>
  <c r="P666" i="21"/>
  <c r="U666" i="21"/>
  <c r="P326" i="21"/>
  <c r="U326" i="21" s="1"/>
  <c r="P41" i="21"/>
  <c r="U41" i="21"/>
  <c r="P130" i="21"/>
  <c r="U130" i="21"/>
  <c r="P379" i="21"/>
  <c r="U379" i="21"/>
  <c r="P576" i="21"/>
  <c r="U576" i="21" s="1"/>
  <c r="P63" i="21"/>
  <c r="U63" i="21"/>
  <c r="P245" i="21"/>
  <c r="U245" i="21"/>
  <c r="P214" i="21"/>
  <c r="U214" i="21" s="1"/>
  <c r="P56" i="21"/>
  <c r="U56" i="21" s="1"/>
  <c r="P219" i="21"/>
  <c r="U219" i="21"/>
  <c r="P172" i="21"/>
  <c r="U172" i="21"/>
  <c r="P720" i="21"/>
  <c r="U720" i="21"/>
  <c r="P384" i="21"/>
  <c r="U384" i="21"/>
  <c r="P135" i="21"/>
  <c r="U135" i="21"/>
  <c r="P433" i="21"/>
  <c r="U433" i="21"/>
  <c r="P464" i="21"/>
  <c r="U464" i="21"/>
  <c r="P229" i="21"/>
  <c r="U229" i="21" s="1"/>
  <c r="P25" i="21"/>
  <c r="U25" i="21"/>
  <c r="P669" i="21"/>
  <c r="U669" i="21"/>
  <c r="P148" i="21"/>
  <c r="U148" i="21"/>
  <c r="P95" i="21"/>
  <c r="U95" i="21" s="1"/>
  <c r="P526" i="21"/>
  <c r="U526" i="21"/>
  <c r="P182" i="21"/>
  <c r="U182" i="21"/>
  <c r="P259" i="21"/>
  <c r="U259" i="21"/>
  <c r="P616" i="21"/>
  <c r="U616" i="21" s="1"/>
  <c r="P589" i="21"/>
  <c r="U589" i="21"/>
  <c r="P289" i="21"/>
  <c r="U289" i="21"/>
  <c r="P487" i="21"/>
  <c r="U487" i="21"/>
  <c r="P208" i="21"/>
  <c r="U208" i="21"/>
  <c r="P310" i="21"/>
  <c r="U310" i="21"/>
  <c r="P607" i="21"/>
  <c r="U607" i="21"/>
  <c r="P357" i="21"/>
  <c r="U357" i="21"/>
  <c r="P139" i="21"/>
  <c r="U139" i="21" s="1"/>
  <c r="P506" i="21"/>
  <c r="U506" i="21"/>
  <c r="P447" i="21"/>
  <c r="U447" i="21"/>
  <c r="P327" i="21"/>
  <c r="U327" i="21"/>
  <c r="P633" i="21"/>
  <c r="U633" i="21" s="1"/>
  <c r="P661" i="21"/>
  <c r="U661" i="21"/>
  <c r="P412" i="21"/>
  <c r="U412" i="21" s="1"/>
  <c r="P197" i="21"/>
  <c r="U197" i="21"/>
  <c r="P740" i="21"/>
  <c r="U740" i="21" s="1"/>
  <c r="P684" i="21"/>
  <c r="U684" i="21"/>
  <c r="P388" i="21"/>
  <c r="U388" i="21"/>
  <c r="P112" i="21"/>
  <c r="U112" i="21"/>
  <c r="P84" i="21"/>
  <c r="U84" i="21"/>
  <c r="P303" i="21"/>
  <c r="U303" i="21"/>
  <c r="P167" i="21"/>
  <c r="U167" i="21"/>
  <c r="P544" i="21"/>
  <c r="U544" i="21"/>
  <c r="P535" i="21"/>
  <c r="U535" i="21" s="1"/>
  <c r="P238" i="21"/>
  <c r="U238" i="21"/>
  <c r="P349" i="21"/>
  <c r="U349" i="21"/>
  <c r="P440" i="21"/>
  <c r="U440" i="21"/>
  <c r="P597" i="21"/>
  <c r="U597" i="21"/>
  <c r="P624" i="21"/>
  <c r="U624" i="21"/>
  <c r="P158" i="21"/>
  <c r="U158" i="21" s="1"/>
  <c r="P498" i="21"/>
  <c r="U498" i="21" s="1"/>
  <c r="P78" i="21"/>
  <c r="U78" i="21" s="1"/>
  <c r="P676" i="21"/>
  <c r="U676" i="21"/>
  <c r="P319" i="21"/>
  <c r="U319" i="21"/>
  <c r="P269" i="21"/>
  <c r="U269" i="21"/>
  <c r="P651" i="21"/>
  <c r="U651" i="21"/>
  <c r="P376" i="21"/>
  <c r="U376" i="21"/>
  <c r="P185" i="21"/>
  <c r="U185" i="21"/>
  <c r="P727" i="21"/>
  <c r="U727" i="21"/>
  <c r="P530" i="21"/>
  <c r="U530" i="21" s="1"/>
  <c r="P341" i="21"/>
  <c r="U341" i="21"/>
  <c r="P495" i="21"/>
  <c r="U495" i="21"/>
  <c r="P102" i="21"/>
  <c r="U102" i="21" s="1"/>
  <c r="P700" i="21"/>
  <c r="U700" i="21"/>
  <c r="P155" i="21"/>
  <c r="U155" i="21"/>
  <c r="P595" i="21"/>
  <c r="U595" i="21" s="1"/>
  <c r="P32" i="21"/>
  <c r="U32" i="21" s="1"/>
  <c r="P236" i="21"/>
  <c r="U236" i="21" s="1"/>
  <c r="P673" i="21"/>
  <c r="U673" i="21"/>
  <c r="P188" i="21"/>
  <c r="U188" i="21"/>
  <c r="P11" i="21"/>
  <c r="U11" i="21"/>
  <c r="P622" i="21"/>
  <c r="U622" i="21"/>
  <c r="P266" i="21"/>
  <c r="U266" i="21"/>
  <c r="P76" i="21"/>
  <c r="U76" i="21"/>
  <c r="P316" i="21"/>
  <c r="U316" i="21"/>
  <c r="P465" i="21"/>
  <c r="U465" i="21" s="1"/>
  <c r="P230" i="21"/>
  <c r="U230" i="21" s="1"/>
  <c r="P71" i="21"/>
  <c r="U71" i="21"/>
  <c r="P51" i="21"/>
  <c r="U51" i="21"/>
  <c r="P150" i="21"/>
  <c r="U150" i="21"/>
  <c r="P96" i="21"/>
  <c r="U96" i="21"/>
  <c r="P339" i="21"/>
  <c r="U339" i="21"/>
  <c r="P124" i="21"/>
  <c r="U124" i="21"/>
  <c r="P434" i="21"/>
  <c r="U434" i="21" s="1"/>
  <c r="P374" i="21"/>
  <c r="U374" i="21" s="1"/>
  <c r="P528" i="21"/>
  <c r="U528" i="21"/>
  <c r="P488" i="21"/>
  <c r="U488" i="21"/>
  <c r="P397" i="21"/>
  <c r="U397" i="21"/>
  <c r="P183" i="21"/>
  <c r="U183" i="21"/>
  <c r="P261" i="21"/>
  <c r="U261" i="21"/>
  <c r="P566" i="21"/>
  <c r="U566" i="21"/>
  <c r="P209" i="21"/>
  <c r="U209" i="21" s="1"/>
  <c r="P248" i="21"/>
  <c r="U248" i="21" s="1"/>
  <c r="P281" i="21"/>
  <c r="U281" i="21"/>
  <c r="P361" i="21"/>
  <c r="U361" i="21"/>
  <c r="P450" i="21"/>
  <c r="U450" i="21"/>
  <c r="P549" i="21"/>
  <c r="U549" i="21"/>
  <c r="P116" i="21"/>
  <c r="U116" i="21"/>
  <c r="P510" i="21"/>
  <c r="U510" i="21"/>
  <c r="P88" i="21"/>
  <c r="U88" i="21" s="1"/>
  <c r="P416" i="21"/>
  <c r="U416" i="21" s="1"/>
  <c r="P451" i="21"/>
  <c r="U451" i="21"/>
  <c r="P331" i="21"/>
  <c r="U331" i="21"/>
  <c r="P66" i="21"/>
  <c r="U66" i="21"/>
  <c r="P558" i="21"/>
  <c r="U558" i="21"/>
  <c r="P583" i="21"/>
  <c r="U583" i="21"/>
  <c r="P751" i="21"/>
  <c r="U751" i="21"/>
  <c r="P519" i="21"/>
  <c r="U519" i="21" s="1"/>
  <c r="P557" i="21"/>
  <c r="U557" i="21" s="1"/>
  <c r="P750" i="21"/>
  <c r="U750" i="21" s="1"/>
  <c r="P483" i="21"/>
  <c r="U483" i="21"/>
  <c r="P555" i="21"/>
  <c r="U555" i="21" s="1"/>
  <c r="P657" i="21"/>
  <c r="U657" i="21"/>
  <c r="P409" i="21"/>
  <c r="U409" i="21" s="1"/>
  <c r="P194" i="21"/>
  <c r="U194" i="21"/>
  <c r="P682" i="21"/>
  <c r="U682" i="21" s="1"/>
  <c r="P385" i="21"/>
  <c r="U385" i="21" s="1"/>
  <c r="P62" i="21"/>
  <c r="U62" i="21" s="1"/>
  <c r="P324" i="21"/>
  <c r="U324" i="21"/>
  <c r="P603" i="21"/>
  <c r="U603" i="21"/>
  <c r="P300" i="21"/>
  <c r="U300" i="21"/>
  <c r="P40" i="21"/>
  <c r="U40" i="21"/>
  <c r="P164" i="21"/>
  <c r="U164" i="21"/>
  <c r="P275" i="21"/>
  <c r="U275" i="21" s="1"/>
  <c r="P709" i="21"/>
  <c r="U709" i="21" s="1"/>
  <c r="P355" i="21"/>
  <c r="U355" i="21" s="1"/>
  <c r="P83" i="21"/>
  <c r="U83" i="21"/>
  <c r="P630" i="21"/>
  <c r="U630" i="21" s="1"/>
  <c r="P736" i="21"/>
  <c r="U736" i="21"/>
  <c r="P602" i="21"/>
  <c r="U602" i="21"/>
  <c r="P408" i="21"/>
  <c r="U408" i="21" s="1"/>
  <c r="P193" i="21"/>
  <c r="U193" i="21" s="1"/>
  <c r="P735" i="21"/>
  <c r="U735" i="21" s="1"/>
  <c r="P681" i="21"/>
  <c r="U681" i="21" s="1"/>
  <c r="P629" i="21"/>
  <c r="U629" i="21"/>
  <c r="P163" i="21"/>
  <c r="U163" i="21"/>
  <c r="P299" i="21"/>
  <c r="U299" i="21"/>
  <c r="P39" i="21"/>
  <c r="U39" i="21"/>
  <c r="P445" i="21"/>
  <c r="U445" i="21"/>
  <c r="P109" i="21"/>
  <c r="U109" i="21" s="1"/>
  <c r="P656" i="21"/>
  <c r="U656" i="21" s="1"/>
  <c r="P354" i="21"/>
  <c r="U354" i="21" s="1"/>
  <c r="P82" i="21"/>
  <c r="U82" i="21" s="1"/>
  <c r="P61" i="21"/>
  <c r="U61" i="21" s="1"/>
  <c r="P572" i="21"/>
  <c r="U572" i="21"/>
  <c r="P458" i="21"/>
  <c r="U458" i="21"/>
  <c r="P235" i="21"/>
  <c r="U235" i="21" s="1"/>
  <c r="P128" i="21"/>
  <c r="U128" i="21" s="1"/>
  <c r="P117" i="21"/>
  <c r="U117" i="21" s="1"/>
  <c r="P89" i="21"/>
  <c r="U89" i="21" s="1"/>
  <c r="P491" i="21"/>
  <c r="U491" i="21"/>
  <c r="P153" i="21"/>
  <c r="U153" i="21"/>
  <c r="P31" i="21"/>
  <c r="U31" i="21"/>
  <c r="P186" i="21"/>
  <c r="U186" i="21" s="1"/>
  <c r="P592" i="21"/>
  <c r="U592" i="21"/>
  <c r="P73" i="21"/>
  <c r="U73" i="21" s="1"/>
  <c r="P264" i="21"/>
  <c r="U264" i="21" s="1"/>
  <c r="P697" i="21"/>
  <c r="U697" i="21" s="1"/>
  <c r="P232" i="21"/>
  <c r="U232" i="21"/>
  <c r="P671" i="21"/>
  <c r="U671" i="21"/>
  <c r="P344" i="21"/>
  <c r="U344" i="21" s="1"/>
  <c r="P466" i="21"/>
  <c r="U466" i="21" s="1"/>
  <c r="P231" i="21"/>
  <c r="U231" i="21" s="1"/>
  <c r="P72" i="21"/>
  <c r="U72" i="21" s="1"/>
  <c r="P151" i="21"/>
  <c r="U151" i="21" s="1"/>
  <c r="P97" i="21"/>
  <c r="U97" i="21" s="1"/>
  <c r="P529" i="21"/>
  <c r="U529" i="21"/>
  <c r="P618" i="21"/>
  <c r="U618" i="21"/>
  <c r="P312" i="21"/>
  <c r="U312" i="21"/>
  <c r="P435" i="21"/>
  <c r="U435" i="21"/>
  <c r="P340" i="21"/>
  <c r="U340" i="21"/>
  <c r="P567" i="21"/>
  <c r="U567" i="21" s="1"/>
  <c r="P590" i="21"/>
  <c r="U590" i="21" s="1"/>
  <c r="P292" i="21"/>
  <c r="U292" i="21" s="1"/>
  <c r="P28" i="21"/>
  <c r="U28" i="21"/>
  <c r="P210" i="21"/>
  <c r="U210" i="21"/>
  <c r="P648" i="21"/>
  <c r="U648" i="21" s="1"/>
  <c r="P125" i="21"/>
  <c r="U125" i="21"/>
  <c r="P52" i="21"/>
  <c r="U52" i="21"/>
  <c r="P479" i="21"/>
  <c r="U479" i="21" s="1"/>
  <c r="P251" i="21"/>
  <c r="U251" i="21" s="1"/>
  <c r="P454" i="21"/>
  <c r="U454" i="21" s="1"/>
  <c r="P332" i="21"/>
  <c r="U332" i="21"/>
  <c r="P611" i="21"/>
  <c r="U611" i="21" s="1"/>
  <c r="P308" i="21"/>
  <c r="U308" i="21"/>
  <c r="P394" i="21"/>
  <c r="U394" i="21"/>
  <c r="P667" i="21"/>
  <c r="U667" i="21"/>
  <c r="P366" i="21"/>
  <c r="U366" i="21" s="1"/>
  <c r="P691" i="21"/>
  <c r="U691" i="21" s="1"/>
  <c r="P638" i="21"/>
  <c r="U638" i="21" s="1"/>
  <c r="P556" i="21"/>
  <c r="U556" i="21" s="1"/>
  <c r="P582" i="21"/>
  <c r="U582" i="21"/>
  <c r="P749" i="21"/>
  <c r="U749" i="21" s="1"/>
  <c r="P482" i="21"/>
  <c r="U482" i="21"/>
  <c r="P407" i="21"/>
  <c r="U407" i="21"/>
  <c r="P134" i="21"/>
  <c r="U134" i="21" s="1"/>
  <c r="P734" i="21"/>
  <c r="U734" i="21" s="1"/>
  <c r="P601" i="21"/>
  <c r="U601" i="21" s="1"/>
  <c r="P539" i="21"/>
  <c r="U539" i="21"/>
  <c r="P38" i="21"/>
  <c r="U38" i="21"/>
  <c r="P60" i="21"/>
  <c r="U60" i="21"/>
  <c r="P628" i="21"/>
  <c r="U628" i="21"/>
  <c r="P217" i="21"/>
  <c r="U217" i="21" s="1"/>
  <c r="P383" i="21"/>
  <c r="U383" i="21" s="1"/>
  <c r="P242" i="21"/>
  <c r="U242" i="21" s="1"/>
  <c r="P538" i="21"/>
  <c r="U538" i="21" s="1"/>
  <c r="P272" i="21"/>
  <c r="U272" i="21" s="1"/>
  <c r="P37" i="21"/>
  <c r="U37" i="21"/>
  <c r="P108" i="21"/>
  <c r="U108" i="21"/>
  <c r="P241" i="21"/>
  <c r="U241" i="21" s="1"/>
  <c r="P352" i="21"/>
  <c r="U352" i="21"/>
  <c r="P600" i="21"/>
  <c r="U600" i="21" s="1"/>
  <c r="P322" i="21"/>
  <c r="U322" i="21" s="1"/>
  <c r="P81" i="21"/>
  <c r="U81" i="21" s="1"/>
  <c r="P406" i="21"/>
  <c r="U406" i="21"/>
  <c r="P59" i="21"/>
  <c r="U59" i="21"/>
  <c r="P627" i="21"/>
  <c r="U627" i="21"/>
  <c r="P492" i="21"/>
  <c r="U492" i="21"/>
  <c r="P154" i="21"/>
  <c r="U154" i="21"/>
  <c r="P265" i="21"/>
  <c r="U265" i="21" s="1"/>
  <c r="P698" i="21"/>
  <c r="U698" i="21" s="1"/>
  <c r="P315" i="21"/>
  <c r="U315" i="21" s="1"/>
  <c r="P9" i="21"/>
  <c r="U9" i="21" s="1"/>
  <c r="P373" i="21"/>
  <c r="U373" i="21"/>
  <c r="P725" i="21"/>
  <c r="U725" i="21"/>
  <c r="P617" i="21"/>
  <c r="U617" i="21" s="1"/>
  <c r="P149" i="21"/>
  <c r="U149" i="21"/>
  <c r="P563" i="21"/>
  <c r="U563" i="21" s="1"/>
  <c r="P643" i="21"/>
  <c r="U643" i="21" s="1"/>
  <c r="P249" i="21"/>
  <c r="U249" i="21" s="1"/>
  <c r="P15" i="21"/>
  <c r="U15" i="21" s="1"/>
  <c r="P474" i="21"/>
  <c r="U474" i="21" s="1"/>
  <c r="P716" i="21"/>
  <c r="U716" i="21"/>
  <c r="P157" i="21"/>
  <c r="U157" i="21"/>
  <c r="P126" i="21"/>
  <c r="U126" i="21" s="1"/>
  <c r="P372" i="21"/>
  <c r="U372" i="21"/>
  <c r="P70" i="21"/>
  <c r="U70" i="21"/>
  <c r="P647" i="21"/>
  <c r="U647" i="21"/>
  <c r="P710" i="21"/>
  <c r="U710" i="21" s="1"/>
  <c r="P346" i="21"/>
  <c r="U346" i="21" s="1"/>
  <c r="P202" i="21"/>
  <c r="U202" i="21"/>
  <c r="P226" i="21"/>
  <c r="U226" i="21"/>
  <c r="P585" i="21"/>
  <c r="U585" i="21" s="1"/>
  <c r="P138" i="21"/>
  <c r="U138" i="21"/>
  <c r="P168" i="21"/>
  <c r="U168" i="21"/>
  <c r="P277" i="21"/>
  <c r="U277" i="21"/>
  <c r="P304" i="21"/>
  <c r="U304" i="21" s="1"/>
  <c r="P34" i="21"/>
  <c r="U34" i="21" s="1"/>
  <c r="P105" i="21"/>
  <c r="U105" i="21"/>
  <c r="P503" i="21"/>
  <c r="U503" i="21"/>
  <c r="P446" i="21"/>
  <c r="U446" i="21" s="1"/>
  <c r="P541" i="21"/>
  <c r="U541" i="21"/>
  <c r="P518" i="21"/>
  <c r="U518" i="21"/>
  <c r="P280" i="21"/>
  <c r="U280" i="21"/>
  <c r="P484" i="21"/>
  <c r="U484" i="21" s="1"/>
  <c r="P639" i="21"/>
  <c r="U639" i="21" s="1"/>
  <c r="P29" i="21"/>
  <c r="U29" i="21"/>
  <c r="P218" i="21"/>
  <c r="U218" i="21"/>
  <c r="P243" i="21"/>
  <c r="U243" i="21" s="1"/>
  <c r="P752" i="21"/>
  <c r="U752" i="21"/>
  <c r="P511" i="21"/>
  <c r="U511" i="21"/>
  <c r="P477" i="21"/>
  <c r="U477" i="21"/>
  <c r="P646" i="21"/>
  <c r="U646" i="21" s="1"/>
  <c r="P564" i="21"/>
  <c r="U564" i="21" s="1"/>
  <c r="P50" i="21"/>
  <c r="U50" i="21"/>
  <c r="P396" i="21"/>
  <c r="U396" i="21"/>
  <c r="P27" i="21"/>
  <c r="U27" i="21" s="1"/>
  <c r="P402" i="21"/>
  <c r="U402" i="21"/>
  <c r="P553" i="21"/>
  <c r="U553" i="21"/>
  <c r="P581" i="21"/>
  <c r="U581" i="21"/>
  <c r="P542" i="21"/>
  <c r="U542" i="21" s="1"/>
  <c r="P738" i="21"/>
  <c r="U738" i="21" s="1"/>
  <c r="P176" i="21"/>
  <c r="U176" i="21"/>
  <c r="P20" i="21"/>
  <c r="U20" i="21"/>
  <c r="P144" i="21"/>
  <c r="U144" i="21" s="1"/>
  <c r="P693" i="21"/>
  <c r="U693" i="21"/>
  <c r="P460" i="21"/>
  <c r="U460" i="21"/>
  <c r="P256" i="21"/>
  <c r="U256" i="21"/>
  <c r="P614" i="21"/>
  <c r="U614" i="21" s="1"/>
  <c r="P305" i="21"/>
  <c r="U305" i="21" s="1"/>
  <c r="P140" i="21"/>
  <c r="U140" i="21"/>
  <c r="P413" i="21"/>
  <c r="U413" i="21"/>
  <c r="P113" i="21"/>
  <c r="U113" i="21" s="1"/>
  <c r="P328" i="21"/>
  <c r="U328" i="21"/>
  <c r="P608" i="21"/>
  <c r="U608" i="21"/>
  <c r="P436" i="21"/>
  <c r="U436" i="21"/>
  <c r="P619" i="21"/>
  <c r="U619" i="21" s="1"/>
  <c r="P452" i="21"/>
  <c r="U452" i="21" s="1"/>
  <c r="P177" i="21"/>
  <c r="U177" i="21"/>
  <c r="P342" i="21"/>
  <c r="U342" i="21"/>
  <c r="P718" i="21"/>
  <c r="U718" i="21" s="1"/>
  <c r="D28" i="19" s="1"/>
  <c r="P695" i="21"/>
  <c r="U695" i="21" s="1"/>
  <c r="P6" i="21"/>
  <c r="U6" i="21" s="1"/>
  <c r="P263" i="21"/>
  <c r="U263" i="21"/>
  <c r="P593" i="21"/>
  <c r="U593" i="21" s="1"/>
  <c r="P101" i="21"/>
  <c r="U101" i="21" s="1"/>
  <c r="P467" i="21"/>
  <c r="U467" i="21" s="1"/>
  <c r="P485" i="21"/>
  <c r="U485" i="21"/>
  <c r="P520" i="21"/>
  <c r="U520" i="21" s="1"/>
  <c r="P743" i="21"/>
  <c r="U743" i="21" s="1"/>
  <c r="P508" i="21"/>
  <c r="U508" i="21" s="1"/>
  <c r="P279" i="21"/>
  <c r="U279" i="21"/>
  <c r="P65" i="21"/>
  <c r="U65" i="21"/>
  <c r="P43" i="21"/>
  <c r="U43" i="21"/>
  <c r="P360" i="21"/>
  <c r="U360" i="21"/>
  <c r="P87" i="21"/>
  <c r="U87" i="21"/>
  <c r="P605" i="21"/>
  <c r="U605" i="21" s="1"/>
  <c r="P196" i="21"/>
  <c r="U196" i="21" s="1"/>
  <c r="P411" i="21"/>
  <c r="U411" i="21" s="1"/>
  <c r="P221" i="21"/>
  <c r="U221" i="21"/>
  <c r="P674" i="21"/>
  <c r="U674" i="21" s="1"/>
  <c r="P439" i="21"/>
  <c r="U439" i="21"/>
  <c r="P213" i="21"/>
  <c r="U213" i="21"/>
  <c r="P561" i="21"/>
  <c r="U561" i="21" s="1"/>
  <c r="P120" i="21"/>
  <c r="U120" i="21" s="1"/>
  <c r="P179" i="21"/>
  <c r="U179" i="21" s="1"/>
  <c r="P246" i="21"/>
  <c r="U246" i="21" s="1"/>
  <c r="P546" i="21"/>
  <c r="U546" i="21"/>
  <c r="P198" i="21"/>
  <c r="U198" i="21"/>
  <c r="P64" i="21"/>
  <c r="U64" i="21"/>
  <c r="P278" i="21"/>
  <c r="U278" i="21"/>
  <c r="P211" i="21"/>
  <c r="U211" i="21"/>
  <c r="P152" i="21"/>
  <c r="U152" i="21" s="1"/>
  <c r="P723" i="21"/>
  <c r="U723" i="21" s="1"/>
  <c r="P522" i="21"/>
  <c r="U522" i="21" s="1"/>
  <c r="P13" i="21"/>
  <c r="U13" i="21" s="1"/>
  <c r="P159" i="21"/>
  <c r="U159" i="21" s="1"/>
  <c r="P677" i="21"/>
  <c r="U677" i="21"/>
  <c r="P106" i="21"/>
  <c r="U106" i="21"/>
  <c r="P131" i="21"/>
  <c r="U131" i="21" s="1"/>
  <c r="P350" i="21"/>
  <c r="U350" i="21"/>
  <c r="P93" i="21"/>
  <c r="U93" i="21" s="1"/>
  <c r="P69" i="21"/>
  <c r="U69" i="21" s="1"/>
  <c r="D6" i="19" l="1"/>
  <c r="D23" i="19"/>
  <c r="D20" i="19"/>
  <c r="D9" i="19"/>
  <c r="D22" i="19"/>
  <c r="D4" i="19"/>
  <c r="D25" i="19"/>
  <c r="T4" i="21"/>
  <c r="D12" i="19"/>
  <c r="U4" i="21"/>
  <c r="D32" i="19" s="1"/>
  <c r="D8" i="19"/>
  <c r="D27" i="19"/>
  <c r="D19" i="19"/>
  <c r="D7" i="19"/>
  <c r="D21" i="19"/>
  <c r="D26" i="19"/>
  <c r="D5" i="19"/>
  <c r="D24" i="19"/>
  <c r="D3" i="19"/>
  <c r="D30" i="19" l="1"/>
  <c r="D33" i="19" s="1"/>
  <c r="D14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" authorId="0" shapeId="0" xr:uid="{D3756484-B8B1-4129-8B5B-E9D1298F9C00}">
      <text>
        <r>
          <rPr>
            <b/>
            <sz val="9"/>
            <color indexed="81"/>
            <rFont val="Tahoma"/>
            <family val="2"/>
          </rPr>
          <t>DIGANTI KALO EMANG HARGA BARU PAKE PPN 11%
KALO ENGGA TETEP PAKE 10% GAUSAH DIRUBAH</t>
        </r>
      </text>
    </comment>
    <comment ref="C11" authorId="0" shapeId="0" xr:uid="{E841B629-8D2D-4385-9834-8DC4C10F65C0}">
      <text>
        <r>
          <rPr>
            <b/>
            <sz val="9"/>
            <color indexed="81"/>
            <rFont val="Tahoma"/>
            <family val="2"/>
          </rPr>
          <t>lemnya tumpah jadi ga bisa di pake 8kg.</t>
        </r>
      </text>
    </comment>
    <comment ref="R56" authorId="0" shapeId="0" xr:uid="{8B1119A8-AFA3-4B43-9977-D133C222639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RETUR 23 APRIL 2025
</t>
        </r>
      </text>
    </comment>
    <comment ref="C141" authorId="0" shapeId="0" xr:uid="{D4F82EEC-BA30-4C7A-BD91-DC0953D0028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info pas SO 29jun23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1" authorId="0" shapeId="0" xr:uid="{E116DBDB-D3FA-4198-81B4-3CACD039FF47}">
      <text>
        <r>
          <rPr>
            <b/>
            <sz val="9"/>
            <color indexed="81"/>
            <rFont val="Tahoma"/>
            <family val="2"/>
          </rPr>
          <t>lemnya tumpah jadi ga bisa di pake 8kg.</t>
        </r>
      </text>
    </comment>
    <comment ref="B138" authorId="0" shapeId="0" xr:uid="{AD2E8335-0F7D-4417-8DFB-F7D624F7FC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info pas SO 29jun23</t>
        </r>
      </text>
    </comment>
  </commentList>
</comments>
</file>

<file path=xl/sharedStrings.xml><?xml version="1.0" encoding="utf-8"?>
<sst xmlns="http://schemas.openxmlformats.org/spreadsheetml/2006/main" count="21588" uniqueCount="771">
  <si>
    <t>MUTASI MASUK</t>
  </si>
  <si>
    <t>FISIK</t>
  </si>
  <si>
    <t>SELISIH</t>
  </si>
  <si>
    <t>Kg</t>
  </si>
  <si>
    <t>TOTAL</t>
  </si>
  <si>
    <t>KG</t>
  </si>
  <si>
    <t>LITER</t>
  </si>
  <si>
    <t>BLANCOR GL</t>
  </si>
  <si>
    <t>DISPERSE BLUE ACE (LONGPERSE)</t>
  </si>
  <si>
    <t>DISPERSE RED ACE (LONGPERSE)</t>
  </si>
  <si>
    <t>DISPERSE RED F3BS (SEMARON)</t>
  </si>
  <si>
    <t>DISPERSE RED FFG</t>
  </si>
  <si>
    <t>DISPERSE RED S3BS (343)</t>
  </si>
  <si>
    <t>DISPERSE YELLOW ACE (LONGPERSE)</t>
  </si>
  <si>
    <t>DK FOAM HT 42 S (ANTI FOAM)</t>
  </si>
  <si>
    <t>KARISIL 803 N</t>
  </si>
  <si>
    <t>RUCOSTER EEE6 - ID</t>
  </si>
  <si>
    <t>SUNPERSE TS 37</t>
  </si>
  <si>
    <t>SUPEROL DI</t>
  </si>
  <si>
    <t>DISPERSE VIOLET FBL ( VIOLET 26)</t>
  </si>
  <si>
    <t>PERRUSTOL MMU - ID</t>
  </si>
  <si>
    <t>DISPERSE YELLOW 10 G (184)</t>
  </si>
  <si>
    <t>HARGA+PPN</t>
  </si>
  <si>
    <t>AVODA RC (THIOUREA DIOXIDE)</t>
  </si>
  <si>
    <t>CITRIC ACID MONOHYDRATE</t>
  </si>
  <si>
    <t>DAMUSOFT (SOFTENER)</t>
  </si>
  <si>
    <t>DISPERSE NAVY BLUE SGL</t>
  </si>
  <si>
    <t>DISPERSE ORANGE 2GF 200%</t>
  </si>
  <si>
    <t>DISPERSE BORDEAUX DE (CALCRON) (VIOLET)</t>
  </si>
  <si>
    <t>DISPERSE VIOLET S3R (ATLACRON)</t>
  </si>
  <si>
    <t>DISPERSE YELLOW 114 ECON ( 6 GSL )</t>
  </si>
  <si>
    <t>DYAWET W 600</t>
  </si>
  <si>
    <t>SODIUM HEXA METHA POSPHAT POWDER (SHMP)</t>
  </si>
  <si>
    <t>COUSTIC SODA FLAKE</t>
  </si>
  <si>
    <t>TF - T - 454 (OPTIC WHITE)</t>
  </si>
  <si>
    <t>LEM GML PK (LEM BLANKET)</t>
  </si>
  <si>
    <t>PPN</t>
  </si>
  <si>
    <t>DISPERSE BLACK S4BL</t>
  </si>
  <si>
    <t>DISPERSE GREEN C6B</t>
  </si>
  <si>
    <t>PVAC 503</t>
  </si>
  <si>
    <t>DISPERSE BLUE SE2</t>
  </si>
  <si>
    <t>DISPERSE SCARLET 2R ( UNICRON )</t>
  </si>
  <si>
    <t>PRINSOFT WKP</t>
  </si>
  <si>
    <t>HYDROGEN PEROXIDA ( H2O2 )</t>
  </si>
  <si>
    <t>THERMACOAT RESIN TO 90</t>
  </si>
  <si>
    <t>STABILIZER H2O2 SB 1000</t>
  </si>
  <si>
    <t>DISPERSE RUBINE S2GFL ( UNICRON )</t>
  </si>
  <si>
    <t>ACETIC ACID</t>
  </si>
  <si>
    <t>ACETON</t>
  </si>
  <si>
    <t>GARAM KROGUS</t>
  </si>
  <si>
    <t>FOTO EMULSION FLAT LAZER SX</t>
  </si>
  <si>
    <t>HCL ( ASAM CHLORIDA )</t>
  </si>
  <si>
    <t>STRIPPER ADDITIVE SR - 17</t>
  </si>
  <si>
    <t>RESIN M 75</t>
  </si>
  <si>
    <t>ENDRING REMOVER</t>
  </si>
  <si>
    <t>NAMA BARANG</t>
  </si>
  <si>
    <t>FOTO EMULSION ROTARY SX</t>
  </si>
  <si>
    <t>ULTRAGUM HT 8</t>
  </si>
  <si>
    <t>NO</t>
  </si>
  <si>
    <t>SAT</t>
  </si>
  <si>
    <t>DISPERSE RUBINE S -2G 200% (DISPALON)</t>
  </si>
  <si>
    <t>DISPERSE BRILL BLUE SRP (CEMALON)</t>
  </si>
  <si>
    <t>CHEMPOWER - 1400</t>
  </si>
  <si>
    <t>CHEMPOWER - 2002</t>
  </si>
  <si>
    <t>DISPERSE BRILL BLUE SR 300%</t>
  </si>
  <si>
    <t>RENOGENT</t>
  </si>
  <si>
    <t>FOTO EMULSION FLAT SUPERZOL</t>
  </si>
  <si>
    <t>APOSIL HSS - 6</t>
  </si>
  <si>
    <t>HYSOFT TE - 90</t>
  </si>
  <si>
    <t xml:space="preserve">  </t>
  </si>
  <si>
    <t>BINDER SOFT TF - T 320 S</t>
  </si>
  <si>
    <t>PIGMENT KIWADYE BLUE SV - 18</t>
  </si>
  <si>
    <t>CROMIC ACID</t>
  </si>
  <si>
    <t>DIPSERSE RUBINE S2G ( RED 167)</t>
  </si>
  <si>
    <t>ULTRA NUTRI BIO S</t>
  </si>
  <si>
    <t>.</t>
  </si>
  <si>
    <t>SUPER PRINT RT -  88</t>
  </si>
  <si>
    <t>ANTI UV - RUCO SHIELD RAY 500</t>
  </si>
  <si>
    <t>KHANECID DCA</t>
  </si>
  <si>
    <t>WYSOFT LF</t>
  </si>
  <si>
    <t>ULTRA BIOTIFIX</t>
  </si>
  <si>
    <t>HLS 104 NE ( OBAT GARUK )</t>
  </si>
  <si>
    <t>DISPERSE YELLOW 10 GN 400%</t>
  </si>
  <si>
    <t>OUT</t>
  </si>
  <si>
    <t>BINDER FN (HARD BINDER)</t>
  </si>
  <si>
    <t>TANGGAL</t>
  </si>
  <si>
    <t>QTY</t>
  </si>
  <si>
    <t>PCS</t>
  </si>
  <si>
    <t>BUAH</t>
  </si>
  <si>
    <t>CUTTING WHEEL 4 X 1.20 MM (POTONG)</t>
  </si>
  <si>
    <t>DISPERSE BLUE BBLS 200%</t>
  </si>
  <si>
    <t>KLG</t>
  </si>
  <si>
    <t>SERVICE SIKAT JARUM STENTER 7"</t>
  </si>
  <si>
    <t>Ltr</t>
  </si>
  <si>
    <t>ROLL</t>
  </si>
  <si>
    <t>LBR</t>
  </si>
  <si>
    <t>BENANG OBRAS</t>
  </si>
  <si>
    <t>CONES</t>
  </si>
  <si>
    <t>PIGMENT BLACK NO</t>
  </si>
  <si>
    <t>SCREEN MONYL M 135 X 74 30 D</t>
  </si>
  <si>
    <t>MTR</t>
  </si>
  <si>
    <t>SCREEN MONYL M 135 X 88 X 30 D</t>
  </si>
  <si>
    <t>DISPERSE RED F3BS 150%</t>
  </si>
  <si>
    <t>PIGMENT BLUE 11</t>
  </si>
  <si>
    <t>PIGMENT EUROM NAVY BLUE RL</t>
  </si>
  <si>
    <t>PIGMENT EUROM YELLOW EXP 15</t>
  </si>
  <si>
    <t>PIGMENT GREEN YN</t>
  </si>
  <si>
    <t>PIGMENT ORANGE SGR</t>
  </si>
  <si>
    <t>PIGMENT PINK EXF 17</t>
  </si>
  <si>
    <t>PIGMENT PINK FBL CONS</t>
  </si>
  <si>
    <t>PIGMENT RED KGRC</t>
  </si>
  <si>
    <t>PIGMENT RED YNN</t>
  </si>
  <si>
    <t>PIGMENT VIOLET F4B</t>
  </si>
  <si>
    <t>PIGMENT YELLOW HG CONS</t>
  </si>
  <si>
    <t>DISPERSE NAVY BLUE 3G H7 C (KISPERSE)</t>
  </si>
  <si>
    <t>FX - 200 ( FIXER )</t>
  </si>
  <si>
    <t xml:space="preserve">PT. HERO SEKAWAN - </t>
  </si>
  <si>
    <t>DAFTAR TRANSAKSI M/K STOK</t>
  </si>
  <si>
    <t>PERIODE :</t>
  </si>
  <si>
    <t>JENIS BARANG:</t>
  </si>
  <si>
    <t>All</t>
  </si>
  <si>
    <t>NOBUKTI</t>
  </si>
  <si>
    <t>JENIS BARANG</t>
  </si>
  <si>
    <t>KDTRAN</t>
  </si>
  <si>
    <t>MK</t>
  </si>
  <si>
    <t>GD</t>
  </si>
  <si>
    <t>KETERANGAN</t>
  </si>
  <si>
    <t>Stat</t>
  </si>
  <si>
    <t>NOURUT</t>
  </si>
  <si>
    <t>KDBRG</t>
  </si>
  <si>
    <t>NAMABRG</t>
  </si>
  <si>
    <t>STNJ1</t>
  </si>
  <si>
    <t>STNJ2</t>
  </si>
  <si>
    <t>ISI3</t>
  </si>
  <si>
    <t>HRGBELI</t>
  </si>
  <si>
    <t>qBESAR</t>
  </si>
  <si>
    <t>qKECIL</t>
  </si>
  <si>
    <t>OBAT</t>
  </si>
  <si>
    <t>LM</t>
  </si>
  <si>
    <t>M</t>
  </si>
  <si>
    <t>Colour Kitchen (02)</t>
  </si>
  <si>
    <t>CHMD064</t>
  </si>
  <si>
    <t>Gr</t>
  </si>
  <si>
    <t>SPD0112</t>
  </si>
  <si>
    <t>CHMD0067</t>
  </si>
  <si>
    <t>CHMD0051</t>
  </si>
  <si>
    <t>CHMD033</t>
  </si>
  <si>
    <t>CHMD038</t>
  </si>
  <si>
    <t>CHMD061</t>
  </si>
  <si>
    <t>CHMC013</t>
  </si>
  <si>
    <t>CHMS096</t>
  </si>
  <si>
    <t>CHMD073</t>
  </si>
  <si>
    <t>CHMU099</t>
  </si>
  <si>
    <t>Dyeing (06)</t>
  </si>
  <si>
    <t>CHMA004</t>
  </si>
  <si>
    <t>CHMC014</t>
  </si>
  <si>
    <t>Printing (15)</t>
  </si>
  <si>
    <t>CHMA102</t>
  </si>
  <si>
    <t>Mlt</t>
  </si>
  <si>
    <t>Boiler (13)</t>
  </si>
  <si>
    <t>CHMC022</t>
  </si>
  <si>
    <t>CHMC021</t>
  </si>
  <si>
    <t>Limbah (14)</t>
  </si>
  <si>
    <t>CHMD094</t>
  </si>
  <si>
    <t>CHMU112</t>
  </si>
  <si>
    <t>CHMU115</t>
  </si>
  <si>
    <t>Gudang Enggrafing (16)</t>
  </si>
  <si>
    <t>Stenter (07)</t>
  </si>
  <si>
    <t>CHMT102</t>
  </si>
  <si>
    <t>CHMD111</t>
  </si>
  <si>
    <t>CHMD103</t>
  </si>
  <si>
    <t>CHMD080</t>
  </si>
  <si>
    <t>CHMD0119</t>
  </si>
  <si>
    <t>CHMD0118</t>
  </si>
  <si>
    <t>CHMD0117</t>
  </si>
  <si>
    <t>CHMF107</t>
  </si>
  <si>
    <t>WPA 5206 (POLYMER ANIONIC) [barang sudah tidak bisa digunakan]</t>
  </si>
  <si>
    <t>WPC 2968 (POLYMER CATHIONIC) [barang sudah tidak bisa digunakan]</t>
  </si>
  <si>
    <t>KAPORIT [barang sudah tidak bisa digunakan]</t>
  </si>
  <si>
    <t>ULTRA Z [barang sudah tidak bisa digunakan]</t>
  </si>
  <si>
    <t>JUMLAH FISIK</t>
  </si>
  <si>
    <t>JUMLAH FISIK+ PPN</t>
  </si>
  <si>
    <t>CAT NIPPE PUTIH 2000</t>
  </si>
  <si>
    <t>CHMP111</t>
  </si>
  <si>
    <t>SPARE PART</t>
  </si>
  <si>
    <t>SPS0042</t>
  </si>
  <si>
    <t>Maintenance (12)</t>
  </si>
  <si>
    <t>Packing (09)</t>
  </si>
  <si>
    <t>SPC0146</t>
  </si>
  <si>
    <t>SPW0007</t>
  </si>
  <si>
    <t>WD 40</t>
  </si>
  <si>
    <t>SPI0012</t>
  </si>
  <si>
    <t>ISOLASI HITAM</t>
  </si>
  <si>
    <t>SPS0193</t>
  </si>
  <si>
    <t>SPS0222</t>
  </si>
  <si>
    <t>PSG</t>
  </si>
  <si>
    <t>SPG0004</t>
  </si>
  <si>
    <t>GAYUNG</t>
  </si>
  <si>
    <t>SPCW0026</t>
  </si>
  <si>
    <t>CUTTING WHEEL 4" X 6 MM (SLEPAN)</t>
  </si>
  <si>
    <t>SPP0405</t>
  </si>
  <si>
    <t>PLASTIK PE UK 70 X 150 X 0.5</t>
  </si>
  <si>
    <t>Gudang Umum (05)</t>
  </si>
  <si>
    <t>SPC0128</t>
  </si>
  <si>
    <t>CUTTING WHEEL 4" X 6 MM (HAMPELAS)</t>
  </si>
  <si>
    <t>UMUM</t>
  </si>
  <si>
    <t>UMK0033</t>
  </si>
  <si>
    <t>KARUNG BERAS 25 KG</t>
  </si>
  <si>
    <t>LEM PVA [barang sudah tidak bisa digunakan]</t>
  </si>
  <si>
    <t>HLS 104 NE ( OBAT GARUK ) [barang sudah tidak bisa digunakan]</t>
  </si>
  <si>
    <t>Gudang Enggrafing (16) / ON PROSES SCREEN</t>
  </si>
  <si>
    <t>PIGMENT ORANGE EXF - 14</t>
  </si>
  <si>
    <t>ON PROSES</t>
  </si>
  <si>
    <t xml:space="preserve">CATALIST HX </t>
  </si>
  <si>
    <t>LIMBAH</t>
  </si>
  <si>
    <t>RFP (CLP LORENG) / RFP (BLEACHING, KAIN TERTENTU) / ON PROSES</t>
  </si>
  <si>
    <t>Gudang Enggrafing (16) / REMOVE CAT SCREEN ON PROSES</t>
  </si>
  <si>
    <t>RFP (CLP LORENG)</t>
  </si>
  <si>
    <t>Boiler (13) / ON PROSES / MEMBERSIHKAN ZAT KAPUR</t>
  </si>
  <si>
    <t>RFP (BLEACHING, KAIN TERTENTU) / ON PROSES</t>
  </si>
  <si>
    <t>ON PROSES SCREEN</t>
  </si>
  <si>
    <t>RFP (CELUP LORENG)</t>
  </si>
  <si>
    <t>ENGRAFING REMOVER ON PROSES SCREEN</t>
  </si>
  <si>
    <t>ON PROSES SKORING (MESIN)</t>
  </si>
  <si>
    <t>ON PROSES RASFUR</t>
  </si>
  <si>
    <t>RFP / ON PROSES PRINTING</t>
  </si>
  <si>
    <t>STRIPPING FLAT (PRINTING)</t>
  </si>
  <si>
    <t>RFP / RFP (BLEACHING, KAIN TERTENTU) / ON PROSES</t>
  </si>
  <si>
    <t>RFP / ON PROSES DASAR LEM BLANKET</t>
  </si>
  <si>
    <t>RFP (CLP LORENG) / RFP (BLEACHING, KAIN TERTENTU)</t>
  </si>
  <si>
    <t>BINDER 660 N</t>
  </si>
  <si>
    <t>STARSIN M80 ( FIXING AGENT )</t>
  </si>
  <si>
    <t>THICKENER P8E</t>
  </si>
  <si>
    <t>PAC PCO</t>
  </si>
  <si>
    <t>CHMP108</t>
  </si>
  <si>
    <t>NON</t>
  </si>
  <si>
    <t>ON PROSES ( PENGUAT PIGMENT)</t>
  </si>
  <si>
    <t>CHLORASAL DCA</t>
  </si>
  <si>
    <t>DISPERSE RED 3B ( RED 60 )</t>
  </si>
  <si>
    <t>GLISERIN EX ECOCEROL</t>
  </si>
  <si>
    <t>CHMC025</t>
  </si>
  <si>
    <t>DISPERSE NAVY BLUE S - 3BG 200%</t>
  </si>
  <si>
    <t>SPL0041</t>
  </si>
  <si>
    <t>LAMPU TL UV 40 WATT</t>
  </si>
  <si>
    <t>BICARE PVN NEW ( REDUCTION PILLING)</t>
  </si>
  <si>
    <t>+PPN</t>
  </si>
  <si>
    <t>CHMB014</t>
  </si>
  <si>
    <t>CHMW0002</t>
  </si>
  <si>
    <t>ANTISTATIK SZ - 52</t>
  </si>
  <si>
    <t>SUPER SCOUR</t>
  </si>
  <si>
    <t>CHMD105</t>
  </si>
  <si>
    <t>CHMS0125</t>
  </si>
  <si>
    <t>DISPERSE BLACK RLS ( CORALENE)</t>
  </si>
  <si>
    <t>SPS0841</t>
  </si>
  <si>
    <t>SARUNG TANGAN KATUN + KARET</t>
  </si>
  <si>
    <t>DISPERSE RED BEL (PINK)</t>
  </si>
  <si>
    <t>DISPERSE RED EFS (ALILON)</t>
  </si>
  <si>
    <t>THAXAPLAST DOP 100 (SOFTENER PASTA)</t>
  </si>
  <si>
    <t>WPA 5205 ( POLYMER ANIONIC)</t>
  </si>
  <si>
    <t>WPC - 2967 ( POLYMER CATHIONIC )</t>
  </si>
  <si>
    <t>DEFOAMER ZS 50</t>
  </si>
  <si>
    <t>CHMG053</t>
  </si>
  <si>
    <t>CHMW0005</t>
  </si>
  <si>
    <t>CHMW0001</t>
  </si>
  <si>
    <t>SPO0003</t>
  </si>
  <si>
    <t>OLI RANTAI STENTER ( BECHEM )</t>
  </si>
  <si>
    <t>SPBO0077</t>
  </si>
  <si>
    <t>HARGA DPP</t>
  </si>
  <si>
    <t>CROSSCEK</t>
  </si>
  <si>
    <t>HAMPELAS DUCCO NO. 240</t>
  </si>
  <si>
    <t>CHMD091</t>
  </si>
  <si>
    <t>SPB0608</t>
  </si>
  <si>
    <t>BAUD SOCKET L 8 X 30</t>
  </si>
  <si>
    <t>SPH0079</t>
  </si>
  <si>
    <t>SPL0063</t>
  </si>
  <si>
    <t>LAMPU TL LED 16 WATT PHILIPS</t>
  </si>
  <si>
    <t>SPK0137</t>
  </si>
  <si>
    <t>KARET COUPLING NBK 30</t>
  </si>
  <si>
    <t>SPH0084</t>
  </si>
  <si>
    <t>BTG</t>
  </si>
  <si>
    <t>STOCK CHEMICAL</t>
  </si>
  <si>
    <t>LEOPRINT 700 ( SYNTETIC THICKENER )</t>
  </si>
  <si>
    <t>Gudang Besar (00)</t>
  </si>
  <si>
    <t>SPS0088</t>
  </si>
  <si>
    <t>STOP CONTACT 2 LUBANG</t>
  </si>
  <si>
    <t>SPS0007</t>
  </si>
  <si>
    <t>SARUNG TANGAN KULIT PANJANG</t>
  </si>
  <si>
    <t>SPK0013</t>
  </si>
  <si>
    <t>KACA LAS HITAM</t>
  </si>
  <si>
    <t>CHMD0114</t>
  </si>
  <si>
    <t>CHMD115</t>
  </si>
  <si>
    <t>SPL0066</t>
  </si>
  <si>
    <t>LEM TETES / LEM KOREA</t>
  </si>
  <si>
    <t>SET</t>
  </si>
  <si>
    <t>SPK0148</t>
  </si>
  <si>
    <t>KUNCI RING PAS 13</t>
  </si>
  <si>
    <t>b</t>
  </si>
  <si>
    <t>keterangan</t>
  </si>
  <si>
    <t>FINISHING</t>
  </si>
  <si>
    <t>RC</t>
  </si>
  <si>
    <t>CK</t>
  </si>
  <si>
    <t>DYEING</t>
  </si>
  <si>
    <t>BOILER</t>
  </si>
  <si>
    <t>DYESTUFF</t>
  </si>
  <si>
    <t>DYAPOL N - 10 ( SABUN )</t>
  </si>
  <si>
    <t>CHEMICAL</t>
  </si>
  <si>
    <t>CHMS118</t>
  </si>
  <si>
    <t>SPS0048</t>
  </si>
  <si>
    <t>SILICONE TUBBING</t>
  </si>
  <si>
    <t>METER</t>
  </si>
  <si>
    <t>SPR0058</t>
  </si>
  <si>
    <t>RING PLAT M 8</t>
  </si>
  <si>
    <t>RING PLAT M 12</t>
  </si>
  <si>
    <t>RUCO BINDER 1880</t>
  </si>
  <si>
    <t>CHML072</t>
  </si>
  <si>
    <t>CHMA001</t>
  </si>
  <si>
    <t>CHMP091</t>
  </si>
  <si>
    <t>CHMS119</t>
  </si>
  <si>
    <t>CHMF105</t>
  </si>
  <si>
    <t>CHMC020</t>
  </si>
  <si>
    <t>SPT0200</t>
  </si>
  <si>
    <t>TINTA RA - JET INK (SCREEN MASTER)</t>
  </si>
  <si>
    <t>SPR0059</t>
  </si>
  <si>
    <t>SPB0050</t>
  </si>
  <si>
    <t>BEARING 6203</t>
  </si>
  <si>
    <t>SPF0136</t>
  </si>
  <si>
    <t>FITTING LAMPU TL</t>
  </si>
  <si>
    <t>SPP0308</t>
  </si>
  <si>
    <t>PENGUNCI RAKEL</t>
  </si>
  <si>
    <t>SPL0111</t>
  </si>
  <si>
    <t>LAMPU LED 45 WATT</t>
  </si>
  <si>
    <t>SPK0674</t>
  </si>
  <si>
    <t>KAWAT LAS STAINLESS 2.6 MM</t>
  </si>
  <si>
    <t>SPF0014</t>
  </si>
  <si>
    <t>FITTING QS V0 - 08</t>
  </si>
  <si>
    <t>TOTAL + PPN</t>
  </si>
  <si>
    <t>ENGGRAVING</t>
  </si>
  <si>
    <t>CHEMICAL PRINTING</t>
  </si>
  <si>
    <t>JUMLAH KELUAR + PPN</t>
  </si>
  <si>
    <t>JUMLAH MASUK + PPN</t>
  </si>
  <si>
    <t>JUMLAH SALDO AWAL + PPN</t>
  </si>
  <si>
    <t>MUTASI KELUAR</t>
  </si>
  <si>
    <t>REDUCON RC - 02</t>
  </si>
  <si>
    <t>DISPERSE BLUE SE 2R ( UNICRON )</t>
  </si>
  <si>
    <t>CHMK068</t>
  </si>
  <si>
    <t>CHMR097</t>
  </si>
  <si>
    <t>CHMD023</t>
  </si>
  <si>
    <t>SPS0828</t>
  </si>
  <si>
    <t>SEPATU BOOT NO 40</t>
  </si>
  <si>
    <t>SPK0185</t>
  </si>
  <si>
    <t>KUNCI L 6</t>
  </si>
  <si>
    <t>SPS0320</t>
  </si>
  <si>
    <t>SEPATU BOOT NO. 42</t>
  </si>
  <si>
    <t>SPS0016</t>
  </si>
  <si>
    <t>SEAL TAPE ONDA</t>
  </si>
  <si>
    <t>S2512</t>
  </si>
  <si>
    <t>SELANG POLYURETHAN 8 MM</t>
  </si>
  <si>
    <t>CM</t>
  </si>
  <si>
    <t>SPP0307</t>
  </si>
  <si>
    <t>PLASTIK PE UK 80 X 200 X 0.5</t>
  </si>
  <si>
    <t>SPS0249</t>
  </si>
  <si>
    <t>SILICONE HIGH TEMPERATURE</t>
  </si>
  <si>
    <t>TUBE</t>
  </si>
  <si>
    <t>SPK0053</t>
  </si>
  <si>
    <t>KLEM SLANG 1 1/2"</t>
  </si>
  <si>
    <t>SPS0121</t>
  </si>
  <si>
    <t>SEKOP</t>
  </si>
  <si>
    <t>SALDO AWAL</t>
  </si>
  <si>
    <t>GUDANG BESAR PER JULI 2025</t>
  </si>
  <si>
    <t>THAXAPRINT EPX 7277</t>
  </si>
  <si>
    <t>LEOPHEN NS LIQUID ( SABUN SYNTETIC )</t>
  </si>
  <si>
    <t>ANTIFOAM</t>
  </si>
  <si>
    <t>PAC POWDER</t>
  </si>
  <si>
    <t>CHML070</t>
  </si>
  <si>
    <t>CHMT098</t>
  </si>
  <si>
    <t>CMC021</t>
  </si>
  <si>
    <t>CHMD088</t>
  </si>
  <si>
    <t>CHMP107</t>
  </si>
  <si>
    <t>SPS0104</t>
  </si>
  <si>
    <t>SELANG AIR 1" BENANG</t>
  </si>
  <si>
    <t>SPS0398</t>
  </si>
  <si>
    <t>SOLENOID VALVE EMC V 5232 - 10 AC / 220 V</t>
  </si>
  <si>
    <t>SPS0265</t>
  </si>
  <si>
    <t>SIKAT KAWAT</t>
  </si>
  <si>
    <t>SPL0016</t>
  </si>
  <si>
    <t>LEM KALBEKA JAPAN</t>
  </si>
  <si>
    <t>CANE</t>
  </si>
  <si>
    <t>SPBM0020</t>
  </si>
  <si>
    <t>BAUD MUR M 12 X 30</t>
  </si>
  <si>
    <t>SPN0023</t>
  </si>
  <si>
    <t>NANO FILTER 0.1 MICRON T - 50 CM</t>
  </si>
  <si>
    <t>SPN0024</t>
  </si>
  <si>
    <t>NANO FILTER 0.3 MICRON T - 50 CM</t>
  </si>
  <si>
    <t>SPN0025</t>
  </si>
  <si>
    <t>NANO FILTER 0.5 MICRON T - 50 CM</t>
  </si>
  <si>
    <t>SPH0078</t>
  </si>
  <si>
    <t>HAMPELAS DUCCO NO. 120</t>
  </si>
  <si>
    <t>SPB0051</t>
  </si>
  <si>
    <t>BEARING 6204</t>
  </si>
  <si>
    <t>SPB0417</t>
  </si>
  <si>
    <t>BAUD MUR STAINLESS 8 X 40 + RING</t>
  </si>
  <si>
    <t>SPB0451</t>
  </si>
  <si>
    <t>BAUD MUR STAINLESS 5/8 X 2 1/2"</t>
  </si>
  <si>
    <t>SPBM0027</t>
  </si>
  <si>
    <t>BAUD MUR STAINLESS STEEL M 6 X 30</t>
  </si>
  <si>
    <t>SPB0140</t>
  </si>
  <si>
    <t>BAUD MUR M 8 X 40</t>
  </si>
  <si>
    <t>SPB0058</t>
  </si>
  <si>
    <t>BEARING 6307</t>
  </si>
  <si>
    <t>SPBVP0097</t>
  </si>
  <si>
    <t>BALL VALVE PVC 1"</t>
  </si>
  <si>
    <t>SPCN0013</t>
  </si>
  <si>
    <t>SPB0420</t>
  </si>
  <si>
    <t>BEARING UC 211</t>
  </si>
  <si>
    <t>SPR0052</t>
  </si>
  <si>
    <t>RING PER M 10</t>
  </si>
  <si>
    <t>SPV0012</t>
  </si>
  <si>
    <t>VANBELT A 54</t>
  </si>
  <si>
    <t>SPP0128</t>
  </si>
  <si>
    <t>PLANNES PVC 3"</t>
  </si>
  <si>
    <t>SPT0055</t>
  </si>
  <si>
    <t>TANG POTONG</t>
  </si>
  <si>
    <t>SPS0005</t>
  </si>
  <si>
    <t>SARUNG TANGAN KARET PANJANG</t>
  </si>
  <si>
    <t>SPK0084</t>
  </si>
  <si>
    <t>KUNCI L 5 MM</t>
  </si>
  <si>
    <t>SPL0013</t>
  </si>
  <si>
    <t>LEM ARALDITE</t>
  </si>
  <si>
    <t>SPK0673</t>
  </si>
  <si>
    <t>KAWAT LAS STAINLESS 3.2 MM</t>
  </si>
  <si>
    <t>SPV0084</t>
  </si>
  <si>
    <t>VANBELT A - 70</t>
  </si>
  <si>
    <t>SPK0681</t>
  </si>
  <si>
    <t>KAPE 2.5"</t>
  </si>
  <si>
    <t>SPK0064</t>
  </si>
  <si>
    <t>KRAN AIR 1/2"</t>
  </si>
  <si>
    <t>UNIT</t>
  </si>
  <si>
    <t>SPS0108</t>
  </si>
  <si>
    <t>SOCK DRAT DALAM PVC 1/2"</t>
  </si>
  <si>
    <t>BH</t>
  </si>
  <si>
    <t>SPJ0002</t>
  </si>
  <si>
    <t>JARUM OBRAS DC 16</t>
  </si>
  <si>
    <t>SPR0129</t>
  </si>
  <si>
    <t>SPR0171</t>
  </si>
  <si>
    <t>RING PLAT 5/8</t>
  </si>
  <si>
    <t>SPB0105</t>
  </si>
  <si>
    <t>BAUD MUR M 5/8" X 2 1/2"</t>
  </si>
  <si>
    <t>SPB0179</t>
  </si>
  <si>
    <t>BAUD SOCKET L 8 X 15</t>
  </si>
  <si>
    <t>SPP0070</t>
  </si>
  <si>
    <t>PACKING KARET 3 MM</t>
  </si>
  <si>
    <t>SPK0079</t>
  </si>
  <si>
    <t>KAWAT LAS KUNINGAN</t>
  </si>
  <si>
    <t>SPS0490</t>
  </si>
  <si>
    <t>SAMBUNGAN RANTAI RS 40 - 1/2</t>
  </si>
  <si>
    <t>GUDANG BESAR PER AGUSTUS 2025</t>
  </si>
  <si>
    <t>SUPER RUN PD - 1 ( SYNTETIC THICKENER )</t>
  </si>
  <si>
    <t>INNOTECH 260 (SUPER CLEAN)</t>
  </si>
  <si>
    <t>01-08-2025 s/d 31-08-2025</t>
  </si>
  <si>
    <t>ST0825-00001</t>
  </si>
  <si>
    <t>2025-08-01</t>
  </si>
  <si>
    <t>CHEMICAL CUT OFF</t>
  </si>
  <si>
    <t>CHME050</t>
  </si>
  <si>
    <t>CHMA0103</t>
  </si>
  <si>
    <t>kg</t>
  </si>
  <si>
    <t>ST0825-00002</t>
  </si>
  <si>
    <t>CHMA009</t>
  </si>
  <si>
    <t>CHMH059</t>
  </si>
  <si>
    <t>ST0825-00004</t>
  </si>
  <si>
    <t>2025-08-02</t>
  </si>
  <si>
    <t>ST0825-00006</t>
  </si>
  <si>
    <t>2025-08-04</t>
  </si>
  <si>
    <t>CHML073</t>
  </si>
  <si>
    <t>ST0825-00008</t>
  </si>
  <si>
    <t>2025-08-05</t>
  </si>
  <si>
    <t>ST0825-00010</t>
  </si>
  <si>
    <t>2025-08-06</t>
  </si>
  <si>
    <t>ST0825-00012</t>
  </si>
  <si>
    <t>2025-08-07</t>
  </si>
  <si>
    <t>ST0825-00014</t>
  </si>
  <si>
    <t>2025-08-08</t>
  </si>
  <si>
    <t>ST0825-00016</t>
  </si>
  <si>
    <t>2025-08-09</t>
  </si>
  <si>
    <t>ST0825-00018</t>
  </si>
  <si>
    <t>2025-08-11</t>
  </si>
  <si>
    <t>ST0825-00020</t>
  </si>
  <si>
    <t>2025-08-12</t>
  </si>
  <si>
    <t>ST0825-00022</t>
  </si>
  <si>
    <t>2025-08-13</t>
  </si>
  <si>
    <t>CHMD069</t>
  </si>
  <si>
    <t>DISPERSE RED BEL</t>
  </si>
  <si>
    <t>ST0825-00024</t>
  </si>
  <si>
    <t>2025-08-14</t>
  </si>
  <si>
    <t>ST0825-00026</t>
  </si>
  <si>
    <t>2025-08-15</t>
  </si>
  <si>
    <t>CHMH056</t>
  </si>
  <si>
    <t>ST0825-00028</t>
  </si>
  <si>
    <t>2025-08-16</t>
  </si>
  <si>
    <t>ST0825-00030</t>
  </si>
  <si>
    <t>2025-08-18</t>
  </si>
  <si>
    <t>CHMT111</t>
  </si>
  <si>
    <t>CHMP071</t>
  </si>
  <si>
    <t>CHMP095</t>
  </si>
  <si>
    <t>CHMP096</t>
  </si>
  <si>
    <t>CHMP076</t>
  </si>
  <si>
    <t>CHMP093</t>
  </si>
  <si>
    <t>CHMP090</t>
  </si>
  <si>
    <t>CHMP079</t>
  </si>
  <si>
    <t>ST0825-00032</t>
  </si>
  <si>
    <t>2025-08-19</t>
  </si>
  <si>
    <t>CHMT113</t>
  </si>
  <si>
    <t>ST0825-00034</t>
  </si>
  <si>
    <t>2025-08-20</t>
  </si>
  <si>
    <t>ST0825-00036</t>
  </si>
  <si>
    <t>2025-08-21</t>
  </si>
  <si>
    <t>ST0825-00038</t>
  </si>
  <si>
    <t>2025-08-22</t>
  </si>
  <si>
    <t>CHMP074</t>
  </si>
  <si>
    <t>ST0825-00040</t>
  </si>
  <si>
    <t>2025-08-23</t>
  </si>
  <si>
    <t>ST0825-00042</t>
  </si>
  <si>
    <t>2025-08-25</t>
  </si>
  <si>
    <t>ST0825-00044</t>
  </si>
  <si>
    <t>2025-08-26</t>
  </si>
  <si>
    <t>ST0825-00046</t>
  </si>
  <si>
    <t>2025-08-27</t>
  </si>
  <si>
    <t>ST0825-00048</t>
  </si>
  <si>
    <t>2025-08-28</t>
  </si>
  <si>
    <t>ST0825-00050</t>
  </si>
  <si>
    <t>2025-08-29</t>
  </si>
  <si>
    <t>CHMI059</t>
  </si>
  <si>
    <t>ST0825-00003</t>
  </si>
  <si>
    <t>SPL0098</t>
  </si>
  <si>
    <t>LAMPU TL UV 20 WATT</t>
  </si>
  <si>
    <t>SPB0552</t>
  </si>
  <si>
    <t>BALLAST EB - C 136 TL - D 220 - 240 EP</t>
  </si>
  <si>
    <t>SPS0395</t>
  </si>
  <si>
    <t>SOLENOID VALVE E-MC VS221-08 AC/220V</t>
  </si>
  <si>
    <t>SPB0306</t>
  </si>
  <si>
    <t>BATU GURINDA 6" HIJAU HALUS</t>
  </si>
  <si>
    <t>SPS0271</t>
  </si>
  <si>
    <t>SELANG AIR 5/8"</t>
  </si>
  <si>
    <t>Mtr</t>
  </si>
  <si>
    <t>Cm</t>
  </si>
  <si>
    <t>ST0825-00005</t>
  </si>
  <si>
    <t>SPBN0076</t>
  </si>
  <si>
    <t>BENANG NYLON CONVEYOR</t>
  </si>
  <si>
    <t>ST0825-00007</t>
  </si>
  <si>
    <t>SPM0011</t>
  </si>
  <si>
    <t>MCB 2A - 1 PHASE</t>
  </si>
  <si>
    <t>SPK0039</t>
  </si>
  <si>
    <t>KAWAT LAS LB 52 U ( 3,2 MM )</t>
  </si>
  <si>
    <t>ST0825-00009</t>
  </si>
  <si>
    <t>SPC0198</t>
  </si>
  <si>
    <t>CARBON BRUSH GWS 6 - 100</t>
  </si>
  <si>
    <t>SPK0081</t>
  </si>
  <si>
    <t>KARET GRAMASI</t>
  </si>
  <si>
    <t>SPS0184</t>
  </si>
  <si>
    <t>SAMBUNGAN RANTAI RS 60 - 1</t>
  </si>
  <si>
    <t>SPB0198</t>
  </si>
  <si>
    <t>BEARING UC 210</t>
  </si>
  <si>
    <t>ST0825-00011</t>
  </si>
  <si>
    <t>SPG0073</t>
  </si>
  <si>
    <t>GERGAJI HEBEL</t>
  </si>
  <si>
    <t>SPB0602</t>
  </si>
  <si>
    <t>BEARING HGW 20C HIWIN</t>
  </si>
  <si>
    <t>ST0825-00013</t>
  </si>
  <si>
    <t>SPS0224</t>
  </si>
  <si>
    <t>SOCK DRAT LUAR PVC 1 1/2"</t>
  </si>
  <si>
    <t>SPK0121</t>
  </si>
  <si>
    <t>KNIE PVC 1 1/2"</t>
  </si>
  <si>
    <t>SPB0154</t>
  </si>
  <si>
    <t>BEARING 6006</t>
  </si>
  <si>
    <t>SPB0331</t>
  </si>
  <si>
    <t>BAUD MUR STAINLESS M 12 X 50</t>
  </si>
  <si>
    <t>ST0825-00015</t>
  </si>
  <si>
    <t>SPO0155</t>
  </si>
  <si>
    <t>OLI GEAR BOX CASTROL ALPHA SP 220</t>
  </si>
  <si>
    <t>SPP0060</t>
  </si>
  <si>
    <t>PASIR PASANG</t>
  </si>
  <si>
    <t>TRUCK</t>
  </si>
  <si>
    <t>SPL0086</t>
  </si>
  <si>
    <t>LEM LM (PEREKAT HEBEL)</t>
  </si>
  <si>
    <t>ZAK</t>
  </si>
  <si>
    <t>ST0825-00017</t>
  </si>
  <si>
    <t>SPB0046</t>
  </si>
  <si>
    <t>BEARING 6003</t>
  </si>
  <si>
    <t>ST0825-00019</t>
  </si>
  <si>
    <t>SPA0023</t>
  </si>
  <si>
    <t>AIR REGULATOR AR 2000</t>
  </si>
  <si>
    <t>SPB0436</t>
  </si>
  <si>
    <t>BEARING 3310 B TVH - C3 FAG</t>
  </si>
  <si>
    <t>SPR0182</t>
  </si>
  <si>
    <t>RING PLAT M 6</t>
  </si>
  <si>
    <t>ST0825-00021</t>
  </si>
  <si>
    <t>SPB0522</t>
  </si>
  <si>
    <t>BAUD COUPLING NBK 40</t>
  </si>
  <si>
    <t>SPK0188</t>
  </si>
  <si>
    <t>KARET COUPLING NBK 40</t>
  </si>
  <si>
    <t>ST0825-00023</t>
  </si>
  <si>
    <t>SPS0144</t>
  </si>
  <si>
    <t>STEAKER BROCO</t>
  </si>
  <si>
    <t>SPP0494</t>
  </si>
  <si>
    <t>PROXIMITY SWITCH BRQM 100 - DDTA</t>
  </si>
  <si>
    <t>SPP0274</t>
  </si>
  <si>
    <t>PROXIMITY SWITCH E3JK - RR 11 OMRON</t>
  </si>
  <si>
    <t>SPP0132</t>
  </si>
  <si>
    <t>PROXIMITY SWITCH TL - W5E1 OMRON</t>
  </si>
  <si>
    <t>SPM0030</t>
  </si>
  <si>
    <t>MCB 10 A - 1 PHASE</t>
  </si>
  <si>
    <t>SPO0159</t>
  </si>
  <si>
    <t>OLI SEAL TC 48 X 68 X 8 MM</t>
  </si>
  <si>
    <t>SPD0083</t>
  </si>
  <si>
    <t>DOUBLE NEPLE STAINLESS 1/2"</t>
  </si>
  <si>
    <t>ST0825-00025</t>
  </si>
  <si>
    <t>SPB0052</t>
  </si>
  <si>
    <t>BEARING 6205</t>
  </si>
  <si>
    <t>SPM0138</t>
  </si>
  <si>
    <t>MCB 16A 3 PHASE</t>
  </si>
  <si>
    <t>SPP0022</t>
  </si>
  <si>
    <t>PISAU MC. OBRAS KR - 23</t>
  </si>
  <si>
    <t>SPP0023</t>
  </si>
  <si>
    <t>PISAU MC. OBRAS KR - 35</t>
  </si>
  <si>
    <t>SPM0168</t>
  </si>
  <si>
    <t>MATA WIDIA KUKU A - 420 / A - 411</t>
  </si>
  <si>
    <t>SPM0169</t>
  </si>
  <si>
    <t>MATA WIDIA KUKU A - 420Z / A - 412</t>
  </si>
  <si>
    <t>SPM0170</t>
  </si>
  <si>
    <t>MATA WIDIA RUMAH C - 107 / C - 122</t>
  </si>
  <si>
    <t>SPR0199</t>
  </si>
  <si>
    <t>RUBBER STRIP KULIT JERUK 201 ABU</t>
  </si>
  <si>
    <t>SPR0200</t>
  </si>
  <si>
    <t>RUBBER STRIP SM GREEN 50 MM X 50 MTR</t>
  </si>
  <si>
    <t>SPP0284</t>
  </si>
  <si>
    <t>PLASTIK PE UK 80 X 150 X 0.05</t>
  </si>
  <si>
    <t>SPC0120</t>
  </si>
  <si>
    <t>CONTACTOR SN 18 - 220 VOLT</t>
  </si>
  <si>
    <t>SPS0443</t>
  </si>
  <si>
    <t>SOCKET RELAY MY2</t>
  </si>
  <si>
    <t>SPS0204</t>
  </si>
  <si>
    <t>SOCKET RELAY MY4</t>
  </si>
  <si>
    <t>SPM0035</t>
  </si>
  <si>
    <t>MATA BOR 5 MM NACHI</t>
  </si>
  <si>
    <t>ST0825-00027</t>
  </si>
  <si>
    <t>SPB0394</t>
  </si>
  <si>
    <t>BAUD JF 4 X 15  + MUR</t>
  </si>
  <si>
    <t>SPS0040</t>
  </si>
  <si>
    <t>SERVICE JARUM STENTER</t>
  </si>
  <si>
    <t>SPV0161</t>
  </si>
  <si>
    <t>VANBELT B 63</t>
  </si>
  <si>
    <t>SPP0519</t>
  </si>
  <si>
    <t>PROXIMITY SENSOR PM12 - 04N PH87 FOTEK</t>
  </si>
  <si>
    <t>ST0825-00029</t>
  </si>
  <si>
    <t>SPB0115</t>
  </si>
  <si>
    <t>BEARING UCP 204</t>
  </si>
  <si>
    <t>ST0825-00031</t>
  </si>
  <si>
    <t>SPB0584</t>
  </si>
  <si>
    <t>BEARING UCP 209</t>
  </si>
  <si>
    <t>ST0825-00033</t>
  </si>
  <si>
    <t>SPT0220</t>
  </si>
  <si>
    <t>TINTA REPEAT O TYPE</t>
  </si>
  <si>
    <t>BTL</t>
  </si>
  <si>
    <t>ST0825-00035</t>
  </si>
  <si>
    <t>SPK0058</t>
  </si>
  <si>
    <t>KNIE PVC 3"</t>
  </si>
  <si>
    <t>SPD0091</t>
  </si>
  <si>
    <t>DOUBLE NEPLE STAINLESS 1"</t>
  </si>
  <si>
    <t>SPS0256</t>
  </si>
  <si>
    <t>STEAM TRAP 1"</t>
  </si>
  <si>
    <t>SPC0123</t>
  </si>
  <si>
    <t>CARBON BRUSH UK 12 X 20 X 40</t>
  </si>
  <si>
    <t>SPH0068</t>
  </si>
  <si>
    <t>HEBEL 60 X 20 TEBAL 10 CM</t>
  </si>
  <si>
    <t>M3</t>
  </si>
  <si>
    <t>SPM0139</t>
  </si>
  <si>
    <t>MECHANICAL SEAL SUZ - 45 MM</t>
  </si>
  <si>
    <t>SPP094</t>
  </si>
  <si>
    <t>PAKU 5 CM</t>
  </si>
  <si>
    <t>SPP0561</t>
  </si>
  <si>
    <t>PHOTO SENSOR BRQM100 DDTA</t>
  </si>
  <si>
    <t>SPS0865</t>
  </si>
  <si>
    <t>SERVICE ARMATUR MOTOR DC</t>
  </si>
  <si>
    <t>SPS0253</t>
  </si>
  <si>
    <t>SERVICE ELECTROMOTOR 4 HP</t>
  </si>
  <si>
    <t>SPS0864</t>
  </si>
  <si>
    <t>STOP CONTACT + STEAKER 3 PHASE 4 PIN 32A</t>
  </si>
  <si>
    <t>ST0825-00037</t>
  </si>
  <si>
    <t>SPS0008</t>
  </si>
  <si>
    <t>SCREEN MESH 125 X 640 X 2000 MM</t>
  </si>
  <si>
    <t>SPK0094</t>
  </si>
  <si>
    <t>KUNCI GEMBOK</t>
  </si>
  <si>
    <t>SPMG0010</t>
  </si>
  <si>
    <t>MATA GERGAJI ( SANDVICK )</t>
  </si>
  <si>
    <t>ST0825-00039</t>
  </si>
  <si>
    <t>SPB0356</t>
  </si>
  <si>
    <t>BOX LAMPU TL 40 WATT</t>
  </si>
  <si>
    <t>ST0825-00041</t>
  </si>
  <si>
    <t>SPB0152</t>
  </si>
  <si>
    <t>BEARING UC 204</t>
  </si>
  <si>
    <t>SPB0199</t>
  </si>
  <si>
    <t>BEARING UC 208</t>
  </si>
  <si>
    <t>ST0825-00043</t>
  </si>
  <si>
    <t>SPB0473</t>
  </si>
  <si>
    <t>BALL VALVE STAINLESS 1 1/2"</t>
  </si>
  <si>
    <t>SPL0018</t>
  </si>
  <si>
    <t>LEM PLASTIK</t>
  </si>
  <si>
    <t>SPK0839</t>
  </si>
  <si>
    <t>KIPAS MOTOR  B180 ?45</t>
  </si>
  <si>
    <t>SPCN0011</t>
  </si>
  <si>
    <t>CAT NIPPE ABU / EPOXI</t>
  </si>
  <si>
    <t>ST0825-00045</t>
  </si>
  <si>
    <t>SPR0004</t>
  </si>
  <si>
    <t>RANTAI RS 50 - 1</t>
  </si>
  <si>
    <t>ST0825-00047</t>
  </si>
  <si>
    <t>SPL0015</t>
  </si>
  <si>
    <t>LEM FOX AIBON KUNING</t>
  </si>
  <si>
    <t>GLN</t>
  </si>
  <si>
    <t>ST0825-00049</t>
  </si>
  <si>
    <t>UMB0019</t>
  </si>
  <si>
    <t>BATU SPLIT</t>
  </si>
  <si>
    <t>COLT</t>
  </si>
  <si>
    <t>UMP0002</t>
  </si>
  <si>
    <t>PAPAN COR</t>
  </si>
  <si>
    <t>UMP0012</t>
  </si>
  <si>
    <t>PASIR COR</t>
  </si>
  <si>
    <t>UMS0003</t>
  </si>
  <si>
    <t>SEMEN</t>
  </si>
  <si>
    <t>UME0003</t>
  </si>
  <si>
    <t>ENGSEL</t>
  </si>
  <si>
    <t>UMK0003</t>
  </si>
  <si>
    <t>KAWAT BETON</t>
  </si>
  <si>
    <t>ST0825-00052</t>
  </si>
  <si>
    <t>2025-08-30</t>
  </si>
  <si>
    <t>CHMP098</t>
  </si>
  <si>
    <t>CHMP078</t>
  </si>
  <si>
    <t>ST0825-00051</t>
  </si>
  <si>
    <t>SPB0539</t>
  </si>
  <si>
    <t>BAUD MUR M 12 X 70</t>
  </si>
  <si>
    <t>SPA0045</t>
  </si>
  <si>
    <t>ASBES PITA 2"</t>
  </si>
  <si>
    <t>SPB0671</t>
  </si>
  <si>
    <t>BAUD MUR M 10 X 45</t>
  </si>
  <si>
    <t>SPO0057</t>
  </si>
  <si>
    <t>OKSIGEN</t>
  </si>
  <si>
    <t>TBG</t>
  </si>
  <si>
    <t>SPO0010</t>
  </si>
  <si>
    <t>OLI SEAL 38 X 48 X 5 MM ( UHS 38 )</t>
  </si>
  <si>
    <t>SPT0312</t>
  </si>
  <si>
    <t>PER TEKAN SS 2 X10 X 22 MM</t>
  </si>
  <si>
    <t>SPP0559</t>
  </si>
  <si>
    <t>PNEUMATIC CYLINDER</t>
  </si>
  <si>
    <t>SPR0206</t>
  </si>
  <si>
    <t>RAM KAWAT STAINLESS 18 X 18X 0.3MM</t>
  </si>
  <si>
    <t>SPS0022</t>
  </si>
  <si>
    <t>SELANG POLYURETHAN 10 MM</t>
  </si>
  <si>
    <t>SPS0065</t>
  </si>
  <si>
    <t>SOCKET PVC 1"</t>
  </si>
  <si>
    <t>SPV0002</t>
  </si>
  <si>
    <t>V - SOCK 1 1/2" X 1"</t>
  </si>
  <si>
    <t>SPV0044</t>
  </si>
  <si>
    <t>VANBELT A 37</t>
  </si>
  <si>
    <t>ST0825-00053</t>
  </si>
  <si>
    <t>SPS0001</t>
  </si>
  <si>
    <t>SAMBUNGAN RANTAI RS 50 X 1</t>
  </si>
  <si>
    <t>UMR0002</t>
  </si>
  <si>
    <t>ROLL CAT</t>
  </si>
  <si>
    <t>CHEM.PRINT</t>
  </si>
  <si>
    <t>CHEM.DYEING</t>
  </si>
  <si>
    <t>ENGRAVING</t>
  </si>
  <si>
    <t>BARANG YANG SUDAH LAMA TIDAK DIGUNAKAN</t>
  </si>
  <si>
    <t>REKAP PEMAKAIAN CHEMICAL AGUSTUS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</si>
</sst>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9" formatCode="_(* #,##0_);_(* \(#,##0\);_(* &quot;-&quot;_);_(@_)"/>
    <numFmt numFmtId="171" formatCode="_(* #,##0.00_);_(* \(#,##0.00\);_(* &quot;-&quot;??_);_(@_)"/>
    <numFmt numFmtId="178" formatCode="_-* #,##0.00_-;\-* #,##0.00_-;_-* \-??_-;_-@_-"/>
    <numFmt numFmtId="179" formatCode="_(* #,##0_);_(* \(#,##0\);_(* \-_);_(@_)"/>
    <numFmt numFmtId="180" formatCode="#,##0.00;[Red]#,##0.00"/>
    <numFmt numFmtId="181" formatCode="_(&quot;Rp&quot;* #,##0.00_);_(&quot;Rp&quot;* \(#,##0.00\);_(&quot;Rp&quot;* \-??_);_(@_)"/>
    <numFmt numFmtId="182" formatCode="_(* #,##0.00_);_(* \(#,##0.00\);_(* \-??_);_(@_)"/>
    <numFmt numFmtId="183" formatCode="_(* #,##0_);_(* \(#,##0\);_(* \-??_);_(@_)"/>
    <numFmt numFmtId="184" formatCode="0.000"/>
    <numFmt numFmtId="185" formatCode="_(* #,##0.000_);_(* \(#,##0.000\);_(* \-??_);_(@_)"/>
    <numFmt numFmtId="187" formatCode="0.00000000000"/>
    <numFmt numFmtId="189" formatCode="_-* #,##0_р_._-;\-* #,##0_р_._-;_-* &quot;-&quot;_р_._-;_-@_-"/>
    <numFmt numFmtId="190" formatCode="dd\-mm\-yyyy"/>
    <numFmt numFmtId="192" formatCode="_-* #,##0_р_._-;\-* #,##0_р_._-;_-* &quot;-&quot;??_р_._-;_-@_-"/>
    <numFmt numFmtId="193" formatCode="#,##0.000"/>
    <numFmt numFmtId="196" formatCode="_([$Rp-421]* #,##0.00_);_([$Rp-421]* \(#,##0.00\);_([$Rp-421]* &quot;-&quot;??_);_(@_)"/>
    <numFmt numFmtId="201" formatCode="_-* #,##0.000_р_._-;\-* #,##0.000_р_._-;_-* &quot;-&quot;??_р_._-;_-@_-"/>
    <numFmt numFmtId="218" formatCode="_([$Rp-421]* #,##0_);_([$Rp-421]* \(#,##0\);_([$Rp-421]* &quot;-&quot;_);_(@_)"/>
    <numFmt numFmtId="222" formatCode="_([$Rp-421]* #,##0_);_([$Rp-421]* \(#,##0\);_([$Rp-421]* &quot;-&quot;??_);_(@_)"/>
    <numFmt numFmtId="225" formatCode="_(&quot;Rp&quot;* #,##0_);_(&quot;Rp&quot;* \(#,##0\);_(&quot;Rp&quot;* \-??_);_(@_)"/>
  </numFmts>
  <fonts count="56">
    <font>
      <sz val="11"/>
      <color indexed="8"/>
      <name val="Calibri"/>
      <family val="2"/>
      <charset val="1"/>
    </font>
    <font>
      <sz val="10"/>
      <name val="Arial"/>
    </font>
    <font>
      <sz val="10"/>
      <name val="Mang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8"/>
      <color indexed="8"/>
      <name val="Arial"/>
      <family val="2"/>
    </font>
    <font>
      <b/>
      <sz val="11"/>
      <color indexed="8"/>
      <name val="Arial"/>
      <family val="2"/>
    </font>
    <font>
      <sz val="6"/>
      <color indexed="8"/>
      <name val="Arial"/>
      <family val="2"/>
    </font>
    <font>
      <sz val="7"/>
      <color indexed="8"/>
      <name val="Arial"/>
      <family val="2"/>
    </font>
    <font>
      <b/>
      <sz val="7"/>
      <color indexed="8"/>
      <name val="Arial"/>
      <family val="2"/>
    </font>
    <font>
      <sz val="8"/>
      <color indexed="8"/>
      <name val="Arial"/>
      <family val="2"/>
    </font>
    <font>
      <i/>
      <sz val="7"/>
      <color indexed="8"/>
      <name val="Arial"/>
      <family val="2"/>
    </font>
    <font>
      <sz val="9"/>
      <color indexed="8"/>
      <name val="Arial"/>
      <family val="2"/>
    </font>
    <font>
      <sz val="11"/>
      <color indexed="8"/>
      <name val="Calibri"/>
      <family val="2"/>
      <charset val="1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indexed="10"/>
      <name val="Times New Roman"/>
      <family val="1"/>
    </font>
    <font>
      <b/>
      <sz val="12"/>
      <color indexed="17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14"/>
      <name val="Times New Roman"/>
      <family val="1"/>
    </font>
    <font>
      <b/>
      <sz val="12"/>
      <color indexed="55"/>
      <name val="Times New Roman"/>
      <family val="1"/>
    </font>
    <font>
      <b/>
      <sz val="9"/>
      <color indexed="81"/>
      <name val="Tahoma"/>
      <family val="2"/>
    </font>
    <font>
      <sz val="10"/>
      <name val="Arial Cyr"/>
      <charset val="204"/>
    </font>
    <font>
      <sz val="11"/>
      <name val="Times New Roman"/>
      <family val="1"/>
    </font>
    <font>
      <b/>
      <sz val="18"/>
      <name val="Arial Cyr"/>
      <family val="2"/>
      <charset val="204"/>
    </font>
    <font>
      <b/>
      <sz val="10"/>
      <name val="Arial Narrow"/>
      <family val="2"/>
    </font>
    <font>
      <sz val="10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8"/>
      <name val="Source Code Pro Medium"/>
      <family val="3"/>
    </font>
    <font>
      <sz val="14"/>
      <color indexed="8"/>
      <name val="Source Code Pro Medium"/>
      <family val="3"/>
    </font>
    <font>
      <sz val="12"/>
      <name val="Source Code Pro Medium"/>
      <family val="3"/>
    </font>
    <font>
      <b/>
      <sz val="12"/>
      <color indexed="8"/>
      <name val="Source Code Pro Medium"/>
      <family val="3"/>
    </font>
    <font>
      <b/>
      <sz val="9"/>
      <color indexed="81"/>
      <name val="Tahoma"/>
      <family val="2"/>
    </font>
    <font>
      <sz val="9"/>
      <name val="Arial Cyr"/>
    </font>
    <font>
      <sz val="8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indexed="10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70C0"/>
      <name val="Arial"/>
      <family val="2"/>
    </font>
    <font>
      <b/>
      <sz val="16"/>
      <color rgb="FF0070C0"/>
      <name val="Calibri"/>
      <family val="2"/>
    </font>
    <font>
      <b/>
      <sz val="18"/>
      <color theme="5"/>
      <name val="Arial Cyr"/>
      <family val="2"/>
      <charset val="204"/>
    </font>
    <font>
      <b/>
      <sz val="18"/>
      <color rgb="FF0070C0"/>
      <name val="Arial Narrow"/>
      <family val="2"/>
    </font>
    <font>
      <sz val="12"/>
      <color rgb="FF0070C0"/>
      <name val="Arial Narrow"/>
      <family val="2"/>
    </font>
    <font>
      <b/>
      <sz val="9"/>
      <color rgb="FF0070C0"/>
      <name val="Arial"/>
      <family val="2"/>
    </font>
    <font>
      <b/>
      <sz val="8"/>
      <color theme="5"/>
      <name val="Arial Cyr"/>
      <family val="2"/>
      <charset val="204"/>
    </font>
    <font>
      <b/>
      <sz val="10"/>
      <color theme="1"/>
      <name val="Arial Narrow"/>
      <family val="2"/>
    </font>
    <font>
      <sz val="10"/>
      <color rgb="FFFF0000"/>
      <name val="Arial Narrow"/>
      <family val="2"/>
    </font>
    <font>
      <sz val="10"/>
      <color theme="5"/>
      <name val="Arial Narrow"/>
      <family val="2"/>
    </font>
    <font>
      <b/>
      <sz val="8"/>
      <color theme="5"/>
      <name val="Arial"/>
      <family val="2"/>
    </font>
    <font>
      <b/>
      <sz val="10"/>
      <color theme="5"/>
      <name val="Arial Narrow"/>
      <family val="2"/>
    </font>
    <font>
      <sz val="12"/>
      <color theme="1"/>
      <name val="Source Code Pro Medium"/>
      <family val="3"/>
    </font>
    <font>
      <b/>
      <sz val="12"/>
      <color theme="1"/>
      <name val="Source Code Pro Medium"/>
      <family val="3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 style="double">
        <color indexed="8"/>
      </bottom>
      <diagonal/>
    </border>
  </borders>
  <cellStyleXfs count="42">
    <xf numFmtId="0" fontId="0" fillId="0" borderId="0"/>
    <xf numFmtId="182" fontId="13" fillId="0" borderId="0" applyFill="0" applyBorder="0" applyAlignment="0" applyProtection="0"/>
    <xf numFmtId="169" fontId="1" fillId="0" borderId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79" fontId="2" fillId="0" borderId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78" fontId="2" fillId="0" borderId="0" applyFill="0" applyBorder="0" applyAlignment="0" applyProtection="0"/>
    <xf numFmtId="185" fontId="23" fillId="0" borderId="0" applyFont="0" applyFill="0" applyBorder="0" applyAlignment="0" applyProtection="0"/>
    <xf numFmtId="171" fontId="40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0" fontId="3" fillId="0" borderId="0"/>
    <xf numFmtId="0" fontId="40" fillId="0" borderId="0"/>
    <xf numFmtId="0" fontId="4" fillId="0" borderId="0"/>
    <xf numFmtId="0" fontId="23" fillId="0" borderId="0"/>
    <xf numFmtId="0" fontId="5" fillId="0" borderId="0">
      <alignment horizontal="left" vertical="top"/>
    </xf>
    <xf numFmtId="0" fontId="6" fillId="0" borderId="0">
      <alignment horizontal="left" vertical="top"/>
    </xf>
    <xf numFmtId="0" fontId="7" fillId="0" borderId="0">
      <alignment horizontal="left" vertical="top"/>
    </xf>
    <xf numFmtId="0" fontId="8" fillId="0" borderId="0">
      <alignment horizontal="right" vertical="top"/>
    </xf>
    <xf numFmtId="0" fontId="9" fillId="0" borderId="0">
      <alignment horizontal="right" vertical="top"/>
    </xf>
    <xf numFmtId="0" fontId="9" fillId="0" borderId="0">
      <alignment horizontal="right" vertical="top"/>
    </xf>
    <xf numFmtId="0" fontId="8" fillId="0" borderId="0">
      <alignment horizontal="left" vertical="top"/>
    </xf>
    <xf numFmtId="0" fontId="10" fillId="0" borderId="0">
      <alignment horizontal="right" vertical="top"/>
    </xf>
    <xf numFmtId="0" fontId="8" fillId="0" borderId="0">
      <alignment horizontal="right" vertical="top"/>
    </xf>
    <xf numFmtId="0" fontId="11" fillId="0" borderId="0">
      <alignment horizontal="right" vertical="top"/>
    </xf>
    <xf numFmtId="0" fontId="5" fillId="0" borderId="0">
      <alignment horizontal="right" vertical="top"/>
    </xf>
    <xf numFmtId="0" fontId="5" fillId="0" borderId="0">
      <alignment horizontal="center" vertical="top"/>
    </xf>
    <xf numFmtId="0" fontId="12" fillId="0" borderId="0">
      <alignment horizontal="left" vertical="top"/>
    </xf>
    <xf numFmtId="0" fontId="7" fillId="0" borderId="0">
      <alignment horizontal="left" vertical="top"/>
    </xf>
    <xf numFmtId="0" fontId="7" fillId="0" borderId="0">
      <alignment horizontal="left" vertical="top"/>
    </xf>
    <xf numFmtId="0" fontId="8" fillId="0" borderId="0">
      <alignment horizontal="right" vertical="top"/>
    </xf>
  </cellStyleXfs>
  <cellXfs count="188">
    <xf numFmtId="0" fontId="0" fillId="0" borderId="0" xfId="0"/>
    <xf numFmtId="49" fontId="14" fillId="0" borderId="0" xfId="22" applyNumberFormat="1" applyFont="1" applyFill="1" applyBorder="1" applyAlignment="1">
      <alignment vertical="center"/>
    </xf>
    <xf numFmtId="4" fontId="15" fillId="0" borderId="0" xfId="0" applyNumberFormat="1" applyFont="1" applyFill="1" applyAlignment="1">
      <alignment vertical="center"/>
    </xf>
    <xf numFmtId="4" fontId="16" fillId="0" borderId="0" xfId="0" applyNumberFormat="1" applyFont="1" applyFill="1" applyAlignment="1">
      <alignment vertical="center"/>
    </xf>
    <xf numFmtId="4" fontId="16" fillId="0" borderId="0" xfId="1" applyNumberFormat="1" applyFont="1" applyFill="1" applyBorder="1" applyAlignment="1" applyProtection="1">
      <alignment vertical="center"/>
    </xf>
    <xf numFmtId="180" fontId="15" fillId="0" borderId="0" xfId="0" applyNumberFormat="1" applyFont="1" applyFill="1" applyAlignment="1">
      <alignment vertical="center"/>
    </xf>
    <xf numFmtId="0" fontId="15" fillId="0" borderId="0" xfId="0" applyFont="1" applyFill="1" applyAlignment="1">
      <alignment vertical="center"/>
    </xf>
    <xf numFmtId="49" fontId="14" fillId="0" borderId="0" xfId="22" applyNumberFormat="1" applyFont="1" applyFill="1" applyAlignment="1">
      <alignment horizontal="center" vertical="center"/>
    </xf>
    <xf numFmtId="49" fontId="14" fillId="0" borderId="0" xfId="22" applyNumberFormat="1" applyFont="1" applyFill="1" applyBorder="1" applyAlignment="1">
      <alignment horizontal="left" vertical="center"/>
    </xf>
    <xf numFmtId="0" fontId="16" fillId="0" borderId="0" xfId="22" applyFont="1" applyFill="1" applyAlignment="1">
      <alignment vertical="center"/>
    </xf>
    <xf numFmtId="0" fontId="16" fillId="0" borderId="0" xfId="22" applyFont="1" applyFill="1" applyAlignment="1">
      <alignment horizontal="center" vertical="center"/>
    </xf>
    <xf numFmtId="4" fontId="14" fillId="0" borderId="1" xfId="1" applyNumberFormat="1" applyFont="1" applyFill="1" applyBorder="1" applyAlignment="1" applyProtection="1">
      <alignment horizontal="center" vertical="center"/>
    </xf>
    <xf numFmtId="0" fontId="15" fillId="0" borderId="0" xfId="0" applyFont="1" applyFill="1" applyBorder="1" applyAlignment="1">
      <alignment vertical="center"/>
    </xf>
    <xf numFmtId="182" fontId="16" fillId="0" borderId="0" xfId="22" applyNumberFormat="1" applyFont="1" applyFill="1" applyBorder="1" applyAlignment="1">
      <alignment vertical="center"/>
    </xf>
    <xf numFmtId="182" fontId="16" fillId="0" borderId="2" xfId="22" applyNumberFormat="1" applyFont="1" applyFill="1" applyBorder="1" applyAlignment="1">
      <alignment horizontal="center" vertical="center"/>
    </xf>
    <xf numFmtId="182" fontId="14" fillId="0" borderId="3" xfId="22" applyNumberFormat="1" applyFont="1" applyFill="1" applyBorder="1" applyAlignment="1">
      <alignment horizontal="center" vertical="center"/>
    </xf>
    <xf numFmtId="182" fontId="16" fillId="0" borderId="3" xfId="22" applyNumberFormat="1" applyFont="1" applyFill="1" applyBorder="1" applyAlignment="1">
      <alignment horizontal="center" vertical="center"/>
    </xf>
    <xf numFmtId="4" fontId="19" fillId="0" borderId="3" xfId="1" applyNumberFormat="1" applyFont="1" applyFill="1" applyBorder="1" applyAlignment="1" applyProtection="1">
      <alignment vertical="center"/>
    </xf>
    <xf numFmtId="180" fontId="15" fillId="0" borderId="3" xfId="0" applyNumberFormat="1" applyFont="1" applyFill="1" applyBorder="1" applyAlignment="1">
      <alignment vertical="center"/>
    </xf>
    <xf numFmtId="181" fontId="19" fillId="0" borderId="3" xfId="0" applyNumberFormat="1" applyFont="1" applyFill="1" applyBorder="1" applyAlignment="1">
      <alignment vertical="center"/>
    </xf>
    <xf numFmtId="182" fontId="19" fillId="0" borderId="3" xfId="1" applyFont="1" applyFill="1" applyBorder="1" applyAlignment="1" applyProtection="1">
      <alignment vertical="center"/>
    </xf>
    <xf numFmtId="0" fontId="15" fillId="0" borderId="0" xfId="0" applyFont="1" applyFill="1" applyAlignment="1">
      <alignment horizontal="center" vertical="center"/>
    </xf>
    <xf numFmtId="184" fontId="15" fillId="0" borderId="0" xfId="0" applyNumberFormat="1" applyFont="1" applyFill="1" applyAlignment="1">
      <alignment vertical="center"/>
    </xf>
    <xf numFmtId="4" fontId="15" fillId="0" borderId="0" xfId="1" applyNumberFormat="1" applyFont="1" applyFill="1" applyBorder="1" applyAlignment="1" applyProtection="1">
      <alignment vertical="center"/>
    </xf>
    <xf numFmtId="187" fontId="15" fillId="0" borderId="0" xfId="0" applyNumberFormat="1" applyFont="1" applyFill="1" applyAlignment="1">
      <alignment vertical="center"/>
    </xf>
    <xf numFmtId="0" fontId="16" fillId="0" borderId="0" xfId="0" applyFont="1" applyFill="1" applyAlignment="1">
      <alignment vertical="center"/>
    </xf>
    <xf numFmtId="182" fontId="16" fillId="0" borderId="0" xfId="11" applyNumberFormat="1" applyFont="1" applyFill="1" applyBorder="1" applyAlignment="1" applyProtection="1">
      <alignment horizontal="center" vertical="center"/>
    </xf>
    <xf numFmtId="182" fontId="16" fillId="0" borderId="0" xfId="22" applyNumberFormat="1" applyFont="1" applyFill="1" applyBorder="1" applyAlignment="1">
      <alignment horizontal="center" vertical="center"/>
    </xf>
    <xf numFmtId="182" fontId="14" fillId="0" borderId="0" xfId="22" applyNumberFormat="1" applyFont="1" applyFill="1" applyBorder="1" applyAlignment="1">
      <alignment horizontal="center" vertical="center"/>
    </xf>
    <xf numFmtId="182" fontId="14" fillId="0" borderId="0" xfId="22" applyNumberFormat="1" applyFont="1" applyFill="1" applyBorder="1" applyAlignment="1">
      <alignment vertical="center"/>
    </xf>
    <xf numFmtId="0" fontId="16" fillId="0" borderId="4" xfId="22" applyNumberFormat="1" applyFont="1" applyFill="1" applyBorder="1" applyAlignment="1">
      <alignment horizontal="center" vertical="center"/>
    </xf>
    <xf numFmtId="196" fontId="15" fillId="0" borderId="0" xfId="0" applyNumberFormat="1" applyFont="1" applyFill="1" applyAlignment="1">
      <alignment vertical="center"/>
    </xf>
    <xf numFmtId="196" fontId="15" fillId="0" borderId="0" xfId="0" applyNumberFormat="1" applyFont="1" applyFill="1" applyBorder="1" applyAlignment="1">
      <alignment vertical="center"/>
    </xf>
    <xf numFmtId="183" fontId="16" fillId="0" borderId="3" xfId="22" applyNumberFormat="1" applyFont="1" applyFill="1" applyBorder="1" applyAlignment="1">
      <alignment horizontal="center" vertical="center"/>
    </xf>
    <xf numFmtId="182" fontId="16" fillId="0" borderId="3" xfId="22" applyNumberFormat="1" applyFont="1" applyFill="1" applyBorder="1" applyAlignment="1">
      <alignment vertical="center"/>
    </xf>
    <xf numFmtId="4" fontId="16" fillId="0" borderId="3" xfId="1" applyNumberFormat="1" applyFont="1" applyFill="1" applyBorder="1" applyAlignment="1" applyProtection="1">
      <alignment vertical="center"/>
    </xf>
    <xf numFmtId="0" fontId="15" fillId="0" borderId="3" xfId="0" applyNumberFormat="1" applyFont="1" applyFill="1" applyBorder="1" applyAlignment="1">
      <alignment vertical="center"/>
    </xf>
    <xf numFmtId="182" fontId="16" fillId="0" borderId="4" xfId="22" applyNumberFormat="1" applyFont="1" applyFill="1" applyBorder="1" applyAlignment="1">
      <alignment horizontal="center" vertical="center"/>
    </xf>
    <xf numFmtId="4" fontId="16" fillId="0" borderId="4" xfId="0" applyNumberFormat="1" applyFont="1" applyFill="1" applyBorder="1" applyAlignment="1">
      <alignment vertical="center"/>
    </xf>
    <xf numFmtId="181" fontId="15" fillId="0" borderId="4" xfId="0" applyNumberFormat="1" applyFont="1" applyFill="1" applyBorder="1" applyAlignment="1">
      <alignment vertical="center"/>
    </xf>
    <xf numFmtId="2" fontId="15" fillId="0" borderId="4" xfId="0" applyNumberFormat="1" applyFont="1" applyFill="1" applyBorder="1" applyAlignment="1">
      <alignment vertical="center"/>
    </xf>
    <xf numFmtId="49" fontId="16" fillId="0" borderId="4" xfId="0" applyNumberFormat="1" applyFont="1" applyFill="1" applyBorder="1" applyAlignment="1" applyProtection="1">
      <alignment horizontal="left"/>
      <protection locked="0"/>
    </xf>
    <xf numFmtId="171" fontId="15" fillId="0" borderId="0" xfId="0" applyNumberFormat="1" applyFont="1" applyFill="1" applyAlignment="1">
      <alignment vertical="center"/>
    </xf>
    <xf numFmtId="49" fontId="24" fillId="0" borderId="4" xfId="23" applyNumberFormat="1" applyFont="1" applyBorder="1" applyAlignment="1" applyProtection="1">
      <alignment horizontal="left"/>
      <protection locked="0"/>
    </xf>
    <xf numFmtId="184" fontId="15" fillId="0" borderId="0" xfId="1" applyNumberFormat="1" applyFont="1" applyFill="1" applyBorder="1" applyAlignment="1" applyProtection="1">
      <alignment vertical="center"/>
    </xf>
    <xf numFmtId="184" fontId="17" fillId="0" borderId="0" xfId="0" applyNumberFormat="1" applyFont="1" applyFill="1" applyAlignment="1">
      <alignment horizontal="center" vertical="center"/>
    </xf>
    <xf numFmtId="184" fontId="15" fillId="0" borderId="0" xfId="1" applyNumberFormat="1" applyFont="1" applyFill="1" applyBorder="1" applyAlignment="1" applyProtection="1">
      <alignment horizontal="right" vertical="center"/>
    </xf>
    <xf numFmtId="184" fontId="17" fillId="0" borderId="0" xfId="0" applyNumberFormat="1" applyFont="1" applyFill="1" applyBorder="1" applyAlignment="1">
      <alignment horizontal="center" vertical="center"/>
    </xf>
    <xf numFmtId="196" fontId="16" fillId="0" borderId="4" xfId="0" applyNumberFormat="1" applyFont="1" applyFill="1" applyBorder="1" applyAlignment="1">
      <alignment vertical="center"/>
    </xf>
    <xf numFmtId="196" fontId="16" fillId="0" borderId="4" xfId="1" applyNumberFormat="1" applyFont="1" applyFill="1" applyBorder="1" applyAlignment="1" applyProtection="1">
      <alignment vertical="center"/>
    </xf>
    <xf numFmtId="182" fontId="13" fillId="0" borderId="0" xfId="1" applyFill="1" applyBorder="1" applyAlignment="1" applyProtection="1">
      <alignment horizontal="right" vertical="center"/>
    </xf>
    <xf numFmtId="49" fontId="16" fillId="0" borderId="4" xfId="23" applyNumberFormat="1" applyFont="1" applyBorder="1" applyAlignment="1" applyProtection="1">
      <alignment horizontal="left"/>
      <protection locked="0"/>
    </xf>
    <xf numFmtId="0" fontId="41" fillId="0" borderId="0" xfId="0" applyFont="1" applyFill="1"/>
    <xf numFmtId="0" fontId="42" fillId="0" borderId="0" xfId="0" applyFont="1" applyFill="1" applyBorder="1" applyAlignment="1">
      <alignment horizontal="left" vertical="center"/>
    </xf>
    <xf numFmtId="189" fontId="25" fillId="0" borderId="0" xfId="2" applyNumberFormat="1" applyFont="1" applyFill="1"/>
    <xf numFmtId="0" fontId="43" fillId="0" borderId="0" xfId="0" applyFont="1" applyFill="1"/>
    <xf numFmtId="0" fontId="0" fillId="0" borderId="0" xfId="0" applyFill="1"/>
    <xf numFmtId="0" fontId="44" fillId="2" borderId="0" xfId="0" applyFont="1" applyFill="1" applyAlignment="1">
      <alignment horizontal="left"/>
    </xf>
    <xf numFmtId="0" fontId="45" fillId="2" borderId="0" xfId="0" applyFont="1" applyFill="1" applyAlignment="1">
      <alignment horizontal="center"/>
    </xf>
    <xf numFmtId="0" fontId="46" fillId="0" borderId="0" xfId="0" applyFont="1" applyFill="1"/>
    <xf numFmtId="0" fontId="46" fillId="0" borderId="0" xfId="0" applyFont="1" applyFill="1" applyAlignment="1">
      <alignment horizontal="left"/>
    </xf>
    <xf numFmtId="0" fontId="47" fillId="0" borderId="0" xfId="0" applyFont="1" applyFill="1"/>
    <xf numFmtId="0" fontId="46" fillId="0" borderId="0" xfId="0" applyFont="1" applyFill="1" applyBorder="1" applyAlignment="1">
      <alignment horizontal="left"/>
    </xf>
    <xf numFmtId="0" fontId="48" fillId="3" borderId="4" xfId="0" applyFont="1" applyFill="1" applyBorder="1" applyAlignment="1">
      <alignment vertical="center"/>
    </xf>
    <xf numFmtId="0" fontId="48" fillId="3" borderId="4" xfId="0" applyFont="1" applyFill="1" applyBorder="1" applyAlignment="1">
      <alignment horizontal="center" vertical="center"/>
    </xf>
    <xf numFmtId="0" fontId="26" fillId="3" borderId="4" xfId="0" applyFont="1" applyFill="1" applyBorder="1" applyAlignment="1">
      <alignment vertical="center" wrapText="1"/>
    </xf>
    <xf numFmtId="0" fontId="26" fillId="3" borderId="4" xfId="0" applyFont="1" applyFill="1" applyBorder="1" applyAlignment="1">
      <alignment horizontal="center" vertical="center" wrapText="1"/>
    </xf>
    <xf numFmtId="49" fontId="27" fillId="0" borderId="0" xfId="0" applyNumberFormat="1" applyFont="1" applyFill="1" applyAlignment="1">
      <alignment horizontal="left" vertical="center"/>
    </xf>
    <xf numFmtId="190" fontId="27" fillId="0" borderId="0" xfId="0" applyNumberFormat="1" applyFont="1" applyFill="1" applyAlignment="1">
      <alignment horizontal="left" vertical="center"/>
    </xf>
    <xf numFmtId="49" fontId="49" fillId="0" borderId="0" xfId="0" applyNumberFormat="1" applyFont="1" applyFill="1" applyAlignment="1">
      <alignment horizontal="left" vertical="center"/>
    </xf>
    <xf numFmtId="192" fontId="27" fillId="0" borderId="0" xfId="1" applyNumberFormat="1" applyFont="1" applyFill="1" applyAlignment="1">
      <alignment horizontal="right"/>
    </xf>
    <xf numFmtId="0" fontId="16" fillId="0" borderId="5" xfId="22" applyNumberFormat="1" applyFont="1" applyFill="1" applyBorder="1" applyAlignment="1">
      <alignment horizontal="center" vertical="center"/>
    </xf>
    <xf numFmtId="182" fontId="16" fillId="0" borderId="5" xfId="22" applyNumberFormat="1" applyFont="1" applyFill="1" applyBorder="1" applyAlignment="1">
      <alignment horizontal="center" vertical="center"/>
    </xf>
    <xf numFmtId="4" fontId="16" fillId="0" borderId="5" xfId="0" applyNumberFormat="1" applyFont="1" applyFill="1" applyBorder="1" applyAlignment="1">
      <alignment vertical="center"/>
    </xf>
    <xf numFmtId="181" fontId="15" fillId="0" borderId="5" xfId="0" applyNumberFormat="1" applyFont="1" applyFill="1" applyBorder="1" applyAlignment="1">
      <alignment vertical="center"/>
    </xf>
    <xf numFmtId="2" fontId="15" fillId="0" borderId="5" xfId="0" applyNumberFormat="1" applyFont="1" applyFill="1" applyBorder="1" applyAlignment="1">
      <alignment vertical="center"/>
    </xf>
    <xf numFmtId="184" fontId="20" fillId="0" borderId="0" xfId="0" applyNumberFormat="1" applyFont="1" applyFill="1" applyAlignment="1">
      <alignment horizontal="center" vertical="center" wrapText="1"/>
    </xf>
    <xf numFmtId="193" fontId="21" fillId="0" borderId="0" xfId="1" applyNumberFormat="1" applyFont="1" applyFill="1" applyBorder="1" applyAlignment="1" applyProtection="1">
      <alignment vertical="center"/>
    </xf>
    <xf numFmtId="193" fontId="18" fillId="0" borderId="0" xfId="1" applyNumberFormat="1" applyFont="1" applyFill="1" applyBorder="1" applyAlignment="1" applyProtection="1">
      <alignment vertical="center"/>
    </xf>
    <xf numFmtId="193" fontId="18" fillId="0" borderId="0" xfId="0" applyNumberFormat="1" applyFont="1" applyFill="1" applyAlignment="1">
      <alignment horizontal="center" vertical="center" wrapText="1"/>
    </xf>
    <xf numFmtId="193" fontId="13" fillId="0" borderId="0" xfId="1" applyNumberFormat="1" applyFill="1" applyBorder="1" applyAlignment="1" applyProtection="1">
      <alignment horizontal="right" vertical="center"/>
    </xf>
    <xf numFmtId="193" fontId="15" fillId="0" borderId="0" xfId="0" applyNumberFormat="1" applyFont="1" applyFill="1" applyAlignment="1">
      <alignment vertical="center"/>
    </xf>
    <xf numFmtId="196" fontId="16" fillId="0" borderId="5" xfId="1" applyNumberFormat="1" applyFont="1" applyFill="1" applyBorder="1" applyAlignment="1" applyProtection="1">
      <alignment vertical="center"/>
    </xf>
    <xf numFmtId="196" fontId="16" fillId="0" borderId="4" xfId="0" applyNumberFormat="1" applyFont="1" applyFill="1" applyBorder="1" applyProtection="1">
      <protection locked="0"/>
    </xf>
    <xf numFmtId="196" fontId="15" fillId="0" borderId="3" xfId="0" applyNumberFormat="1" applyFont="1" applyFill="1" applyBorder="1" applyAlignment="1">
      <alignment vertical="center"/>
    </xf>
    <xf numFmtId="196" fontId="19" fillId="0" borderId="3" xfId="0" applyNumberFormat="1" applyFont="1" applyFill="1" applyBorder="1" applyAlignment="1">
      <alignment vertical="center"/>
    </xf>
    <xf numFmtId="49" fontId="16" fillId="0" borderId="4" xfId="22" applyNumberFormat="1" applyFont="1" applyFill="1" applyBorder="1" applyAlignment="1">
      <alignment horizontal="left" vertical="center"/>
    </xf>
    <xf numFmtId="49" fontId="16" fillId="0" borderId="4" xfId="22" applyNumberFormat="1" applyFont="1" applyFill="1" applyBorder="1" applyAlignment="1">
      <alignment vertical="center"/>
    </xf>
    <xf numFmtId="49" fontId="16" fillId="0" borderId="4" xfId="40" applyNumberFormat="1" applyFont="1" applyFill="1" applyBorder="1" applyAlignment="1">
      <alignment horizontal="left" vertical="top" wrapText="1"/>
    </xf>
    <xf numFmtId="49" fontId="16" fillId="0" borderId="4" xfId="22" applyNumberFormat="1" applyFont="1" applyFill="1" applyBorder="1" applyAlignment="1">
      <alignment vertical="center" wrapText="1"/>
    </xf>
    <xf numFmtId="0" fontId="0" fillId="0" borderId="0" xfId="0" applyFont="1" applyFill="1" applyBorder="1"/>
    <xf numFmtId="14" fontId="27" fillId="0" borderId="0" xfId="0" applyNumberFormat="1" applyFont="1" applyFill="1" applyAlignment="1">
      <alignment horizontal="left" vertical="center"/>
    </xf>
    <xf numFmtId="192" fontId="27" fillId="0" borderId="0" xfId="1" applyNumberFormat="1" applyFont="1" applyFill="1"/>
    <xf numFmtId="0" fontId="50" fillId="0" borderId="0" xfId="23" applyNumberFormat="1" applyFont="1" applyFill="1"/>
    <xf numFmtId="49" fontId="27" fillId="0" borderId="0" xfId="0" applyNumberFormat="1" applyFont="1"/>
    <xf numFmtId="14" fontId="27" fillId="0" borderId="0" xfId="0" applyNumberFormat="1" applyFont="1"/>
    <xf numFmtId="0" fontId="50" fillId="0" borderId="0" xfId="0" applyNumberFormat="1" applyFont="1" applyFill="1"/>
    <xf numFmtId="0" fontId="51" fillId="0" borderId="0" xfId="0" applyFont="1" applyFill="1" applyBorder="1" applyAlignment="1">
      <alignment horizontal="left"/>
    </xf>
    <xf numFmtId="192" fontId="52" fillId="0" borderId="0" xfId="1" applyNumberFormat="1" applyFont="1" applyFill="1" applyAlignment="1">
      <alignment horizontal="right"/>
    </xf>
    <xf numFmtId="179" fontId="15" fillId="0" borderId="0" xfId="1" applyNumberFormat="1" applyFont="1" applyFill="1" applyBorder="1" applyAlignment="1" applyProtection="1">
      <alignment vertical="center"/>
    </xf>
    <xf numFmtId="179" fontId="15" fillId="0" borderId="0" xfId="0" applyNumberFormat="1" applyFont="1" applyFill="1" applyAlignment="1">
      <alignment vertical="center"/>
    </xf>
    <xf numFmtId="179" fontId="16" fillId="0" borderId="0" xfId="0" applyNumberFormat="1" applyFont="1" applyFill="1" applyAlignment="1">
      <alignment vertical="center"/>
    </xf>
    <xf numFmtId="4" fontId="19" fillId="0" borderId="6" xfId="0" applyNumberFormat="1" applyFont="1" applyFill="1" applyBorder="1" applyAlignment="1">
      <alignment horizontal="center" vertical="center" wrapText="1"/>
    </xf>
    <xf numFmtId="4" fontId="14" fillId="0" borderId="6" xfId="0" applyNumberFormat="1" applyFont="1" applyFill="1" applyBorder="1" applyAlignment="1">
      <alignment horizontal="center" vertical="center" wrapText="1"/>
    </xf>
    <xf numFmtId="4" fontId="14" fillId="0" borderId="6" xfId="1" applyNumberFormat="1" applyFont="1" applyFill="1" applyBorder="1" applyAlignment="1" applyProtection="1">
      <alignment horizontal="center" vertical="center" wrapText="1"/>
    </xf>
    <xf numFmtId="196" fontId="19" fillId="0" borderId="6" xfId="0" applyNumberFormat="1" applyFont="1" applyFill="1" applyBorder="1" applyAlignment="1">
      <alignment horizontal="center" vertical="center" wrapText="1"/>
    </xf>
    <xf numFmtId="180" fontId="19" fillId="0" borderId="6" xfId="0" applyNumberFormat="1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 wrapText="1"/>
    </xf>
    <xf numFmtId="184" fontId="15" fillId="0" borderId="0" xfId="1" applyNumberFormat="1" applyFont="1" applyFill="1" applyBorder="1" applyAlignment="1" applyProtection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179" fontId="15" fillId="0" borderId="0" xfId="0" applyNumberFormat="1" applyFont="1" applyFill="1" applyAlignment="1">
      <alignment horizontal="center" vertical="center" wrapText="1"/>
    </xf>
    <xf numFmtId="196" fontId="15" fillId="0" borderId="0" xfId="0" applyNumberFormat="1" applyFont="1" applyFill="1" applyAlignment="1">
      <alignment horizontal="center" vertical="center" wrapText="1"/>
    </xf>
    <xf numFmtId="0" fontId="30" fillId="0" borderId="4" xfId="0" applyFont="1" applyBorder="1" applyAlignment="1">
      <alignment vertical="center"/>
    </xf>
    <xf numFmtId="0" fontId="30" fillId="0" borderId="0" xfId="0" applyFont="1"/>
    <xf numFmtId="0" fontId="31" fillId="0" borderId="0" xfId="0" applyFont="1"/>
    <xf numFmtId="196" fontId="30" fillId="0" borderId="0" xfId="0" applyNumberFormat="1" applyFont="1"/>
    <xf numFmtId="0" fontId="30" fillId="0" borderId="4" xfId="0" applyFont="1" applyBorder="1" applyAlignment="1">
      <alignment horizontal="center" vertical="center"/>
    </xf>
    <xf numFmtId="218" fontId="53" fillId="0" borderId="4" xfId="16" applyNumberFormat="1" applyFont="1" applyBorder="1" applyAlignment="1">
      <alignment vertical="center"/>
    </xf>
    <xf numFmtId="0" fontId="30" fillId="0" borderId="0" xfId="0" applyFont="1" applyAlignment="1">
      <alignment vertical="center"/>
    </xf>
    <xf numFmtId="218" fontId="53" fillId="0" borderId="0" xfId="16" applyNumberFormat="1" applyFont="1"/>
    <xf numFmtId="4" fontId="30" fillId="0" borderId="0" xfId="0" applyNumberFormat="1" applyFont="1"/>
    <xf numFmtId="222" fontId="30" fillId="0" borderId="0" xfId="0" applyNumberFormat="1" applyFont="1"/>
    <xf numFmtId="222" fontId="30" fillId="0" borderId="0" xfId="0" quotePrefix="1" applyNumberFormat="1" applyFont="1"/>
    <xf numFmtId="222" fontId="30" fillId="0" borderId="4" xfId="0" applyNumberFormat="1" applyFont="1" applyBorder="1" applyAlignment="1">
      <alignment vertical="center"/>
    </xf>
    <xf numFmtId="222" fontId="30" fillId="4" borderId="0" xfId="0" applyNumberFormat="1" applyFont="1" applyFill="1"/>
    <xf numFmtId="222" fontId="33" fillId="4" borderId="0" xfId="0" applyNumberFormat="1" applyFont="1" applyFill="1" applyAlignment="1">
      <alignment vertical="center"/>
    </xf>
    <xf numFmtId="218" fontId="54" fillId="5" borderId="0" xfId="16" applyNumberFormat="1" applyFont="1" applyFill="1" applyAlignment="1">
      <alignment vertical="center"/>
    </xf>
    <xf numFmtId="222" fontId="32" fillId="5" borderId="0" xfId="0" applyNumberFormat="1" applyFont="1" applyFill="1"/>
    <xf numFmtId="225" fontId="15" fillId="0" borderId="0" xfId="0" applyNumberFormat="1" applyFont="1" applyFill="1" applyAlignment="1">
      <alignment horizontal="right" vertical="center"/>
    </xf>
    <xf numFmtId="225" fontId="15" fillId="0" borderId="0" xfId="0" applyNumberFormat="1" applyFont="1" applyFill="1" applyAlignment="1">
      <alignment vertical="center"/>
    </xf>
    <xf numFmtId="225" fontId="19" fillId="0" borderId="6" xfId="0" applyNumberFormat="1" applyFont="1" applyFill="1" applyBorder="1" applyAlignment="1">
      <alignment horizontal="center" vertical="center" wrapText="1"/>
    </xf>
    <xf numFmtId="225" fontId="15" fillId="0" borderId="5" xfId="0" applyNumberFormat="1" applyFont="1" applyFill="1" applyBorder="1" applyAlignment="1">
      <alignment vertical="center"/>
    </xf>
    <xf numFmtId="225" fontId="15" fillId="0" borderId="4" xfId="0" applyNumberFormat="1" applyFont="1" applyFill="1" applyBorder="1" applyAlignment="1">
      <alignment vertical="center"/>
    </xf>
    <xf numFmtId="225" fontId="15" fillId="0" borderId="3" xfId="0" applyNumberFormat="1" applyFont="1" applyFill="1" applyBorder="1" applyAlignment="1">
      <alignment vertical="center"/>
    </xf>
    <xf numFmtId="225" fontId="19" fillId="0" borderId="3" xfId="0" applyNumberFormat="1" applyFont="1" applyFill="1" applyBorder="1" applyAlignment="1">
      <alignment vertical="center"/>
    </xf>
    <xf numFmtId="0" fontId="40" fillId="0" borderId="0" xfId="23" applyProtection="1">
      <protection locked="0"/>
    </xf>
    <xf numFmtId="196" fontId="35" fillId="0" borderId="0" xfId="2" applyNumberFormat="1" applyFont="1" applyFill="1"/>
    <xf numFmtId="196" fontId="35" fillId="0" borderId="0" xfId="2" quotePrefix="1" applyNumberFormat="1" applyFont="1" applyFill="1"/>
    <xf numFmtId="192" fontId="0" fillId="0" borderId="0" xfId="0" applyNumberFormat="1" applyFill="1"/>
    <xf numFmtId="0" fontId="55" fillId="0" borderId="0" xfId="23" applyFont="1" applyProtection="1">
      <protection locked="0"/>
    </xf>
    <xf numFmtId="0" fontId="48" fillId="3" borderId="7" xfId="0" applyFont="1" applyFill="1" applyBorder="1" applyAlignment="1">
      <alignment vertical="center"/>
    </xf>
    <xf numFmtId="0" fontId="48" fillId="3" borderId="7" xfId="0" applyFont="1" applyFill="1" applyBorder="1" applyAlignment="1">
      <alignment horizontal="center" vertical="center"/>
    </xf>
    <xf numFmtId="196" fontId="26" fillId="3" borderId="7" xfId="0" applyNumberFormat="1" applyFont="1" applyFill="1" applyBorder="1" applyAlignment="1">
      <alignment vertical="center" wrapText="1"/>
    </xf>
    <xf numFmtId="0" fontId="26" fillId="3" borderId="7" xfId="0" applyFont="1" applyFill="1" applyBorder="1" applyAlignment="1">
      <alignment horizontal="center" vertical="center" wrapText="1"/>
    </xf>
    <xf numFmtId="0" fontId="26" fillId="3" borderId="7" xfId="0" applyFont="1" applyFill="1" applyBorder="1" applyAlignment="1">
      <alignment vertical="center" wrapText="1"/>
    </xf>
    <xf numFmtId="196" fontId="36" fillId="0" borderId="4" xfId="1" applyNumberFormat="1" applyFont="1" applyFill="1" applyBorder="1" applyAlignment="1">
      <alignment horizontal="right"/>
    </xf>
    <xf numFmtId="49" fontId="27" fillId="0" borderId="4" xfId="0" applyNumberFormat="1" applyFont="1" applyFill="1" applyBorder="1" applyAlignment="1">
      <alignment horizontal="left" vertical="center"/>
    </xf>
    <xf numFmtId="190" fontId="27" fillId="0" borderId="4" xfId="0" applyNumberFormat="1" applyFont="1" applyFill="1" applyBorder="1" applyAlignment="1">
      <alignment horizontal="left" vertical="center"/>
    </xf>
    <xf numFmtId="49" fontId="49" fillId="0" borderId="4" xfId="0" applyNumberFormat="1" applyFont="1" applyFill="1" applyBorder="1" applyAlignment="1">
      <alignment horizontal="left" vertical="center"/>
    </xf>
    <xf numFmtId="192" fontId="27" fillId="0" borderId="4" xfId="1" applyNumberFormat="1" applyFont="1" applyFill="1" applyBorder="1" applyAlignment="1">
      <alignment horizontal="right"/>
    </xf>
    <xf numFmtId="201" fontId="52" fillId="0" borderId="4" xfId="1" applyNumberFormat="1" applyFont="1" applyFill="1" applyBorder="1" applyAlignment="1">
      <alignment horizontal="right"/>
    </xf>
    <xf numFmtId="196" fontId="25" fillId="0" borderId="0" xfId="2" applyNumberFormat="1" applyFont="1" applyFill="1"/>
    <xf numFmtId="196" fontId="27" fillId="0" borderId="4" xfId="1" applyNumberFormat="1" applyFont="1" applyFill="1" applyBorder="1" applyAlignment="1">
      <alignment horizontal="right"/>
    </xf>
    <xf numFmtId="196" fontId="55" fillId="0" borderId="4" xfId="23" applyNumberFormat="1" applyFont="1" applyBorder="1" applyProtection="1">
      <protection locked="0"/>
    </xf>
    <xf numFmtId="196" fontId="40" fillId="0" borderId="0" xfId="23" applyNumberFormat="1" applyProtection="1">
      <protection locked="0"/>
    </xf>
    <xf numFmtId="182" fontId="16" fillId="0" borderId="8" xfId="22" applyNumberFormat="1" applyFont="1" applyFill="1" applyBorder="1" applyAlignment="1">
      <alignment horizontal="center" vertical="center"/>
    </xf>
    <xf numFmtId="49" fontId="16" fillId="0" borderId="5" xfId="22" applyNumberFormat="1" applyFont="1" applyFill="1" applyBorder="1" applyAlignment="1">
      <alignment vertical="center"/>
    </xf>
    <xf numFmtId="196" fontId="16" fillId="0" borderId="5" xfId="0" applyNumberFormat="1" applyFont="1" applyFill="1" applyBorder="1" applyAlignment="1">
      <alignment vertical="center"/>
    </xf>
    <xf numFmtId="0" fontId="16" fillId="0" borderId="0" xfId="22" applyNumberFormat="1" applyFont="1" applyFill="1" applyBorder="1" applyAlignment="1">
      <alignment horizontal="center" vertical="center"/>
    </xf>
    <xf numFmtId="49" fontId="16" fillId="0" borderId="0" xfId="22" applyNumberFormat="1" applyFont="1" applyFill="1" applyBorder="1" applyAlignment="1">
      <alignment vertical="center"/>
    </xf>
    <xf numFmtId="4" fontId="16" fillId="0" borderId="0" xfId="0" applyNumberFormat="1" applyFont="1" applyFill="1" applyBorder="1" applyAlignment="1">
      <alignment vertical="center"/>
    </xf>
    <xf numFmtId="196" fontId="16" fillId="0" borderId="0" xfId="1" applyNumberFormat="1" applyFont="1" applyFill="1" applyBorder="1" applyAlignment="1" applyProtection="1">
      <alignment vertical="center"/>
    </xf>
    <xf numFmtId="181" fontId="15" fillId="0" borderId="0" xfId="0" applyNumberFormat="1" applyFont="1" applyFill="1" applyBorder="1" applyAlignment="1">
      <alignment vertical="center"/>
    </xf>
    <xf numFmtId="225" fontId="15" fillId="0" borderId="0" xfId="0" applyNumberFormat="1" applyFont="1" applyFill="1" applyBorder="1" applyAlignment="1">
      <alignment vertical="center"/>
    </xf>
    <xf numFmtId="2" fontId="15" fillId="0" borderId="0" xfId="0" applyNumberFormat="1" applyFont="1" applyFill="1" applyBorder="1" applyAlignment="1">
      <alignment vertical="center"/>
    </xf>
    <xf numFmtId="179" fontId="16" fillId="0" borderId="0" xfId="0" applyNumberFormat="1" applyFont="1" applyFill="1" applyBorder="1" applyAlignment="1">
      <alignment vertical="center"/>
    </xf>
    <xf numFmtId="171" fontId="15" fillId="0" borderId="0" xfId="0" applyNumberFormat="1" applyFont="1" applyFill="1" applyBorder="1" applyAlignment="1">
      <alignment vertical="center"/>
    </xf>
    <xf numFmtId="49" fontId="14" fillId="0" borderId="4" xfId="22" applyNumberFormat="1" applyFont="1" applyFill="1" applyBorder="1" applyAlignment="1">
      <alignment vertical="center"/>
    </xf>
    <xf numFmtId="225" fontId="19" fillId="0" borderId="4" xfId="0" applyNumberFormat="1" applyFont="1" applyFill="1" applyBorder="1" applyAlignment="1">
      <alignment vertical="center"/>
    </xf>
    <xf numFmtId="181" fontId="19" fillId="0" borderId="4" xfId="0" applyNumberFormat="1" applyFont="1" applyFill="1" applyBorder="1" applyAlignment="1">
      <alignment vertical="center"/>
    </xf>
    <xf numFmtId="0" fontId="14" fillId="0" borderId="4" xfId="22" applyNumberFormat="1" applyFont="1" applyFill="1" applyBorder="1" applyAlignment="1">
      <alignment horizontal="center" vertical="center"/>
    </xf>
    <xf numFmtId="182" fontId="14" fillId="0" borderId="4" xfId="22" applyNumberFormat="1" applyFont="1" applyFill="1" applyBorder="1" applyAlignment="1">
      <alignment horizontal="center" vertical="center"/>
    </xf>
    <xf numFmtId="4" fontId="14" fillId="0" borderId="4" xfId="0" applyNumberFormat="1" applyFont="1" applyFill="1" applyBorder="1" applyAlignment="1">
      <alignment vertical="center"/>
    </xf>
    <xf numFmtId="196" fontId="14" fillId="0" borderId="4" xfId="1" applyNumberFormat="1" applyFont="1" applyFill="1" applyBorder="1" applyAlignment="1" applyProtection="1">
      <alignment vertical="center"/>
    </xf>
    <xf numFmtId="2" fontId="19" fillId="0" borderId="4" xfId="0" applyNumberFormat="1" applyFont="1" applyFill="1" applyBorder="1" applyAlignment="1">
      <alignment vertical="center"/>
    </xf>
    <xf numFmtId="184" fontId="19" fillId="0" borderId="0" xfId="1" applyNumberFormat="1" applyFont="1" applyFill="1" applyBorder="1" applyAlignment="1" applyProtection="1">
      <alignment horizontal="right" vertical="center"/>
    </xf>
    <xf numFmtId="184" fontId="3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Alignment="1">
      <alignment vertical="center"/>
    </xf>
    <xf numFmtId="179" fontId="14" fillId="0" borderId="0" xfId="0" applyNumberFormat="1" applyFont="1" applyFill="1" applyAlignment="1">
      <alignment vertical="center"/>
    </xf>
    <xf numFmtId="196" fontId="19" fillId="0" borderId="0" xfId="0" applyNumberFormat="1" applyFont="1" applyFill="1" applyBorder="1" applyAlignment="1">
      <alignment vertical="center"/>
    </xf>
    <xf numFmtId="201" fontId="51" fillId="0" borderId="0" xfId="0" applyNumberFormat="1" applyFont="1" applyFill="1" applyBorder="1" applyAlignment="1">
      <alignment horizontal="left"/>
    </xf>
    <xf numFmtId="171" fontId="55" fillId="0" borderId="0" xfId="23" applyNumberFormat="1" applyFont="1" applyProtection="1">
      <protection locked="0"/>
    </xf>
    <xf numFmtId="3" fontId="16" fillId="0" borderId="5" xfId="0" applyNumberFormat="1" applyFont="1" applyFill="1" applyBorder="1" applyAlignment="1">
      <alignment vertical="center"/>
    </xf>
    <xf numFmtId="3" fontId="16" fillId="0" borderId="4" xfId="0" applyNumberFormat="1" applyFont="1" applyFill="1" applyBorder="1" applyAlignment="1">
      <alignment vertical="center"/>
    </xf>
    <xf numFmtId="3" fontId="14" fillId="0" borderId="4" xfId="0" applyNumberFormat="1" applyFont="1" applyFill="1" applyBorder="1" applyAlignment="1">
      <alignment vertical="center"/>
    </xf>
    <xf numFmtId="3" fontId="14" fillId="0" borderId="5" xfId="0" applyNumberFormat="1" applyFont="1" applyFill="1" applyBorder="1" applyAlignment="1">
      <alignment vertical="center"/>
    </xf>
    <xf numFmtId="3" fontId="16" fillId="0" borderId="4" xfId="0" applyNumberFormat="1" applyFont="1" applyFill="1" applyBorder="1" applyAlignment="1"/>
    <xf numFmtId="0" fontId="14" fillId="0" borderId="0" xfId="22" applyNumberFormat="1" applyFont="1" applyFill="1" applyBorder="1" applyAlignment="1">
      <alignment horizontal="left" vertical="center"/>
    </xf>
  </cellXfs>
  <cellStyles count="42">
    <cellStyle name="Comma" xfId="1" builtinId="3"/>
    <cellStyle name="Comma [0]" xfId="2" builtinId="6"/>
    <cellStyle name="Comma [0] 2" xfId="3" xr:uid="{8D8EB485-145C-4FD3-A7EB-FFABF242A729}"/>
    <cellStyle name="Comma [0] 3" xfId="4" xr:uid="{615D54DC-62CA-44AB-9D80-098370F61448}"/>
    <cellStyle name="Comma [0] 4" xfId="5" xr:uid="{F0480B5F-C3BE-466B-902B-91638250E171}"/>
    <cellStyle name="Comma [0] 5" xfId="6" xr:uid="{BEF6D561-E665-4A8C-8B1E-CE982A396B30}"/>
    <cellStyle name="Comma [0] 6" xfId="7" xr:uid="{62FD5CB5-D7C4-4A45-8855-18934AD18622}"/>
    <cellStyle name="Comma [0] 7" xfId="8" xr:uid="{FE5F68E6-70D6-4F3D-861E-D21BD2F83411}"/>
    <cellStyle name="Comma [0] 8" xfId="9" xr:uid="{3BEDCCF5-FA02-425C-BE68-65EEC226CDD8}"/>
    <cellStyle name="Comma [0] 9" xfId="10" xr:uid="{C229FB01-4309-4FA7-8A52-A621255D6B8D}"/>
    <cellStyle name="Comma [0]_2. Chem_Mei'11" xfId="11" xr:uid="{C122A7C0-4031-422F-9A4F-A74030D315A5}"/>
    <cellStyle name="Comma 10" xfId="12" xr:uid="{D81E56BC-B90B-4E69-B5DB-618CAAC57DA0}"/>
    <cellStyle name="Comma 11" xfId="13" xr:uid="{203CA4BF-CC15-499B-B2F9-8C74069B4216}"/>
    <cellStyle name="Comma 2" xfId="14" xr:uid="{CE5F9491-090A-411F-A50C-93134F3F9942}"/>
    <cellStyle name="Comma 3" xfId="15" xr:uid="{1A8186DC-41C5-4DB1-A1C9-3FC56933B891}"/>
    <cellStyle name="Comma 4" xfId="16" xr:uid="{6A1CA4C8-A62F-4E06-8205-D639943DA4C7}"/>
    <cellStyle name="Comma 5" xfId="17" xr:uid="{7C13D94A-DE49-476C-A9C3-8323600B750A}"/>
    <cellStyle name="Comma 6" xfId="18" xr:uid="{B5A9EE54-02E0-407A-9413-50CF38AAD18D}"/>
    <cellStyle name="Comma 7" xfId="19" xr:uid="{EDF33343-BF91-4CC5-A73C-013099FBDADC}"/>
    <cellStyle name="Comma 8" xfId="20" xr:uid="{1D9292BD-75E6-432A-B952-06D16AC9AD3F}"/>
    <cellStyle name="Comma 9" xfId="21" xr:uid="{B1ABAA32-4164-4319-8397-88E44ACE58F8}"/>
    <cellStyle name="Normal" xfId="0" builtinId="0"/>
    <cellStyle name="Normal 2" xfId="22" xr:uid="{F61A3F80-E0CD-4161-BB36-5FA5CBAF15B8}"/>
    <cellStyle name="Normal 2 2" xfId="23" xr:uid="{BA6556C7-27A0-4C5B-842C-BF8AFCD1C32E}"/>
    <cellStyle name="Normal 3" xfId="24" xr:uid="{3373FF6D-E157-4884-8B3C-5A347F61C511}"/>
    <cellStyle name="Normal 4" xfId="25" xr:uid="{F52AB86C-874F-4150-B931-D67ECF32679A}"/>
    <cellStyle name="S0" xfId="26" xr:uid="{18A100BE-15D8-41EE-88D5-79DC7F13F61E}"/>
    <cellStyle name="S1" xfId="27" xr:uid="{BEAF0802-EC9A-4237-8794-F9965E68C412}"/>
    <cellStyle name="S10" xfId="28" xr:uid="{8CBDB28C-EA29-4C77-9720-3B787A0A8F24}"/>
    <cellStyle name="S11" xfId="29" xr:uid="{F58967DC-1879-4A36-92F5-E4B7D017CC61}"/>
    <cellStyle name="S12" xfId="30" xr:uid="{E468A32C-D328-405A-97C0-A22A8735B5DA}"/>
    <cellStyle name="S13" xfId="31" xr:uid="{F9718E14-B502-4D31-9446-C3B583FF92A6}"/>
    <cellStyle name="S14" xfId="32" xr:uid="{3A6C3DC6-1433-4BB1-8A36-67BDB02B358E}"/>
    <cellStyle name="S15" xfId="33" xr:uid="{140682A5-3527-4142-BAC6-B88D961ECE8B}"/>
    <cellStyle name="S2" xfId="34" xr:uid="{4C7A96D5-113D-4DB3-A076-4483CA12272D}"/>
    <cellStyle name="S3" xfId="35" xr:uid="{F6A5121A-0585-4F40-B9B6-9624C8A93AE2}"/>
    <cellStyle name="S4" xfId="36" xr:uid="{0B9CDB13-28C3-49D8-8E54-B5DE2AF2E08E}"/>
    <cellStyle name="S5" xfId="37" xr:uid="{97B6EE1D-DE25-4C94-A5D1-0690CD021847}"/>
    <cellStyle name="S6" xfId="38" xr:uid="{E615638C-7E6F-4DD7-A224-BAF68EF24749}"/>
    <cellStyle name="S7" xfId="39" xr:uid="{8CD58B6A-3360-4CA7-B0B1-0D8E63539D22}"/>
    <cellStyle name="S8" xfId="40" xr:uid="{AFDCA09D-3765-4EE3-971B-289787E56793}"/>
    <cellStyle name="S9" xfId="41" xr:uid="{4257778A-9255-49CD-AEB5-B0931C2E93E1}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C%20HUTANG\2022\05.%20MEI\BTB%20MEI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TB"/>
      <sheetName val="BTB NA"/>
      <sheetName val="Sheet2"/>
      <sheetName val="Sheet3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15CEB-830A-4ADF-B969-ED172B4FDAA3}">
  <sheetPr codeName="Sheet1"/>
  <dimension ref="A1:Y253"/>
  <sheetViews>
    <sheetView zoomScale="85" zoomScaleNormal="85" workbookViewId="0">
      <pane xSplit="5" ySplit="5" topLeftCell="F76" activePane="bottomRight" state="frozen"/>
      <selection activeCell="O378" sqref="O378"/>
      <selection pane="topRight" activeCell="O378" sqref="O378"/>
      <selection pane="bottomLeft" activeCell="O378" sqref="O378"/>
      <selection pane="bottomRight" activeCell="F10" sqref="F10"/>
    </sheetView>
  </sheetViews>
  <sheetFormatPr defaultColWidth="9.15234375" defaultRowHeight="15.45"/>
  <cols>
    <col min="1" max="1" width="6.69140625" style="6" customWidth="1"/>
    <col min="2" max="2" width="15.69140625" style="6" customWidth="1"/>
    <col min="3" max="3" width="36.69140625" style="6" customWidth="1"/>
    <col min="4" max="4" width="8.3828125" style="21" customWidth="1"/>
    <col min="5" max="5" width="11.3046875" style="2" customWidth="1"/>
    <col min="6" max="6" width="12.69140625" style="3" customWidth="1"/>
    <col min="7" max="7" width="12.53515625" style="3" customWidth="1"/>
    <col min="8" max="8" width="11.15234375" style="4" customWidth="1"/>
    <col min="9" max="9" width="18.84375" style="31" hidden="1" customWidth="1"/>
    <col min="10" max="10" width="16.3828125" style="31" hidden="1" customWidth="1"/>
    <col min="11" max="11" width="21.3046875" style="31" hidden="1" customWidth="1"/>
    <col min="12" max="13" width="23.53515625" style="5" customWidth="1"/>
    <col min="14" max="14" width="19.69140625" style="5" customWidth="1"/>
    <col min="15" max="15" width="19.15234375" style="129" customWidth="1"/>
    <col min="16" max="16" width="20.69140625" style="129" customWidth="1"/>
    <col min="17" max="17" width="12.3828125" style="6" customWidth="1"/>
    <col min="18" max="18" width="16.3828125" style="46" customWidth="1"/>
    <col min="19" max="19" width="16.3828125" style="45" customWidth="1"/>
    <col min="20" max="20" width="20" style="78" customWidth="1"/>
    <col min="21" max="21" width="17.3046875" style="6" customWidth="1"/>
    <col min="22" max="22" width="13.53515625" style="99" customWidth="1"/>
    <col min="23" max="23" width="21.3828125" style="31" customWidth="1"/>
    <col min="24" max="24" width="19.69140625" style="6" bestFit="1" customWidth="1"/>
    <col min="25" max="25" width="20.3828125" style="6" customWidth="1"/>
    <col min="26" max="16384" width="9.15234375" style="6"/>
  </cols>
  <sheetData>
    <row r="1" spans="1:25">
      <c r="A1" s="1"/>
      <c r="B1" s="1" t="s">
        <v>280</v>
      </c>
      <c r="C1" s="1"/>
      <c r="D1" s="1"/>
      <c r="O1" s="128"/>
      <c r="P1" s="128"/>
      <c r="R1" s="44"/>
      <c r="T1" s="77"/>
    </row>
    <row r="2" spans="1:25" hidden="1">
      <c r="A2" s="1"/>
      <c r="B2" s="1"/>
      <c r="C2" s="1"/>
      <c r="D2" s="7"/>
      <c r="O2" s="128"/>
      <c r="P2" s="128"/>
      <c r="R2" s="44"/>
      <c r="V2" s="100"/>
    </row>
    <row r="3" spans="1:25">
      <c r="A3" s="8"/>
      <c r="B3" s="8" t="s">
        <v>455</v>
      </c>
      <c r="D3" s="1"/>
      <c r="O3" s="128"/>
      <c r="P3" s="128"/>
      <c r="R3" s="44"/>
      <c r="T3" s="78">
        <v>29764.322999999993</v>
      </c>
      <c r="U3" s="81"/>
      <c r="V3" s="100"/>
    </row>
    <row r="4" spans="1:25" ht="20.25" customHeight="1" thickBot="1">
      <c r="A4" s="9"/>
      <c r="B4" s="9"/>
      <c r="C4" s="1" t="s">
        <v>69</v>
      </c>
      <c r="D4" s="10"/>
      <c r="H4" s="11"/>
      <c r="J4" s="31">
        <v>0.11</v>
      </c>
      <c r="K4" s="31">
        <v>1.1000000000000001</v>
      </c>
      <c r="T4" s="77">
        <v>29764.222999999998</v>
      </c>
      <c r="U4" s="81">
        <v>9.999999999490683E-2</v>
      </c>
      <c r="V4" s="100"/>
    </row>
    <row r="5" spans="1:25" s="109" customFormat="1" ht="30.9" thickTop="1" thickBot="1">
      <c r="A5" s="102" t="s">
        <v>58</v>
      </c>
      <c r="B5" s="102" t="s">
        <v>126</v>
      </c>
      <c r="C5" s="102" t="s">
        <v>55</v>
      </c>
      <c r="D5" s="102" t="s">
        <v>59</v>
      </c>
      <c r="E5" s="102" t="s">
        <v>367</v>
      </c>
      <c r="F5" s="103" t="s">
        <v>0</v>
      </c>
      <c r="G5" s="103" t="s">
        <v>341</v>
      </c>
      <c r="H5" s="104" t="s">
        <v>1</v>
      </c>
      <c r="I5" s="105" t="s">
        <v>267</v>
      </c>
      <c r="J5" s="105" t="s">
        <v>36</v>
      </c>
      <c r="K5" s="105" t="s">
        <v>22</v>
      </c>
      <c r="L5" s="106" t="s">
        <v>180</v>
      </c>
      <c r="M5" s="106" t="s">
        <v>340</v>
      </c>
      <c r="N5" s="106" t="s">
        <v>339</v>
      </c>
      <c r="O5" s="130" t="s">
        <v>338</v>
      </c>
      <c r="P5" s="130" t="s">
        <v>181</v>
      </c>
      <c r="Q5" s="107" t="s">
        <v>2</v>
      </c>
      <c r="R5" s="108" t="s">
        <v>268</v>
      </c>
      <c r="S5" s="76" t="s">
        <v>296</v>
      </c>
      <c r="T5" s="79" t="s">
        <v>83</v>
      </c>
      <c r="U5" s="109" t="s">
        <v>297</v>
      </c>
      <c r="V5" s="110"/>
      <c r="W5" s="111"/>
    </row>
    <row r="6" spans="1:25" ht="15" customHeight="1" thickTop="1">
      <c r="A6" s="71">
        <v>1</v>
      </c>
      <c r="B6" s="71" t="s">
        <v>302</v>
      </c>
      <c r="C6" s="87" t="s">
        <v>62</v>
      </c>
      <c r="D6" s="72" t="s">
        <v>5</v>
      </c>
      <c r="E6" s="182">
        <v>180</v>
      </c>
      <c r="F6" s="182">
        <v>240</v>
      </c>
      <c r="G6" s="182">
        <v>240</v>
      </c>
      <c r="H6" s="182">
        <v>180</v>
      </c>
      <c r="I6" s="82">
        <v>24000</v>
      </c>
      <c r="J6" s="82">
        <v>2640</v>
      </c>
      <c r="K6" s="82">
        <v>26640</v>
      </c>
      <c r="L6" s="131">
        <v>4320000</v>
      </c>
      <c r="M6" s="131">
        <v>4795200</v>
      </c>
      <c r="N6" s="131">
        <v>6393600</v>
      </c>
      <c r="O6" s="131">
        <v>6393600</v>
      </c>
      <c r="P6" s="131">
        <v>4795200</v>
      </c>
      <c r="Q6" s="75">
        <v>240</v>
      </c>
      <c r="R6" s="46">
        <v>0</v>
      </c>
      <c r="S6" s="47">
        <v>180</v>
      </c>
      <c r="T6" s="78">
        <v>240</v>
      </c>
      <c r="U6" s="6" t="s">
        <v>302</v>
      </c>
      <c r="V6" s="101" t="s">
        <v>218</v>
      </c>
      <c r="W6" s="32"/>
      <c r="X6" s="42" t="e">
        <v>#REF!</v>
      </c>
      <c r="Y6" s="31" t="e">
        <v>#REF!</v>
      </c>
    </row>
    <row r="7" spans="1:25" s="12" customFormat="1">
      <c r="A7" s="30">
        <v>2</v>
      </c>
      <c r="B7" s="30" t="s">
        <v>302</v>
      </c>
      <c r="C7" s="87" t="s">
        <v>63</v>
      </c>
      <c r="D7" s="37" t="s">
        <v>5</v>
      </c>
      <c r="E7" s="183">
        <v>180</v>
      </c>
      <c r="F7" s="182">
        <v>240</v>
      </c>
      <c r="G7" s="182">
        <v>240</v>
      </c>
      <c r="H7" s="183">
        <v>180</v>
      </c>
      <c r="I7" s="49">
        <v>23000</v>
      </c>
      <c r="J7" s="49">
        <v>2530</v>
      </c>
      <c r="K7" s="49">
        <v>25530</v>
      </c>
      <c r="L7" s="132">
        <v>4140000</v>
      </c>
      <c r="M7" s="131">
        <v>4595400</v>
      </c>
      <c r="N7" s="131">
        <v>6127200</v>
      </c>
      <c r="O7" s="131">
        <v>6127200</v>
      </c>
      <c r="P7" s="132">
        <v>4595400</v>
      </c>
      <c r="Q7" s="40">
        <v>240</v>
      </c>
      <c r="R7" s="46">
        <v>0</v>
      </c>
      <c r="S7" s="47">
        <v>180</v>
      </c>
      <c r="T7" s="78">
        <v>240</v>
      </c>
      <c r="U7" s="6" t="s">
        <v>302</v>
      </c>
      <c r="V7" s="101" t="s">
        <v>218</v>
      </c>
      <c r="W7" s="32"/>
      <c r="X7" s="42" t="e">
        <v>#REF!</v>
      </c>
      <c r="Y7" s="31" t="e">
        <v>#REF!</v>
      </c>
    </row>
    <row r="8" spans="1:25" ht="15.75" customHeight="1">
      <c r="A8" s="30">
        <v>3</v>
      </c>
      <c r="B8" s="30" t="s">
        <v>302</v>
      </c>
      <c r="C8" s="87" t="s">
        <v>49</v>
      </c>
      <c r="D8" s="37" t="s">
        <v>5</v>
      </c>
      <c r="E8" s="183">
        <v>2700</v>
      </c>
      <c r="F8" s="182">
        <v>0</v>
      </c>
      <c r="G8" s="182">
        <v>900</v>
      </c>
      <c r="H8" s="183">
        <v>1800</v>
      </c>
      <c r="I8" s="49">
        <v>1500</v>
      </c>
      <c r="J8" s="49"/>
      <c r="K8" s="49">
        <v>1500</v>
      </c>
      <c r="L8" s="132">
        <v>2700000</v>
      </c>
      <c r="M8" s="131">
        <v>4050000</v>
      </c>
      <c r="N8" s="131">
        <v>0</v>
      </c>
      <c r="O8" s="131">
        <v>1350000</v>
      </c>
      <c r="P8" s="132">
        <v>2700000</v>
      </c>
      <c r="Q8" s="40">
        <v>900</v>
      </c>
      <c r="R8" s="46">
        <v>0</v>
      </c>
      <c r="S8" s="47">
        <v>1800</v>
      </c>
      <c r="T8" s="78">
        <v>900</v>
      </c>
      <c r="U8" s="6" t="s">
        <v>302</v>
      </c>
      <c r="V8" s="101" t="s">
        <v>218</v>
      </c>
      <c r="W8" s="32"/>
      <c r="X8" s="42" t="e">
        <v>#REF!</v>
      </c>
      <c r="Y8" s="31" t="e">
        <v>#REF!</v>
      </c>
    </row>
    <row r="9" spans="1:25" s="177" customFormat="1">
      <c r="A9" s="170"/>
      <c r="B9" s="170"/>
      <c r="C9" s="167"/>
      <c r="D9" s="171"/>
      <c r="E9" s="184">
        <v>3060</v>
      </c>
      <c r="F9" s="185">
        <v>480</v>
      </c>
      <c r="G9" s="185">
        <v>1380</v>
      </c>
      <c r="H9" s="184">
        <v>2160</v>
      </c>
      <c r="I9" s="173"/>
      <c r="J9" s="173"/>
      <c r="K9" s="173"/>
      <c r="L9" s="168">
        <v>11160000</v>
      </c>
      <c r="M9" s="168">
        <v>13440600</v>
      </c>
      <c r="N9" s="168">
        <v>12520800</v>
      </c>
      <c r="O9" s="168">
        <v>13870800</v>
      </c>
      <c r="P9" s="168">
        <v>12090600</v>
      </c>
      <c r="Q9" s="174"/>
      <c r="R9" s="175"/>
      <c r="S9" s="176"/>
      <c r="T9" s="78"/>
      <c r="V9" s="178"/>
      <c r="W9" s="179"/>
      <c r="X9" s="42" t="e">
        <v>#REF!</v>
      </c>
      <c r="Y9" s="179"/>
    </row>
    <row r="10" spans="1:25">
      <c r="A10" s="30"/>
      <c r="B10" s="30"/>
      <c r="C10" s="87"/>
      <c r="D10" s="37"/>
      <c r="E10" s="183"/>
      <c r="F10" s="182"/>
      <c r="G10" s="182"/>
      <c r="H10" s="183"/>
      <c r="I10" s="49"/>
      <c r="J10" s="49"/>
      <c r="K10" s="49"/>
      <c r="L10" s="132"/>
      <c r="M10" s="132"/>
      <c r="N10" s="132"/>
      <c r="O10" s="132"/>
      <c r="P10" s="132"/>
      <c r="Q10" s="40"/>
      <c r="S10" s="47"/>
      <c r="V10" s="101"/>
      <c r="W10" s="32"/>
      <c r="X10" s="42" t="e">
        <v>#REF!</v>
      </c>
      <c r="Y10" s="32"/>
    </row>
    <row r="11" spans="1:25" ht="15.75" customHeight="1">
      <c r="A11" s="30">
        <v>1</v>
      </c>
      <c r="B11" s="30" t="s">
        <v>766</v>
      </c>
      <c r="C11" s="87" t="s">
        <v>35</v>
      </c>
      <c r="D11" s="37" t="s">
        <v>5</v>
      </c>
      <c r="E11" s="183">
        <v>150</v>
      </c>
      <c r="F11" s="182">
        <v>0</v>
      </c>
      <c r="G11" s="182">
        <v>10</v>
      </c>
      <c r="H11" s="183">
        <v>140</v>
      </c>
      <c r="I11" s="48">
        <v>115000</v>
      </c>
      <c r="J11" s="49">
        <v>12650</v>
      </c>
      <c r="K11" s="49">
        <v>127650</v>
      </c>
      <c r="L11" s="132">
        <v>16100000</v>
      </c>
      <c r="M11" s="131">
        <v>19147500</v>
      </c>
      <c r="N11" s="131">
        <v>0</v>
      </c>
      <c r="O11" s="131">
        <v>1276500</v>
      </c>
      <c r="P11" s="132">
        <v>17871000</v>
      </c>
      <c r="Q11" s="40">
        <v>10</v>
      </c>
      <c r="R11" s="46">
        <v>0</v>
      </c>
      <c r="S11" s="47">
        <v>140</v>
      </c>
      <c r="T11" s="78">
        <v>10</v>
      </c>
      <c r="U11" s="6" t="s">
        <v>337</v>
      </c>
      <c r="V11" s="101" t="s">
        <v>225</v>
      </c>
      <c r="W11" s="32"/>
      <c r="X11" s="42" t="e">
        <v>#REF!</v>
      </c>
      <c r="Y11" s="32" t="e">
        <v>#REF!</v>
      </c>
    </row>
    <row r="12" spans="1:25" ht="15.75" customHeight="1">
      <c r="A12" s="30">
        <v>2</v>
      </c>
      <c r="B12" s="30" t="s">
        <v>766</v>
      </c>
      <c r="C12" s="87" t="s">
        <v>65</v>
      </c>
      <c r="D12" s="37" t="s">
        <v>6</v>
      </c>
      <c r="E12" s="183">
        <v>200</v>
      </c>
      <c r="F12" s="182">
        <v>0</v>
      </c>
      <c r="G12" s="182">
        <v>0</v>
      </c>
      <c r="H12" s="183">
        <v>200</v>
      </c>
      <c r="I12" s="49">
        <v>36000</v>
      </c>
      <c r="J12" s="49">
        <v>3960</v>
      </c>
      <c r="K12" s="49">
        <v>39960</v>
      </c>
      <c r="L12" s="132">
        <v>7200000</v>
      </c>
      <c r="M12" s="131">
        <v>7992000</v>
      </c>
      <c r="N12" s="131">
        <v>0</v>
      </c>
      <c r="O12" s="131">
        <v>0</v>
      </c>
      <c r="P12" s="132">
        <v>7992000</v>
      </c>
      <c r="Q12" s="40">
        <v>0</v>
      </c>
      <c r="R12" s="46">
        <v>0</v>
      </c>
      <c r="S12" s="47">
        <v>200</v>
      </c>
      <c r="T12" s="78">
        <v>0</v>
      </c>
      <c r="U12" s="6" t="s">
        <v>337</v>
      </c>
      <c r="V12" s="101" t="s">
        <v>226</v>
      </c>
      <c r="W12" s="32"/>
      <c r="X12" s="42" t="e">
        <v>#REF!</v>
      </c>
      <c r="Y12" s="31" t="e">
        <v>#REF!</v>
      </c>
    </row>
    <row r="13" spans="1:25">
      <c r="A13" s="30">
        <v>3</v>
      </c>
      <c r="B13" s="30" t="s">
        <v>766</v>
      </c>
      <c r="C13" s="87" t="s">
        <v>44</v>
      </c>
      <c r="D13" s="37" t="s">
        <v>5</v>
      </c>
      <c r="E13" s="183">
        <v>38</v>
      </c>
      <c r="F13" s="182">
        <v>0</v>
      </c>
      <c r="G13" s="182">
        <v>10</v>
      </c>
      <c r="H13" s="183">
        <v>30</v>
      </c>
      <c r="I13" s="49">
        <v>201876</v>
      </c>
      <c r="J13" s="49">
        <v>22206.36</v>
      </c>
      <c r="K13" s="49">
        <v>224082.36</v>
      </c>
      <c r="L13" s="132">
        <v>6056280</v>
      </c>
      <c r="M13" s="131">
        <v>8515129.6799999997</v>
      </c>
      <c r="N13" s="131">
        <v>0</v>
      </c>
      <c r="O13" s="131">
        <v>2240823.5999999996</v>
      </c>
      <c r="P13" s="132">
        <v>6722470.7999999998</v>
      </c>
      <c r="Q13" s="40">
        <v>8</v>
      </c>
      <c r="R13" s="46">
        <v>-2</v>
      </c>
      <c r="S13" s="47">
        <v>28</v>
      </c>
      <c r="T13" s="78">
        <v>10</v>
      </c>
      <c r="U13" s="6" t="s">
        <v>337</v>
      </c>
      <c r="V13" s="101" t="s">
        <v>228</v>
      </c>
      <c r="W13" s="32"/>
      <c r="X13" s="42" t="e">
        <v>#REF!</v>
      </c>
      <c r="Y13" s="31" t="e">
        <v>#REF!</v>
      </c>
    </row>
    <row r="14" spans="1:25">
      <c r="A14" s="30">
        <v>4</v>
      </c>
      <c r="B14" s="30" t="s">
        <v>767</v>
      </c>
      <c r="C14" s="87" t="s">
        <v>457</v>
      </c>
      <c r="D14" s="37" t="s">
        <v>5</v>
      </c>
      <c r="E14" s="183">
        <v>0</v>
      </c>
      <c r="F14" s="182">
        <v>25</v>
      </c>
      <c r="G14" s="182">
        <v>25</v>
      </c>
      <c r="H14" s="183">
        <v>0</v>
      </c>
      <c r="I14" s="49">
        <v>57500</v>
      </c>
      <c r="J14" s="49">
        <v>6325</v>
      </c>
      <c r="K14" s="49">
        <v>63825</v>
      </c>
      <c r="L14" s="132">
        <v>0</v>
      </c>
      <c r="M14" s="131">
        <v>0</v>
      </c>
      <c r="N14" s="131">
        <v>1595625</v>
      </c>
      <c r="O14" s="131">
        <v>1595625</v>
      </c>
      <c r="P14" s="132">
        <v>0</v>
      </c>
      <c r="Q14" s="40">
        <v>25</v>
      </c>
      <c r="R14" s="46">
        <v>0</v>
      </c>
      <c r="S14" s="47">
        <v>0</v>
      </c>
      <c r="T14" s="78">
        <v>25</v>
      </c>
      <c r="U14" s="6" t="s">
        <v>337</v>
      </c>
      <c r="V14" s="101" t="s">
        <v>228</v>
      </c>
      <c r="W14" s="32"/>
      <c r="X14" s="42" t="e">
        <v>#REF!</v>
      </c>
      <c r="Y14" s="31" t="e">
        <v>#REF!</v>
      </c>
    </row>
    <row r="15" spans="1:25">
      <c r="A15" s="30"/>
      <c r="B15" s="30"/>
      <c r="C15" s="87"/>
      <c r="D15" s="37"/>
      <c r="E15" s="184">
        <v>388</v>
      </c>
      <c r="F15" s="184">
        <v>25</v>
      </c>
      <c r="G15" s="184">
        <v>45</v>
      </c>
      <c r="H15" s="184">
        <v>370</v>
      </c>
      <c r="I15" s="49"/>
      <c r="J15" s="49"/>
      <c r="K15" s="49"/>
      <c r="L15" s="168">
        <v>29356280</v>
      </c>
      <c r="M15" s="168">
        <v>35654629.68</v>
      </c>
      <c r="N15" s="168">
        <v>1595625</v>
      </c>
      <c r="O15" s="168">
        <v>5112948.5999999996</v>
      </c>
      <c r="P15" s="168">
        <v>32585470.800000001</v>
      </c>
      <c r="Q15" s="40"/>
      <c r="S15" s="47"/>
      <c r="V15" s="101"/>
      <c r="W15" s="32"/>
      <c r="X15" s="42" t="e">
        <v>#REF!</v>
      </c>
      <c r="Y15" s="31"/>
    </row>
    <row r="16" spans="1:25">
      <c r="A16" s="30"/>
      <c r="B16" s="30"/>
      <c r="C16" s="87"/>
      <c r="D16" s="37"/>
      <c r="E16" s="183"/>
      <c r="F16" s="182"/>
      <c r="G16" s="182"/>
      <c r="H16" s="183"/>
      <c r="I16" s="49"/>
      <c r="J16" s="49"/>
      <c r="K16" s="49"/>
      <c r="L16" s="132"/>
      <c r="M16" s="132"/>
      <c r="N16" s="132"/>
      <c r="O16" s="132"/>
      <c r="P16" s="132"/>
      <c r="Q16" s="40"/>
      <c r="S16" s="47"/>
      <c r="V16" s="101"/>
      <c r="W16" s="32"/>
      <c r="X16" s="42" t="e">
        <v>#REF!</v>
      </c>
      <c r="Y16" s="31"/>
    </row>
    <row r="17" spans="1:25">
      <c r="A17" s="30">
        <v>1</v>
      </c>
      <c r="B17" s="30" t="s">
        <v>300</v>
      </c>
      <c r="C17" s="87" t="s">
        <v>77</v>
      </c>
      <c r="D17" s="37" t="s">
        <v>5</v>
      </c>
      <c r="E17" s="183">
        <v>27</v>
      </c>
      <c r="F17" s="182">
        <v>0</v>
      </c>
      <c r="G17" s="182">
        <v>0</v>
      </c>
      <c r="H17" s="183">
        <v>27</v>
      </c>
      <c r="I17" s="48">
        <v>573981</v>
      </c>
      <c r="J17" s="49">
        <v>63137.91</v>
      </c>
      <c r="K17" s="49">
        <v>637118.91</v>
      </c>
      <c r="L17" s="132">
        <v>15497487</v>
      </c>
      <c r="M17" s="131">
        <v>17202210.57</v>
      </c>
      <c r="N17" s="131">
        <v>0</v>
      </c>
      <c r="O17" s="131">
        <v>0</v>
      </c>
      <c r="P17" s="132">
        <v>17202210.57</v>
      </c>
      <c r="Q17" s="40">
        <v>0</v>
      </c>
      <c r="R17" s="46">
        <v>0</v>
      </c>
      <c r="S17" s="47">
        <v>27</v>
      </c>
      <c r="T17" s="78">
        <v>0</v>
      </c>
      <c r="U17" s="6" t="s">
        <v>300</v>
      </c>
      <c r="V17" s="101" t="s">
        <v>212</v>
      </c>
      <c r="W17" s="32"/>
      <c r="X17" s="42" t="e">
        <v>#REF!</v>
      </c>
    </row>
    <row r="18" spans="1:25">
      <c r="A18" s="30">
        <v>2</v>
      </c>
      <c r="B18" s="30" t="s">
        <v>300</v>
      </c>
      <c r="C18" s="87" t="s">
        <v>248</v>
      </c>
      <c r="D18" s="37" t="s">
        <v>5</v>
      </c>
      <c r="E18" s="183">
        <v>100</v>
      </c>
      <c r="F18" s="182">
        <v>0</v>
      </c>
      <c r="G18" s="182">
        <v>0</v>
      </c>
      <c r="H18" s="183">
        <v>100</v>
      </c>
      <c r="I18" s="48">
        <v>32510</v>
      </c>
      <c r="J18" s="49">
        <v>3576.1</v>
      </c>
      <c r="K18" s="49">
        <v>36086.1</v>
      </c>
      <c r="L18" s="132">
        <v>3251000</v>
      </c>
      <c r="M18" s="131">
        <v>3608610</v>
      </c>
      <c r="N18" s="131">
        <v>0</v>
      </c>
      <c r="O18" s="131">
        <v>0</v>
      </c>
      <c r="P18" s="132">
        <v>3608610</v>
      </c>
      <c r="Q18" s="40">
        <v>0</v>
      </c>
      <c r="R18" s="46">
        <v>0</v>
      </c>
      <c r="S18" s="47">
        <v>100</v>
      </c>
      <c r="T18" s="78">
        <v>0</v>
      </c>
      <c r="U18" s="6" t="s">
        <v>300</v>
      </c>
      <c r="V18" s="101" t="s">
        <v>229</v>
      </c>
      <c r="W18" s="32"/>
      <c r="X18" s="42" t="e">
        <v>#REF!</v>
      </c>
    </row>
    <row r="19" spans="1:25" ht="15.75" customHeight="1">
      <c r="A19" s="30">
        <v>3</v>
      </c>
      <c r="B19" s="30" t="s">
        <v>300</v>
      </c>
      <c r="C19" s="87" t="s">
        <v>230</v>
      </c>
      <c r="D19" s="37" t="s">
        <v>5</v>
      </c>
      <c r="E19" s="183">
        <v>0</v>
      </c>
      <c r="F19" s="182">
        <v>0</v>
      </c>
      <c r="G19" s="182">
        <v>0</v>
      </c>
      <c r="H19" s="183">
        <v>0</v>
      </c>
      <c r="I19" s="49">
        <v>26262.5</v>
      </c>
      <c r="J19" s="49">
        <v>2888.875</v>
      </c>
      <c r="K19" s="49">
        <v>29151.375</v>
      </c>
      <c r="L19" s="132">
        <v>0</v>
      </c>
      <c r="M19" s="131">
        <v>0</v>
      </c>
      <c r="N19" s="131">
        <v>0</v>
      </c>
      <c r="O19" s="131">
        <v>0</v>
      </c>
      <c r="P19" s="132">
        <v>0</v>
      </c>
      <c r="Q19" s="40">
        <v>0</v>
      </c>
      <c r="R19" s="46">
        <v>0</v>
      </c>
      <c r="S19" s="47">
        <v>0</v>
      </c>
      <c r="T19" s="78">
        <v>0</v>
      </c>
      <c r="U19" s="6" t="s">
        <v>300</v>
      </c>
      <c r="V19" s="101" t="s">
        <v>212</v>
      </c>
      <c r="W19" s="32"/>
      <c r="X19" s="42" t="e">
        <v>#REF!</v>
      </c>
      <c r="Y19" s="32" t="e">
        <v>#REF!</v>
      </c>
    </row>
    <row r="20" spans="1:25" ht="15.75" customHeight="1">
      <c r="A20" s="30">
        <v>4</v>
      </c>
      <c r="B20" s="30" t="s">
        <v>300</v>
      </c>
      <c r="C20" s="87" t="s">
        <v>84</v>
      </c>
      <c r="D20" s="37" t="s">
        <v>5</v>
      </c>
      <c r="E20" s="183">
        <v>588</v>
      </c>
      <c r="F20" s="182">
        <v>0</v>
      </c>
      <c r="G20" s="182">
        <v>0</v>
      </c>
      <c r="H20" s="183">
        <v>588</v>
      </c>
      <c r="I20" s="48">
        <v>25590.1</v>
      </c>
      <c r="J20" s="49">
        <v>2814.9110000000001</v>
      </c>
      <c r="K20" s="49">
        <v>28405.010999999999</v>
      </c>
      <c r="L20" s="132">
        <v>15046978.799999999</v>
      </c>
      <c r="M20" s="131">
        <v>16702146.467999998</v>
      </c>
      <c r="N20" s="131">
        <v>0</v>
      </c>
      <c r="O20" s="131">
        <v>0</v>
      </c>
      <c r="P20" s="132">
        <v>16702146.467999998</v>
      </c>
      <c r="Q20" s="40">
        <v>0</v>
      </c>
      <c r="R20" s="46">
        <v>0</v>
      </c>
      <c r="S20" s="47">
        <v>588</v>
      </c>
      <c r="T20" s="78">
        <v>0</v>
      </c>
      <c r="U20" s="6" t="s">
        <v>300</v>
      </c>
      <c r="V20" s="101" t="s">
        <v>212</v>
      </c>
      <c r="W20" s="32"/>
      <c r="X20" s="42" t="e">
        <v>#REF!</v>
      </c>
    </row>
    <row r="21" spans="1:25" ht="15.75" customHeight="1">
      <c r="A21" s="30">
        <v>5</v>
      </c>
      <c r="B21" s="30" t="s">
        <v>300</v>
      </c>
      <c r="C21" s="87" t="s">
        <v>70</v>
      </c>
      <c r="D21" s="37" t="s">
        <v>5</v>
      </c>
      <c r="E21" s="183">
        <v>640</v>
      </c>
      <c r="F21" s="182">
        <v>0</v>
      </c>
      <c r="G21" s="182">
        <v>0</v>
      </c>
      <c r="H21" s="183">
        <v>640</v>
      </c>
      <c r="I21" s="48">
        <v>18076</v>
      </c>
      <c r="J21" s="49">
        <v>1988.36</v>
      </c>
      <c r="K21" s="49">
        <v>20064.36</v>
      </c>
      <c r="L21" s="132">
        <v>11568640</v>
      </c>
      <c r="M21" s="131">
        <v>12841190.4</v>
      </c>
      <c r="N21" s="131">
        <v>0</v>
      </c>
      <c r="O21" s="131">
        <v>0</v>
      </c>
      <c r="P21" s="132">
        <v>12841190.4</v>
      </c>
      <c r="Q21" s="40">
        <v>0</v>
      </c>
      <c r="R21" s="46">
        <v>0</v>
      </c>
      <c r="S21" s="47">
        <v>640</v>
      </c>
      <c r="T21" s="78">
        <v>0</v>
      </c>
      <c r="U21" s="6" t="s">
        <v>300</v>
      </c>
      <c r="V21" s="101" t="s">
        <v>212</v>
      </c>
      <c r="W21" s="32"/>
      <c r="X21" s="42" t="e">
        <v>#REF!</v>
      </c>
    </row>
    <row r="22" spans="1:25">
      <c r="A22" s="30">
        <v>6</v>
      </c>
      <c r="B22" s="30" t="s">
        <v>300</v>
      </c>
      <c r="C22" s="87" t="s">
        <v>24</v>
      </c>
      <c r="D22" s="37" t="s">
        <v>5</v>
      </c>
      <c r="E22" s="183">
        <v>553</v>
      </c>
      <c r="F22" s="182">
        <v>0</v>
      </c>
      <c r="G22" s="182">
        <v>36.5</v>
      </c>
      <c r="H22" s="183">
        <v>517</v>
      </c>
      <c r="I22" s="49">
        <v>12250</v>
      </c>
      <c r="J22" s="49">
        <v>1347.5</v>
      </c>
      <c r="K22" s="49">
        <v>13597.5</v>
      </c>
      <c r="L22" s="132">
        <v>6333250</v>
      </c>
      <c r="M22" s="131">
        <v>7519417.5</v>
      </c>
      <c r="N22" s="131">
        <v>0</v>
      </c>
      <c r="O22" s="131">
        <v>496308.75</v>
      </c>
      <c r="P22" s="132">
        <v>7029907.5</v>
      </c>
      <c r="Q22" s="40">
        <v>36</v>
      </c>
      <c r="R22" s="46">
        <v>-0.5</v>
      </c>
      <c r="S22" s="47">
        <v>516.5</v>
      </c>
      <c r="T22" s="78">
        <v>36.5</v>
      </c>
      <c r="U22" s="6" t="s">
        <v>300</v>
      </c>
      <c r="V22" s="101" t="s">
        <v>212</v>
      </c>
      <c r="W22" s="32"/>
      <c r="X22" s="42" t="e">
        <v>#REF!</v>
      </c>
      <c r="Y22" s="32" t="e">
        <v>#REF!</v>
      </c>
    </row>
    <row r="23" spans="1:25">
      <c r="A23" s="30">
        <v>7</v>
      </c>
      <c r="B23" s="30" t="s">
        <v>300</v>
      </c>
      <c r="C23" s="87" t="s">
        <v>239</v>
      </c>
      <c r="D23" s="37" t="s">
        <v>5</v>
      </c>
      <c r="E23" s="183">
        <v>65</v>
      </c>
      <c r="F23" s="182">
        <v>0</v>
      </c>
      <c r="G23" s="182">
        <v>0</v>
      </c>
      <c r="H23" s="183">
        <v>65</v>
      </c>
      <c r="I23" s="48">
        <v>14500</v>
      </c>
      <c r="J23" s="49">
        <v>1595</v>
      </c>
      <c r="K23" s="49">
        <v>16095</v>
      </c>
      <c r="L23" s="132">
        <v>942500</v>
      </c>
      <c r="M23" s="131">
        <v>1046175</v>
      </c>
      <c r="N23" s="131">
        <v>0</v>
      </c>
      <c r="O23" s="131">
        <v>0</v>
      </c>
      <c r="P23" s="132">
        <v>1046175</v>
      </c>
      <c r="Q23" s="40">
        <v>0</v>
      </c>
      <c r="R23" s="46">
        <v>0</v>
      </c>
      <c r="S23" s="47">
        <v>65</v>
      </c>
      <c r="T23" s="78">
        <v>0</v>
      </c>
      <c r="U23" s="6" t="s">
        <v>300</v>
      </c>
      <c r="V23" s="101" t="s">
        <v>212</v>
      </c>
      <c r="W23" s="32"/>
      <c r="X23" s="42" t="e">
        <v>#REF!</v>
      </c>
    </row>
    <row r="24" spans="1:25" ht="15.75" customHeight="1">
      <c r="A24" s="30">
        <v>8</v>
      </c>
      <c r="B24" s="30" t="s">
        <v>300</v>
      </c>
      <c r="C24" s="87" t="s">
        <v>281</v>
      </c>
      <c r="D24" s="37" t="s">
        <v>5</v>
      </c>
      <c r="E24" s="183">
        <v>2700</v>
      </c>
      <c r="F24" s="182">
        <v>3180</v>
      </c>
      <c r="G24" s="182">
        <v>5340</v>
      </c>
      <c r="H24" s="183">
        <v>540</v>
      </c>
      <c r="I24" s="49">
        <v>23590.51</v>
      </c>
      <c r="J24" s="49">
        <v>2594.9560999999999</v>
      </c>
      <c r="K24" s="49">
        <v>26185.466099999998</v>
      </c>
      <c r="L24" s="132">
        <v>12738875.399999999</v>
      </c>
      <c r="M24" s="131">
        <v>70522464.085657194</v>
      </c>
      <c r="N24" s="131">
        <v>83269782.197999999</v>
      </c>
      <c r="O24" s="131">
        <v>139830388.97399998</v>
      </c>
      <c r="P24" s="132">
        <v>14140151.693999998</v>
      </c>
      <c r="Q24" s="40">
        <v>5340</v>
      </c>
      <c r="R24" s="46">
        <v>0</v>
      </c>
      <c r="S24" s="47">
        <v>540</v>
      </c>
      <c r="T24" s="78">
        <v>5340</v>
      </c>
      <c r="U24" s="6" t="s">
        <v>300</v>
      </c>
      <c r="V24" s="101" t="s">
        <v>229</v>
      </c>
      <c r="W24" s="32"/>
      <c r="X24" s="42" t="e">
        <v>#REF!</v>
      </c>
      <c r="Y24" s="31" t="e">
        <v>#REF!</v>
      </c>
    </row>
    <row r="25" spans="1:25">
      <c r="A25" s="30">
        <v>9</v>
      </c>
      <c r="B25" s="30" t="s">
        <v>300</v>
      </c>
      <c r="C25" s="87" t="s">
        <v>42</v>
      </c>
      <c r="D25" s="37" t="s">
        <v>5</v>
      </c>
      <c r="E25" s="183">
        <v>60</v>
      </c>
      <c r="F25" s="182">
        <v>0</v>
      </c>
      <c r="G25" s="182">
        <v>0</v>
      </c>
      <c r="H25" s="183">
        <v>60</v>
      </c>
      <c r="I25" s="49">
        <v>74315</v>
      </c>
      <c r="J25" s="49">
        <v>8174.65</v>
      </c>
      <c r="K25" s="49">
        <v>82489.649999999994</v>
      </c>
      <c r="L25" s="132">
        <v>4458900</v>
      </c>
      <c r="M25" s="131">
        <v>4949379</v>
      </c>
      <c r="N25" s="131">
        <v>0</v>
      </c>
      <c r="O25" s="131">
        <v>0</v>
      </c>
      <c r="P25" s="132">
        <v>4949379</v>
      </c>
      <c r="Q25" s="40">
        <v>0</v>
      </c>
      <c r="R25" s="46">
        <v>0</v>
      </c>
      <c r="S25" s="47">
        <v>60</v>
      </c>
      <c r="T25" s="78">
        <v>0</v>
      </c>
      <c r="U25" s="6" t="s">
        <v>300</v>
      </c>
      <c r="V25" s="101" t="s">
        <v>212</v>
      </c>
      <c r="W25" s="32"/>
      <c r="X25" s="42" t="e">
        <v>#REF!</v>
      </c>
    </row>
    <row r="26" spans="1:25">
      <c r="A26" s="30">
        <v>10</v>
      </c>
      <c r="B26" s="30" t="s">
        <v>300</v>
      </c>
      <c r="C26" s="88" t="s">
        <v>313</v>
      </c>
      <c r="D26" s="37" t="s">
        <v>5</v>
      </c>
      <c r="E26" s="183">
        <v>347</v>
      </c>
      <c r="F26" s="182">
        <v>200</v>
      </c>
      <c r="G26" s="182">
        <v>197</v>
      </c>
      <c r="H26" s="183">
        <v>350</v>
      </c>
      <c r="I26" s="49">
        <v>17787</v>
      </c>
      <c r="J26" s="49">
        <v>1956.57</v>
      </c>
      <c r="K26" s="49">
        <v>19743.57</v>
      </c>
      <c r="L26" s="132">
        <v>6225450</v>
      </c>
      <c r="M26" s="131">
        <v>6910334.9699999997</v>
      </c>
      <c r="N26" s="131">
        <v>3948714</v>
      </c>
      <c r="O26" s="131">
        <v>3889483.29</v>
      </c>
      <c r="P26" s="132">
        <v>6910249.5</v>
      </c>
      <c r="Q26" s="40">
        <v>197</v>
      </c>
      <c r="R26" s="46">
        <v>0</v>
      </c>
      <c r="S26" s="47">
        <v>350</v>
      </c>
      <c r="T26" s="78">
        <v>197</v>
      </c>
      <c r="U26" s="6" t="s">
        <v>300</v>
      </c>
      <c r="V26" s="101" t="s">
        <v>212</v>
      </c>
      <c r="W26" s="32"/>
      <c r="X26" s="42" t="e">
        <v>#REF!</v>
      </c>
      <c r="Y26" s="31" t="e">
        <v>#REF!</v>
      </c>
    </row>
    <row r="27" spans="1:25" ht="15.75" customHeight="1">
      <c r="A27" s="30">
        <v>11</v>
      </c>
      <c r="B27" s="30" t="s">
        <v>300</v>
      </c>
      <c r="C27" s="87" t="s">
        <v>32</v>
      </c>
      <c r="D27" s="37" t="s">
        <v>5</v>
      </c>
      <c r="E27" s="183">
        <v>439</v>
      </c>
      <c r="F27" s="182">
        <v>0</v>
      </c>
      <c r="G27" s="182">
        <v>18</v>
      </c>
      <c r="H27" s="183">
        <v>421</v>
      </c>
      <c r="I27" s="49">
        <v>15500</v>
      </c>
      <c r="J27" s="49">
        <v>1705</v>
      </c>
      <c r="K27" s="49">
        <v>17205</v>
      </c>
      <c r="L27" s="132">
        <v>6525500</v>
      </c>
      <c r="M27" s="131">
        <v>7552995</v>
      </c>
      <c r="N27" s="131">
        <v>0</v>
      </c>
      <c r="O27" s="131">
        <v>309690</v>
      </c>
      <c r="P27" s="132">
        <v>7243305</v>
      </c>
      <c r="Q27" s="40">
        <v>18</v>
      </c>
      <c r="R27" s="46">
        <v>0</v>
      </c>
      <c r="S27" s="47">
        <v>421</v>
      </c>
      <c r="T27" s="78">
        <v>18</v>
      </c>
      <c r="U27" s="6" t="s">
        <v>300</v>
      </c>
      <c r="V27" s="101" t="s">
        <v>212</v>
      </c>
      <c r="W27" s="32"/>
      <c r="X27" s="42" t="e">
        <v>#REF!</v>
      </c>
      <c r="Y27" s="32" t="e">
        <v>#REF!</v>
      </c>
    </row>
    <row r="28" spans="1:25">
      <c r="A28" s="30">
        <v>12</v>
      </c>
      <c r="B28" s="30" t="s">
        <v>300</v>
      </c>
      <c r="C28" s="87" t="s">
        <v>231</v>
      </c>
      <c r="D28" s="37" t="s">
        <v>5</v>
      </c>
      <c r="E28" s="183">
        <v>99</v>
      </c>
      <c r="F28" s="182">
        <v>0</v>
      </c>
      <c r="G28" s="182">
        <v>0</v>
      </c>
      <c r="H28" s="183">
        <v>99</v>
      </c>
      <c r="I28" s="48">
        <v>41548</v>
      </c>
      <c r="J28" s="49">
        <v>4570.28</v>
      </c>
      <c r="K28" s="49">
        <v>46118.28</v>
      </c>
      <c r="L28" s="132">
        <v>4113252</v>
      </c>
      <c r="M28" s="131">
        <v>4565709.72</v>
      </c>
      <c r="N28" s="131">
        <v>0</v>
      </c>
      <c r="O28" s="131">
        <v>0</v>
      </c>
      <c r="P28" s="132">
        <v>4565709.72</v>
      </c>
      <c r="Q28" s="40">
        <v>0</v>
      </c>
      <c r="R28" s="46">
        <v>0</v>
      </c>
      <c r="S28" s="47">
        <v>99</v>
      </c>
      <c r="T28" s="78">
        <v>0</v>
      </c>
      <c r="U28" s="6" t="s">
        <v>300</v>
      </c>
      <c r="V28" s="101" t="s">
        <v>236</v>
      </c>
      <c r="W28" s="32"/>
      <c r="X28" s="42" t="e">
        <v>#REF!</v>
      </c>
    </row>
    <row r="29" spans="1:25">
      <c r="A29" s="30">
        <v>13</v>
      </c>
      <c r="B29" s="30" t="s">
        <v>300</v>
      </c>
      <c r="C29" s="43" t="s">
        <v>76</v>
      </c>
      <c r="D29" s="37" t="s">
        <v>5</v>
      </c>
      <c r="E29" s="183">
        <v>60</v>
      </c>
      <c r="F29" s="182">
        <v>0</v>
      </c>
      <c r="G29" s="182">
        <v>0</v>
      </c>
      <c r="H29" s="183">
        <v>60</v>
      </c>
      <c r="I29" s="49">
        <v>61766</v>
      </c>
      <c r="J29" s="49">
        <v>6794.26</v>
      </c>
      <c r="K29" s="49">
        <v>68560.259999999995</v>
      </c>
      <c r="L29" s="132">
        <v>3705960</v>
      </c>
      <c r="M29" s="131">
        <v>4113615.5999999996</v>
      </c>
      <c r="N29" s="131">
        <v>0</v>
      </c>
      <c r="O29" s="131">
        <v>0</v>
      </c>
      <c r="P29" s="132">
        <v>4113615.5999999996</v>
      </c>
      <c r="Q29" s="40">
        <v>0</v>
      </c>
      <c r="R29" s="46">
        <v>0</v>
      </c>
      <c r="S29" s="47">
        <v>60</v>
      </c>
      <c r="T29" s="78">
        <v>0</v>
      </c>
      <c r="U29" s="6" t="s">
        <v>300</v>
      </c>
      <c r="V29" s="101" t="s">
        <v>212</v>
      </c>
      <c r="W29" s="32"/>
      <c r="X29" s="42" t="e">
        <v>#REF!</v>
      </c>
    </row>
    <row r="30" spans="1:25">
      <c r="A30" s="30">
        <v>14</v>
      </c>
      <c r="B30" s="30" t="s">
        <v>300</v>
      </c>
      <c r="C30" s="43" t="s">
        <v>456</v>
      </c>
      <c r="D30" s="37" t="s">
        <v>5</v>
      </c>
      <c r="E30" s="183">
        <v>0</v>
      </c>
      <c r="F30" s="182">
        <v>2040</v>
      </c>
      <c r="G30" s="182">
        <v>0</v>
      </c>
      <c r="H30" s="183">
        <v>2040</v>
      </c>
      <c r="I30" s="49">
        <v>22728</v>
      </c>
      <c r="J30" s="49">
        <v>2500.08</v>
      </c>
      <c r="K30" s="49">
        <v>25228.080000000002</v>
      </c>
      <c r="L30" s="132">
        <v>46365120</v>
      </c>
      <c r="M30" s="131">
        <v>0</v>
      </c>
      <c r="N30" s="131">
        <v>51465283.200000003</v>
      </c>
      <c r="O30" s="131">
        <v>0</v>
      </c>
      <c r="P30" s="132">
        <v>51465283.200000003</v>
      </c>
      <c r="Q30" s="40">
        <v>0</v>
      </c>
      <c r="R30" s="46">
        <v>0</v>
      </c>
      <c r="S30" s="47">
        <v>2040</v>
      </c>
      <c r="T30" s="78">
        <v>0</v>
      </c>
      <c r="U30" s="6" t="s">
        <v>300</v>
      </c>
      <c r="V30" s="101" t="s">
        <v>212</v>
      </c>
      <c r="W30" s="32"/>
      <c r="X30" s="42" t="e">
        <v>#REF!</v>
      </c>
    </row>
    <row r="31" spans="1:25">
      <c r="A31" s="30">
        <v>14</v>
      </c>
      <c r="B31" s="30" t="s">
        <v>300</v>
      </c>
      <c r="C31" s="87" t="s">
        <v>257</v>
      </c>
      <c r="D31" s="37" t="s">
        <v>5</v>
      </c>
      <c r="E31" s="183">
        <v>270</v>
      </c>
      <c r="F31" s="182">
        <v>0</v>
      </c>
      <c r="G31" s="182">
        <v>70</v>
      </c>
      <c r="H31" s="183">
        <v>200</v>
      </c>
      <c r="I31" s="49">
        <v>28000</v>
      </c>
      <c r="J31" s="49">
        <v>3080</v>
      </c>
      <c r="K31" s="49">
        <v>31080</v>
      </c>
      <c r="L31" s="132">
        <v>5600000</v>
      </c>
      <c r="M31" s="131">
        <v>8391600</v>
      </c>
      <c r="N31" s="131">
        <v>0</v>
      </c>
      <c r="O31" s="131">
        <v>2175600</v>
      </c>
      <c r="P31" s="132">
        <v>6216000</v>
      </c>
      <c r="Q31" s="40">
        <v>70</v>
      </c>
      <c r="R31" s="46">
        <v>0</v>
      </c>
      <c r="S31" s="47">
        <v>200</v>
      </c>
      <c r="T31" s="78">
        <v>70</v>
      </c>
      <c r="U31" s="6" t="s">
        <v>300</v>
      </c>
      <c r="V31" s="101" t="s">
        <v>229</v>
      </c>
      <c r="W31" s="32"/>
      <c r="X31" s="42" t="e">
        <v>#REF!</v>
      </c>
      <c r="Y31" s="31" t="e">
        <v>#REF!</v>
      </c>
    </row>
    <row r="32" spans="1:25">
      <c r="A32" s="30">
        <v>15</v>
      </c>
      <c r="B32" s="30" t="s">
        <v>300</v>
      </c>
      <c r="C32" s="87" t="s">
        <v>232</v>
      </c>
      <c r="D32" s="37" t="s">
        <v>5</v>
      </c>
      <c r="E32" s="183">
        <v>180</v>
      </c>
      <c r="F32" s="182">
        <v>0</v>
      </c>
      <c r="G32" s="182">
        <v>120</v>
      </c>
      <c r="H32" s="183">
        <v>60</v>
      </c>
      <c r="I32" s="49">
        <v>55284</v>
      </c>
      <c r="J32" s="49">
        <v>6081.24</v>
      </c>
      <c r="K32" s="49">
        <v>61365.24</v>
      </c>
      <c r="L32" s="132">
        <v>3317040</v>
      </c>
      <c r="M32" s="131">
        <v>11045743.199999999</v>
      </c>
      <c r="N32" s="131">
        <v>0</v>
      </c>
      <c r="O32" s="131">
        <v>7363828.7999999998</v>
      </c>
      <c r="P32" s="132">
        <v>3681914.4</v>
      </c>
      <c r="Q32" s="40">
        <v>120</v>
      </c>
      <c r="R32" s="46">
        <v>0</v>
      </c>
      <c r="S32" s="47">
        <v>60</v>
      </c>
      <c r="T32" s="78">
        <v>120</v>
      </c>
      <c r="U32" s="6" t="s">
        <v>300</v>
      </c>
      <c r="V32" s="101" t="s">
        <v>236</v>
      </c>
      <c r="W32" s="32"/>
      <c r="X32" s="42" t="e">
        <v>#REF!</v>
      </c>
      <c r="Y32" s="31" t="e">
        <v>#REF!</v>
      </c>
    </row>
    <row r="33" spans="1:25">
      <c r="A33" s="30">
        <v>16</v>
      </c>
      <c r="B33" s="30" t="s">
        <v>300</v>
      </c>
      <c r="C33" s="88" t="s">
        <v>57</v>
      </c>
      <c r="D33" s="37" t="s">
        <v>5</v>
      </c>
      <c r="E33" s="183">
        <v>4150</v>
      </c>
      <c r="F33" s="182">
        <v>0</v>
      </c>
      <c r="G33" s="182">
        <v>525</v>
      </c>
      <c r="H33" s="183">
        <v>3625</v>
      </c>
      <c r="I33" s="49">
        <v>21870</v>
      </c>
      <c r="J33" s="49">
        <v>2405.6999999999998</v>
      </c>
      <c r="K33" s="49">
        <v>24275.7</v>
      </c>
      <c r="L33" s="132">
        <v>79278750</v>
      </c>
      <c r="M33" s="131">
        <v>100744155</v>
      </c>
      <c r="N33" s="131">
        <v>0</v>
      </c>
      <c r="O33" s="131">
        <v>12744742.5</v>
      </c>
      <c r="P33" s="132">
        <v>87999412.5</v>
      </c>
      <c r="Q33" s="40">
        <v>525</v>
      </c>
      <c r="R33" s="46">
        <v>0</v>
      </c>
      <c r="S33" s="47">
        <v>3625</v>
      </c>
      <c r="T33" s="78">
        <v>525</v>
      </c>
      <c r="U33" s="6" t="s">
        <v>300</v>
      </c>
      <c r="V33" s="101" t="s">
        <v>212</v>
      </c>
      <c r="W33" s="32"/>
      <c r="X33" s="42" t="e">
        <v>#REF!</v>
      </c>
      <c r="Y33" s="31" t="e">
        <v>#REF!</v>
      </c>
    </row>
    <row r="34" spans="1:25">
      <c r="A34" s="30">
        <v>17</v>
      </c>
      <c r="B34" s="30" t="s">
        <v>300</v>
      </c>
      <c r="C34" s="88" t="s">
        <v>369</v>
      </c>
      <c r="D34" s="37" t="s">
        <v>5</v>
      </c>
      <c r="E34" s="183">
        <v>0</v>
      </c>
      <c r="F34" s="182">
        <v>0</v>
      </c>
      <c r="G34" s="182">
        <v>0</v>
      </c>
      <c r="H34" s="183">
        <v>0</v>
      </c>
      <c r="I34" s="49">
        <v>22788</v>
      </c>
      <c r="J34" s="49">
        <v>2506.6799999999998</v>
      </c>
      <c r="K34" s="49">
        <v>25294.68</v>
      </c>
      <c r="L34" s="132">
        <v>0</v>
      </c>
      <c r="M34" s="131">
        <v>0</v>
      </c>
      <c r="N34" s="131">
        <v>0</v>
      </c>
      <c r="O34" s="131">
        <v>0</v>
      </c>
      <c r="P34" s="132">
        <v>0</v>
      </c>
      <c r="Q34" s="40">
        <v>0</v>
      </c>
      <c r="R34" s="46">
        <v>0</v>
      </c>
      <c r="S34" s="47">
        <v>0</v>
      </c>
      <c r="T34" s="78">
        <v>0</v>
      </c>
      <c r="U34" s="6" t="s">
        <v>300</v>
      </c>
      <c r="V34" s="101" t="s">
        <v>212</v>
      </c>
      <c r="W34" s="32"/>
      <c r="X34" s="42" t="e">
        <v>#REF!</v>
      </c>
      <c r="Y34" s="31" t="e">
        <v>#REF!</v>
      </c>
    </row>
    <row r="35" spans="1:25">
      <c r="A35" s="30"/>
      <c r="B35" s="30"/>
      <c r="C35" s="88"/>
      <c r="D35" s="37"/>
      <c r="E35" s="184">
        <v>10278</v>
      </c>
      <c r="F35" s="184">
        <v>5420</v>
      </c>
      <c r="G35" s="184">
        <v>6306.5</v>
      </c>
      <c r="H35" s="184">
        <v>9392</v>
      </c>
      <c r="I35" s="49"/>
      <c r="J35" s="49"/>
      <c r="K35" s="49"/>
      <c r="L35" s="168">
        <v>224968703.19999999</v>
      </c>
      <c r="M35" s="168">
        <v>277715746.51365721</v>
      </c>
      <c r="N35" s="168">
        <v>138683779.398</v>
      </c>
      <c r="O35" s="168">
        <v>166810042.31399998</v>
      </c>
      <c r="P35" s="168">
        <v>249715260.55200002</v>
      </c>
      <c r="Q35" s="40"/>
      <c r="S35" s="47"/>
      <c r="V35" s="101"/>
      <c r="W35" s="32"/>
      <c r="X35" s="42" t="e">
        <v>#REF!</v>
      </c>
      <c r="Y35" s="31"/>
    </row>
    <row r="36" spans="1:25">
      <c r="A36" s="30"/>
      <c r="B36" s="30"/>
      <c r="C36" s="88"/>
      <c r="D36" s="37"/>
      <c r="E36" s="38"/>
      <c r="F36" s="73"/>
      <c r="G36" s="73"/>
      <c r="H36" s="38"/>
      <c r="I36" s="49"/>
      <c r="J36" s="49"/>
      <c r="K36" s="49"/>
      <c r="L36" s="132"/>
      <c r="M36" s="132"/>
      <c r="N36" s="132"/>
      <c r="O36" s="132"/>
      <c r="P36" s="132"/>
      <c r="Q36" s="40"/>
      <c r="S36" s="47"/>
      <c r="V36" s="101"/>
      <c r="W36" s="32"/>
      <c r="X36" s="42" t="e">
        <v>#REF!</v>
      </c>
      <c r="Y36" s="31"/>
    </row>
    <row r="37" spans="1:25" ht="15.75" customHeight="1">
      <c r="A37" s="30">
        <v>1</v>
      </c>
      <c r="B37" s="30" t="s">
        <v>301</v>
      </c>
      <c r="C37" s="87" t="s">
        <v>7</v>
      </c>
      <c r="D37" s="37" t="s">
        <v>5</v>
      </c>
      <c r="E37" s="183">
        <v>155</v>
      </c>
      <c r="F37" s="182">
        <v>0</v>
      </c>
      <c r="G37" s="182">
        <v>65</v>
      </c>
      <c r="H37" s="183">
        <v>90</v>
      </c>
      <c r="I37" s="49">
        <v>29502</v>
      </c>
      <c r="J37" s="49">
        <v>3245.22</v>
      </c>
      <c r="K37" s="49">
        <v>32747.22</v>
      </c>
      <c r="L37" s="132">
        <v>2655180</v>
      </c>
      <c r="M37" s="131">
        <v>5075819.1000000006</v>
      </c>
      <c r="N37" s="131">
        <v>0</v>
      </c>
      <c r="O37" s="131">
        <v>2128569.3000000003</v>
      </c>
      <c r="P37" s="132">
        <v>2947249.8000000003</v>
      </c>
      <c r="Q37" s="40">
        <v>65</v>
      </c>
      <c r="R37" s="46">
        <v>0</v>
      </c>
      <c r="S37" s="47">
        <v>90</v>
      </c>
      <c r="T37" s="78">
        <v>65</v>
      </c>
      <c r="U37" s="6" t="s">
        <v>301</v>
      </c>
      <c r="V37" s="101" t="s">
        <v>217</v>
      </c>
      <c r="W37" s="32"/>
      <c r="X37" s="42" t="e">
        <v>#REF!</v>
      </c>
      <c r="Y37" s="31" t="e">
        <v>#REF!</v>
      </c>
    </row>
    <row r="38" spans="1:25" ht="15.75" customHeight="1">
      <c r="A38" s="30">
        <v>2</v>
      </c>
      <c r="B38" s="30" t="s">
        <v>301</v>
      </c>
      <c r="C38" s="87" t="s">
        <v>8</v>
      </c>
      <c r="D38" s="37" t="s">
        <v>5</v>
      </c>
      <c r="E38" s="38">
        <v>66.61</v>
      </c>
      <c r="F38" s="182">
        <v>0</v>
      </c>
      <c r="G38" s="73">
        <v>14.367999999999999</v>
      </c>
      <c r="H38" s="38">
        <v>53.88</v>
      </c>
      <c r="I38" s="49">
        <v>441045</v>
      </c>
      <c r="J38" s="49">
        <v>48514.95</v>
      </c>
      <c r="K38" s="49">
        <v>489559.95</v>
      </c>
      <c r="L38" s="132">
        <v>23763504.600000001</v>
      </c>
      <c r="M38" s="131">
        <v>32609588.269500002</v>
      </c>
      <c r="N38" s="131">
        <v>0</v>
      </c>
      <c r="O38" s="131">
        <v>7033997.3615999995</v>
      </c>
      <c r="P38" s="132">
        <v>26377490.106000002</v>
      </c>
      <c r="Q38" s="40">
        <v>12.729999999999997</v>
      </c>
      <c r="R38" s="46">
        <v>-1.6380000000000017</v>
      </c>
      <c r="S38" s="47">
        <v>52.242000000000004</v>
      </c>
      <c r="T38" s="78">
        <v>14.367999999999999</v>
      </c>
      <c r="U38" s="6" t="s">
        <v>301</v>
      </c>
      <c r="V38" s="101" t="s">
        <v>221</v>
      </c>
      <c r="W38" s="32"/>
      <c r="X38" s="42" t="e">
        <v>#REF!</v>
      </c>
      <c r="Y38" s="32"/>
    </row>
    <row r="39" spans="1:25">
      <c r="A39" s="30">
        <v>3</v>
      </c>
      <c r="B39" s="30" t="s">
        <v>301</v>
      </c>
      <c r="C39" s="87" t="s">
        <v>9</v>
      </c>
      <c r="D39" s="37" t="s">
        <v>5</v>
      </c>
      <c r="E39" s="38">
        <v>62.63</v>
      </c>
      <c r="F39" s="182">
        <v>0</v>
      </c>
      <c r="G39" s="73">
        <v>8.8419999999999987</v>
      </c>
      <c r="H39" s="38">
        <v>54.06</v>
      </c>
      <c r="I39" s="49">
        <v>294030</v>
      </c>
      <c r="J39" s="49">
        <v>32343.3</v>
      </c>
      <c r="K39" s="49">
        <v>326373.3</v>
      </c>
      <c r="L39" s="132">
        <v>15895261.800000001</v>
      </c>
      <c r="M39" s="131">
        <v>20440759.778999999</v>
      </c>
      <c r="N39" s="131">
        <v>0</v>
      </c>
      <c r="O39" s="131">
        <v>2885792.7185999993</v>
      </c>
      <c r="P39" s="132">
        <v>17643740.598000001</v>
      </c>
      <c r="Q39" s="40">
        <v>8.57</v>
      </c>
      <c r="R39" s="46">
        <v>-0.27199999999999847</v>
      </c>
      <c r="S39" s="47">
        <v>53.788000000000004</v>
      </c>
      <c r="T39" s="78">
        <v>8.8419999999999987</v>
      </c>
      <c r="U39" s="6" t="s">
        <v>301</v>
      </c>
      <c r="V39" s="101" t="s">
        <v>221</v>
      </c>
      <c r="W39" s="32"/>
      <c r="X39" s="42" t="e">
        <v>#REF!</v>
      </c>
      <c r="Y39" s="32"/>
    </row>
    <row r="40" spans="1:25">
      <c r="A40" s="30">
        <v>4</v>
      </c>
      <c r="B40" s="30" t="s">
        <v>301</v>
      </c>
      <c r="C40" s="87" t="s">
        <v>13</v>
      </c>
      <c r="D40" s="37" t="s">
        <v>5</v>
      </c>
      <c r="E40" s="38">
        <v>63.63</v>
      </c>
      <c r="F40" s="182">
        <v>0</v>
      </c>
      <c r="G40" s="73">
        <v>16.79</v>
      </c>
      <c r="H40" s="38">
        <v>46.94</v>
      </c>
      <c r="I40" s="49">
        <v>262320</v>
      </c>
      <c r="J40" s="49">
        <v>28855.200000000001</v>
      </c>
      <c r="K40" s="49">
        <v>291175.2</v>
      </c>
      <c r="L40" s="132">
        <v>12313300.799999999</v>
      </c>
      <c r="M40" s="131">
        <v>18527477.976</v>
      </c>
      <c r="N40" s="131">
        <v>0</v>
      </c>
      <c r="O40" s="131">
        <v>4888831.608</v>
      </c>
      <c r="P40" s="132">
        <v>13667763.888</v>
      </c>
      <c r="Q40" s="40">
        <v>16.690000000000005</v>
      </c>
      <c r="R40" s="46">
        <v>-9.9999999999994316E-2</v>
      </c>
      <c r="S40" s="47">
        <v>46.84</v>
      </c>
      <c r="T40" s="78">
        <v>16.79</v>
      </c>
      <c r="U40" s="6" t="s">
        <v>301</v>
      </c>
      <c r="V40" s="101" t="s">
        <v>221</v>
      </c>
      <c r="W40" s="32"/>
      <c r="X40" s="42" t="e">
        <v>#REF!</v>
      </c>
      <c r="Y40" s="31" t="e">
        <v>#REF!</v>
      </c>
    </row>
    <row r="41" spans="1:25" ht="15.75" customHeight="1">
      <c r="A41" s="30">
        <v>5</v>
      </c>
      <c r="B41" s="30" t="s">
        <v>301</v>
      </c>
      <c r="C41" s="87" t="s">
        <v>304</v>
      </c>
      <c r="D41" s="37" t="s">
        <v>5</v>
      </c>
      <c r="E41" s="183">
        <v>0</v>
      </c>
      <c r="F41" s="182">
        <v>0</v>
      </c>
      <c r="G41" s="182">
        <v>0</v>
      </c>
      <c r="H41" s="183">
        <v>0</v>
      </c>
      <c r="I41" s="49">
        <v>7577.1</v>
      </c>
      <c r="J41" s="49">
        <v>833.48099999999999</v>
      </c>
      <c r="K41" s="49">
        <v>8410.5810000000001</v>
      </c>
      <c r="L41" s="132">
        <v>0</v>
      </c>
      <c r="M41" s="131">
        <v>0</v>
      </c>
      <c r="N41" s="131">
        <v>0</v>
      </c>
      <c r="O41" s="131">
        <v>0</v>
      </c>
      <c r="P41" s="132">
        <v>0</v>
      </c>
      <c r="Q41" s="40">
        <v>0</v>
      </c>
      <c r="R41" s="46">
        <v>0</v>
      </c>
      <c r="S41" s="47">
        <v>0</v>
      </c>
      <c r="T41" s="78">
        <v>0</v>
      </c>
      <c r="U41" s="6" t="s">
        <v>301</v>
      </c>
      <c r="V41" s="101"/>
      <c r="W41" s="32"/>
      <c r="X41" s="42" t="e">
        <v>#REF!</v>
      </c>
    </row>
    <row r="42" spans="1:25">
      <c r="A42" s="30">
        <v>6</v>
      </c>
      <c r="B42" s="30" t="s">
        <v>301</v>
      </c>
      <c r="C42" s="87" t="s">
        <v>51</v>
      </c>
      <c r="D42" s="37" t="s">
        <v>5</v>
      </c>
      <c r="E42" s="183">
        <v>162</v>
      </c>
      <c r="F42" s="182">
        <v>0</v>
      </c>
      <c r="G42" s="182">
        <v>0</v>
      </c>
      <c r="H42" s="183">
        <v>162</v>
      </c>
      <c r="I42" s="48">
        <v>4000</v>
      </c>
      <c r="J42" s="49">
        <v>440</v>
      </c>
      <c r="K42" s="49">
        <v>4440</v>
      </c>
      <c r="L42" s="132">
        <v>648000</v>
      </c>
      <c r="M42" s="131">
        <v>719280</v>
      </c>
      <c r="N42" s="131">
        <v>0</v>
      </c>
      <c r="O42" s="131">
        <v>0</v>
      </c>
      <c r="P42" s="132">
        <v>719280</v>
      </c>
      <c r="Q42" s="40">
        <v>0</v>
      </c>
      <c r="R42" s="46">
        <v>0</v>
      </c>
      <c r="S42" s="47">
        <v>162</v>
      </c>
      <c r="T42" s="78">
        <v>0</v>
      </c>
      <c r="U42" s="6" t="s">
        <v>301</v>
      </c>
      <c r="V42" s="101" t="s">
        <v>223</v>
      </c>
      <c r="W42" s="32"/>
      <c r="X42" s="42" t="e">
        <v>#REF!</v>
      </c>
    </row>
    <row r="43" spans="1:25" ht="15.75" customHeight="1">
      <c r="A43" s="30">
        <v>7</v>
      </c>
      <c r="B43" s="30" t="s">
        <v>301</v>
      </c>
      <c r="C43" s="87" t="s">
        <v>43</v>
      </c>
      <c r="D43" s="37" t="s">
        <v>5</v>
      </c>
      <c r="E43" s="183">
        <v>120</v>
      </c>
      <c r="F43" s="182">
        <v>90</v>
      </c>
      <c r="G43" s="182">
        <v>60</v>
      </c>
      <c r="H43" s="183">
        <v>150</v>
      </c>
      <c r="I43" s="49">
        <v>11500</v>
      </c>
      <c r="J43" s="49">
        <v>1265</v>
      </c>
      <c r="K43" s="49">
        <v>12765</v>
      </c>
      <c r="L43" s="132">
        <v>1725000</v>
      </c>
      <c r="M43" s="131">
        <v>1531800</v>
      </c>
      <c r="N43" s="131">
        <v>1148850</v>
      </c>
      <c r="O43" s="131">
        <v>765900</v>
      </c>
      <c r="P43" s="132">
        <v>1914750</v>
      </c>
      <c r="Q43" s="40">
        <v>60</v>
      </c>
      <c r="R43" s="46">
        <v>0</v>
      </c>
      <c r="S43" s="47">
        <v>150</v>
      </c>
      <c r="T43" s="78">
        <v>60</v>
      </c>
      <c r="U43" s="6" t="s">
        <v>301</v>
      </c>
      <c r="V43" s="101" t="s">
        <v>219</v>
      </c>
      <c r="W43" s="32"/>
      <c r="X43" s="42" t="e">
        <v>#REF!</v>
      </c>
      <c r="Y43" s="32" t="e">
        <v>#REF!</v>
      </c>
    </row>
    <row r="44" spans="1:25" ht="15.75" customHeight="1">
      <c r="A44" s="30">
        <v>8</v>
      </c>
      <c r="B44" s="30" t="s">
        <v>301</v>
      </c>
      <c r="C44" s="87" t="s">
        <v>15</v>
      </c>
      <c r="D44" s="37" t="s">
        <v>5</v>
      </c>
      <c r="E44" s="183">
        <v>192</v>
      </c>
      <c r="F44" s="182">
        <v>0</v>
      </c>
      <c r="G44" s="182">
        <v>122</v>
      </c>
      <c r="H44" s="183">
        <v>70</v>
      </c>
      <c r="I44" s="48">
        <v>33646</v>
      </c>
      <c r="J44" s="49">
        <v>3701.06</v>
      </c>
      <c r="K44" s="49">
        <v>37347.06</v>
      </c>
      <c r="L44" s="132">
        <v>2355220</v>
      </c>
      <c r="M44" s="131">
        <v>7170635.5199999996</v>
      </c>
      <c r="N44" s="131">
        <v>0</v>
      </c>
      <c r="O44" s="131">
        <v>4556341.3199999994</v>
      </c>
      <c r="P44" s="132">
        <v>2614294.1999999997</v>
      </c>
      <c r="Q44" s="40">
        <v>122</v>
      </c>
      <c r="R44" s="46">
        <v>0</v>
      </c>
      <c r="S44" s="47">
        <v>70</v>
      </c>
      <c r="T44" s="78">
        <v>122</v>
      </c>
      <c r="U44" s="6" t="s">
        <v>301</v>
      </c>
      <c r="V44" s="101" t="s">
        <v>224</v>
      </c>
      <c r="W44" s="32"/>
      <c r="X44" s="42" t="e">
        <v>#REF!</v>
      </c>
      <c r="Y44" s="32" t="e">
        <v>#REF!</v>
      </c>
    </row>
    <row r="45" spans="1:25">
      <c r="A45" s="30">
        <v>9</v>
      </c>
      <c r="B45" s="30" t="s">
        <v>301</v>
      </c>
      <c r="C45" s="87" t="s">
        <v>17</v>
      </c>
      <c r="D45" s="37" t="s">
        <v>5</v>
      </c>
      <c r="E45" s="183">
        <v>36</v>
      </c>
      <c r="F45" s="182">
        <v>1000</v>
      </c>
      <c r="G45" s="182">
        <v>534</v>
      </c>
      <c r="H45" s="183">
        <v>502</v>
      </c>
      <c r="I45" s="48">
        <v>25269.5</v>
      </c>
      <c r="J45" s="49">
        <v>2779.645</v>
      </c>
      <c r="K45" s="49">
        <v>28049.145</v>
      </c>
      <c r="L45" s="132">
        <v>12685289</v>
      </c>
      <c r="M45" s="131">
        <v>1001645.352</v>
      </c>
      <c r="N45" s="131">
        <v>28049145</v>
      </c>
      <c r="O45" s="131">
        <v>14978243.43</v>
      </c>
      <c r="P45" s="132">
        <v>14080670.790000001</v>
      </c>
      <c r="Q45" s="40">
        <v>534</v>
      </c>
      <c r="R45" s="46">
        <v>0</v>
      </c>
      <c r="S45" s="47">
        <v>502</v>
      </c>
      <c r="T45" s="78">
        <v>534</v>
      </c>
      <c r="U45" s="6" t="s">
        <v>301</v>
      </c>
      <c r="V45" s="101" t="s">
        <v>224</v>
      </c>
      <c r="W45" s="32"/>
      <c r="X45" s="42" t="e">
        <v>#REF!</v>
      </c>
      <c r="Y45" s="31" t="e">
        <v>#REF!</v>
      </c>
    </row>
    <row r="46" spans="1:25">
      <c r="A46" s="30">
        <v>10</v>
      </c>
      <c r="B46" s="30" t="s">
        <v>301</v>
      </c>
      <c r="C46" s="87" t="s">
        <v>249</v>
      </c>
      <c r="D46" s="37" t="s">
        <v>5</v>
      </c>
      <c r="E46" s="183">
        <v>230</v>
      </c>
      <c r="F46" s="182">
        <v>200</v>
      </c>
      <c r="G46" s="182">
        <v>290</v>
      </c>
      <c r="H46" s="183">
        <v>140</v>
      </c>
      <c r="I46" s="49">
        <v>9119.6</v>
      </c>
      <c r="J46" s="49">
        <v>1003.1560000000001</v>
      </c>
      <c r="K46" s="49">
        <v>10122.756000000001</v>
      </c>
      <c r="L46" s="132">
        <v>1276744</v>
      </c>
      <c r="M46" s="131">
        <v>2330378.4</v>
      </c>
      <c r="N46" s="131">
        <v>2024551.2000000002</v>
      </c>
      <c r="O46" s="131">
        <v>2935599.24</v>
      </c>
      <c r="P46" s="132">
        <v>1417185.84</v>
      </c>
      <c r="Q46" s="40">
        <v>290</v>
      </c>
      <c r="R46" s="46">
        <v>0</v>
      </c>
      <c r="S46" s="47">
        <v>140</v>
      </c>
      <c r="T46" s="78">
        <v>290</v>
      </c>
      <c r="U46" s="6" t="s">
        <v>301</v>
      </c>
      <c r="V46" s="101" t="s">
        <v>229</v>
      </c>
      <c r="W46" s="32"/>
      <c r="X46" s="42" t="e">
        <v>#REF!</v>
      </c>
      <c r="Y46" s="31" t="e">
        <v>#REF!</v>
      </c>
    </row>
    <row r="47" spans="1:25">
      <c r="A47" s="30">
        <v>11</v>
      </c>
      <c r="B47" s="30" t="s">
        <v>301</v>
      </c>
      <c r="C47" s="87" t="s">
        <v>18</v>
      </c>
      <c r="D47" s="37" t="s">
        <v>5</v>
      </c>
      <c r="E47" s="183">
        <v>70</v>
      </c>
      <c r="F47" s="182">
        <v>100</v>
      </c>
      <c r="G47" s="182">
        <v>0</v>
      </c>
      <c r="H47" s="183">
        <v>170</v>
      </c>
      <c r="I47" s="48">
        <v>67683</v>
      </c>
      <c r="J47" s="49">
        <v>7445.13</v>
      </c>
      <c r="K47" s="49">
        <v>75128.13</v>
      </c>
      <c r="L47" s="132">
        <v>11506110</v>
      </c>
      <c r="M47" s="131">
        <v>5050733.1000000006</v>
      </c>
      <c r="N47" s="131">
        <v>7512813</v>
      </c>
      <c r="O47" s="131">
        <v>0</v>
      </c>
      <c r="P47" s="132">
        <v>12771782.100000001</v>
      </c>
      <c r="Q47" s="40">
        <v>0</v>
      </c>
      <c r="R47" s="46">
        <v>0</v>
      </c>
      <c r="S47" s="47">
        <v>170</v>
      </c>
      <c r="T47" s="78">
        <v>0</v>
      </c>
      <c r="U47" s="6" t="s">
        <v>301</v>
      </c>
      <c r="V47" s="101" t="s">
        <v>217</v>
      </c>
      <c r="W47" s="32"/>
      <c r="X47" s="42" t="e">
        <v>#REF!</v>
      </c>
    </row>
    <row r="48" spans="1:25">
      <c r="A48" s="30">
        <v>12</v>
      </c>
      <c r="B48" s="30" t="s">
        <v>301</v>
      </c>
      <c r="C48" s="86" t="s">
        <v>34</v>
      </c>
      <c r="D48" s="37" t="s">
        <v>5</v>
      </c>
      <c r="E48" s="183">
        <v>60</v>
      </c>
      <c r="F48" s="182">
        <v>60</v>
      </c>
      <c r="G48" s="182">
        <v>37.800000000000004</v>
      </c>
      <c r="H48" s="183">
        <v>82</v>
      </c>
      <c r="I48" s="49">
        <v>68397</v>
      </c>
      <c r="J48" s="49">
        <v>7523.67</v>
      </c>
      <c r="K48" s="49">
        <v>75920.67</v>
      </c>
      <c r="L48" s="132">
        <v>5608554</v>
      </c>
      <c r="M48" s="131">
        <v>4563631.8</v>
      </c>
      <c r="N48" s="131">
        <v>4555240.2</v>
      </c>
      <c r="O48" s="131">
        <v>2869801.3260000004</v>
      </c>
      <c r="P48" s="132">
        <v>6225494.9399999995</v>
      </c>
      <c r="Q48" s="40">
        <v>38</v>
      </c>
      <c r="R48" s="46">
        <v>0.19999999999999574</v>
      </c>
      <c r="S48" s="47">
        <v>82.199999999999989</v>
      </c>
      <c r="T48" s="78">
        <v>37.800000000000004</v>
      </c>
      <c r="U48" s="6" t="s">
        <v>301</v>
      </c>
      <c r="V48" s="101" t="s">
        <v>227</v>
      </c>
      <c r="W48" s="32"/>
      <c r="X48" s="42" t="e">
        <v>#REF!</v>
      </c>
      <c r="Y48" s="31" t="e">
        <v>#REF!</v>
      </c>
    </row>
    <row r="49" spans="1:25">
      <c r="A49" s="30">
        <v>12</v>
      </c>
      <c r="B49" s="30" t="s">
        <v>301</v>
      </c>
      <c r="C49" s="87" t="s">
        <v>79</v>
      </c>
      <c r="D49" s="37" t="s">
        <v>5</v>
      </c>
      <c r="E49" s="183">
        <v>100</v>
      </c>
      <c r="F49" s="182">
        <v>120</v>
      </c>
      <c r="G49" s="182">
        <v>70</v>
      </c>
      <c r="H49" s="183">
        <v>150</v>
      </c>
      <c r="I49" s="49">
        <v>21203</v>
      </c>
      <c r="J49" s="49">
        <v>2332.33</v>
      </c>
      <c r="K49" s="49">
        <v>23535.33</v>
      </c>
      <c r="L49" s="132">
        <v>3180450</v>
      </c>
      <c r="M49" s="131">
        <v>2365854</v>
      </c>
      <c r="N49" s="131">
        <v>2824239.6</v>
      </c>
      <c r="O49" s="131">
        <v>1647473.1</v>
      </c>
      <c r="P49" s="132">
        <v>3530299.5000000005</v>
      </c>
      <c r="Q49" s="40">
        <v>70</v>
      </c>
      <c r="R49" s="46">
        <v>0</v>
      </c>
      <c r="S49" s="47">
        <v>150</v>
      </c>
      <c r="T49" s="78">
        <v>70</v>
      </c>
      <c r="U49" s="6" t="s">
        <v>301</v>
      </c>
      <c r="V49" s="101" t="s">
        <v>229</v>
      </c>
      <c r="W49" s="32"/>
      <c r="X49" s="42" t="e">
        <v>#REF!</v>
      </c>
      <c r="Y49" s="31" t="e">
        <v>#REF!</v>
      </c>
    </row>
    <row r="50" spans="1:25">
      <c r="A50" s="30">
        <v>13</v>
      </c>
      <c r="B50" s="30" t="s">
        <v>301</v>
      </c>
      <c r="C50" s="87" t="s">
        <v>370</v>
      </c>
      <c r="D50" s="37" t="s">
        <v>5</v>
      </c>
      <c r="E50" s="183">
        <v>200</v>
      </c>
      <c r="F50" s="182">
        <v>0</v>
      </c>
      <c r="G50" s="182">
        <v>50</v>
      </c>
      <c r="H50" s="183">
        <v>150</v>
      </c>
      <c r="I50" s="49">
        <v>14691</v>
      </c>
      <c r="J50" s="49">
        <v>1616.01</v>
      </c>
      <c r="K50" s="49">
        <v>16307.01</v>
      </c>
      <c r="L50" s="132">
        <v>2203650</v>
      </c>
      <c r="M50" s="131">
        <v>3261402</v>
      </c>
      <c r="N50" s="131">
        <v>0</v>
      </c>
      <c r="O50" s="131">
        <v>815350.5</v>
      </c>
      <c r="P50" s="132">
        <v>2446051.5</v>
      </c>
      <c r="Q50" s="40">
        <v>50</v>
      </c>
      <c r="R50" s="46">
        <v>0</v>
      </c>
      <c r="S50" s="47">
        <v>150</v>
      </c>
      <c r="T50" s="78">
        <v>50</v>
      </c>
      <c r="U50" s="6" t="s">
        <v>301</v>
      </c>
      <c r="V50" s="101" t="s">
        <v>229</v>
      </c>
      <c r="W50" s="32"/>
      <c r="X50" s="42" t="e">
        <v>#REF!</v>
      </c>
      <c r="Y50" s="31" t="e">
        <v>#REF!</v>
      </c>
    </row>
    <row r="51" spans="1:25">
      <c r="A51" s="30"/>
      <c r="B51" s="30"/>
      <c r="C51" s="87"/>
      <c r="D51" s="37"/>
      <c r="E51" s="184">
        <v>1517.87</v>
      </c>
      <c r="F51" s="184">
        <v>1570</v>
      </c>
      <c r="G51" s="184">
        <v>1268.8</v>
      </c>
      <c r="H51" s="184">
        <v>1820.88</v>
      </c>
      <c r="I51" s="49"/>
      <c r="J51" s="49"/>
      <c r="K51" s="49"/>
      <c r="L51" s="168">
        <v>93612614.200000003</v>
      </c>
      <c r="M51" s="168">
        <v>104649005.2965</v>
      </c>
      <c r="N51" s="168">
        <v>46114839.000000007</v>
      </c>
      <c r="O51" s="168">
        <v>45505899.904199995</v>
      </c>
      <c r="P51" s="168">
        <v>106356053.26200002</v>
      </c>
      <c r="Q51" s="40"/>
      <c r="S51" s="47"/>
      <c r="V51" s="101"/>
      <c r="W51" s="32"/>
      <c r="X51" s="42" t="e">
        <v>#REF!</v>
      </c>
      <c r="Y51" s="31"/>
    </row>
    <row r="52" spans="1:25">
      <c r="A52" s="30"/>
      <c r="B52" s="30"/>
      <c r="C52" s="87"/>
      <c r="D52" s="37"/>
      <c r="E52" s="38"/>
      <c r="F52" s="73"/>
      <c r="G52" s="73"/>
      <c r="H52" s="38"/>
      <c r="I52" s="49"/>
      <c r="J52" s="49"/>
      <c r="K52" s="49"/>
      <c r="L52" s="132"/>
      <c r="M52" s="132"/>
      <c r="N52" s="132"/>
      <c r="O52" s="132"/>
      <c r="P52" s="132"/>
      <c r="Q52" s="40"/>
      <c r="S52" s="47"/>
      <c r="V52" s="101"/>
      <c r="W52" s="32"/>
      <c r="X52" s="42" t="e">
        <v>#REF!</v>
      </c>
      <c r="Y52" s="31"/>
    </row>
    <row r="53" spans="1:25">
      <c r="A53" s="30">
        <v>1</v>
      </c>
      <c r="B53" s="30" t="s">
        <v>303</v>
      </c>
      <c r="C53" s="87" t="s">
        <v>252</v>
      </c>
      <c r="D53" s="37" t="s">
        <v>5</v>
      </c>
      <c r="E53" s="38">
        <v>24</v>
      </c>
      <c r="F53" s="73">
        <v>0</v>
      </c>
      <c r="G53" s="73">
        <v>0</v>
      </c>
      <c r="H53" s="38">
        <v>24</v>
      </c>
      <c r="I53" s="48">
        <v>49050</v>
      </c>
      <c r="J53" s="49">
        <v>5395.5</v>
      </c>
      <c r="K53" s="49">
        <v>54445.5</v>
      </c>
      <c r="L53" s="132">
        <v>1177200</v>
      </c>
      <c r="M53" s="131">
        <v>1306692</v>
      </c>
      <c r="N53" s="131">
        <v>0</v>
      </c>
      <c r="O53" s="131">
        <v>0</v>
      </c>
      <c r="P53" s="132">
        <v>1306692</v>
      </c>
      <c r="Q53" s="40">
        <v>0</v>
      </c>
      <c r="R53" s="46">
        <v>0</v>
      </c>
      <c r="S53" s="47">
        <v>24</v>
      </c>
      <c r="T53" s="78">
        <v>0</v>
      </c>
      <c r="U53" s="6" t="s">
        <v>303</v>
      </c>
      <c r="V53" s="101" t="s">
        <v>229</v>
      </c>
      <c r="W53" s="32"/>
      <c r="X53" s="42" t="e">
        <v>#REF!</v>
      </c>
    </row>
    <row r="54" spans="1:25">
      <c r="A54" s="30">
        <v>2</v>
      </c>
      <c r="B54" s="30" t="s">
        <v>303</v>
      </c>
      <c r="C54" s="87" t="s">
        <v>37</v>
      </c>
      <c r="D54" s="37" t="s">
        <v>5</v>
      </c>
      <c r="E54" s="38">
        <v>439.82</v>
      </c>
      <c r="F54" s="73">
        <v>400</v>
      </c>
      <c r="G54" s="73">
        <v>320.03100000000006</v>
      </c>
      <c r="H54" s="38">
        <v>519.38</v>
      </c>
      <c r="I54" s="49">
        <v>51276</v>
      </c>
      <c r="J54" s="49">
        <v>5640.36</v>
      </c>
      <c r="K54" s="49">
        <v>56916.36</v>
      </c>
      <c r="L54" s="132">
        <v>26631728.879999999</v>
      </c>
      <c r="M54" s="131">
        <v>25043693.8596</v>
      </c>
      <c r="N54" s="131">
        <v>22766544</v>
      </c>
      <c r="O54" s="131">
        <v>18214999.607160002</v>
      </c>
      <c r="P54" s="132">
        <v>29561219.0568</v>
      </c>
      <c r="Q54" s="40">
        <v>320.43999999999994</v>
      </c>
      <c r="R54" s="46">
        <v>0.40899999999987813</v>
      </c>
      <c r="S54" s="47">
        <v>519.78899999999987</v>
      </c>
      <c r="T54" s="78">
        <v>320.03100000000006</v>
      </c>
      <c r="U54" s="6" t="s">
        <v>303</v>
      </c>
      <c r="V54" s="101" t="s">
        <v>212</v>
      </c>
      <c r="W54" s="32"/>
      <c r="X54" s="42" t="e">
        <v>#REF!</v>
      </c>
      <c r="Y54" s="31" t="e">
        <v>#REF!</v>
      </c>
    </row>
    <row r="55" spans="1:25" ht="15.75" customHeight="1">
      <c r="A55" s="30">
        <v>3</v>
      </c>
      <c r="B55" s="30" t="s">
        <v>303</v>
      </c>
      <c r="C55" s="87" t="s">
        <v>90</v>
      </c>
      <c r="D55" s="37" t="s">
        <v>5</v>
      </c>
      <c r="E55" s="38">
        <v>117.03999999999999</v>
      </c>
      <c r="F55" s="73">
        <v>0</v>
      </c>
      <c r="G55" s="73">
        <v>33.818000000000005</v>
      </c>
      <c r="H55" s="38">
        <v>83.460000000000008</v>
      </c>
      <c r="I55" s="49">
        <v>194556</v>
      </c>
      <c r="J55" s="49">
        <v>21401.16</v>
      </c>
      <c r="K55" s="49">
        <v>215957.16</v>
      </c>
      <c r="L55" s="132">
        <v>16237643.760000002</v>
      </c>
      <c r="M55" s="131">
        <v>25275626.0064</v>
      </c>
      <c r="N55" s="131">
        <v>0</v>
      </c>
      <c r="O55" s="131">
        <v>7303239.2368800016</v>
      </c>
      <c r="P55" s="132">
        <v>18023784.573600002</v>
      </c>
      <c r="Q55" s="40">
        <v>33.579999999999984</v>
      </c>
      <c r="R55" s="46">
        <v>-0.23800000000002086</v>
      </c>
      <c r="S55" s="47">
        <v>83.22199999999998</v>
      </c>
      <c r="T55" s="78">
        <v>33.818000000000005</v>
      </c>
      <c r="U55" s="6" t="s">
        <v>303</v>
      </c>
      <c r="V55" s="101" t="s">
        <v>212</v>
      </c>
      <c r="W55" s="32"/>
      <c r="X55" s="42" t="e">
        <v>#REF!</v>
      </c>
    </row>
    <row r="56" spans="1:25">
      <c r="A56" s="30">
        <v>4</v>
      </c>
      <c r="B56" s="30" t="s">
        <v>303</v>
      </c>
      <c r="C56" s="87" t="s">
        <v>40</v>
      </c>
      <c r="D56" s="37" t="s">
        <v>5</v>
      </c>
      <c r="E56" s="38">
        <v>0</v>
      </c>
      <c r="F56" s="73">
        <v>0</v>
      </c>
      <c r="G56" s="73">
        <v>0</v>
      </c>
      <c r="H56" s="38">
        <v>0</v>
      </c>
      <c r="I56" s="49">
        <v>62981.25</v>
      </c>
      <c r="J56" s="49">
        <v>6927.9375</v>
      </c>
      <c r="K56" s="49">
        <v>69909.1875</v>
      </c>
      <c r="L56" s="132">
        <v>0</v>
      </c>
      <c r="M56" s="131">
        <v>0</v>
      </c>
      <c r="N56" s="131">
        <v>0</v>
      </c>
      <c r="O56" s="131">
        <v>0</v>
      </c>
      <c r="P56" s="132">
        <v>0</v>
      </c>
      <c r="Q56" s="40">
        <v>0</v>
      </c>
      <c r="R56" s="46">
        <v>0</v>
      </c>
      <c r="S56" s="47">
        <v>0</v>
      </c>
      <c r="T56" s="78">
        <v>0</v>
      </c>
      <c r="U56" s="6" t="s">
        <v>303</v>
      </c>
      <c r="V56" s="101" t="s">
        <v>212</v>
      </c>
      <c r="W56" s="32"/>
      <c r="X56" s="42" t="e">
        <v>#REF!</v>
      </c>
      <c r="Y56" s="31" t="e">
        <v>#REF!</v>
      </c>
    </row>
    <row r="57" spans="1:25">
      <c r="A57" s="30">
        <v>5</v>
      </c>
      <c r="B57" s="30" t="s">
        <v>303</v>
      </c>
      <c r="C57" s="87" t="s">
        <v>343</v>
      </c>
      <c r="D57" s="37" t="s">
        <v>5</v>
      </c>
      <c r="E57" s="38">
        <v>309.62</v>
      </c>
      <c r="F57" s="73">
        <v>400</v>
      </c>
      <c r="G57" s="73">
        <v>442.34100000000001</v>
      </c>
      <c r="H57" s="38">
        <v>267.24</v>
      </c>
      <c r="I57" s="49">
        <v>60680</v>
      </c>
      <c r="J57" s="49">
        <v>6674.8</v>
      </c>
      <c r="K57" s="49">
        <v>67354.8</v>
      </c>
      <c r="L57" s="132">
        <v>16216123.200000001</v>
      </c>
      <c r="M57" s="131">
        <v>20663651.774999999</v>
      </c>
      <c r="N57" s="131">
        <v>26941920</v>
      </c>
      <c r="O57" s="131">
        <v>29793789.586800002</v>
      </c>
      <c r="P57" s="132">
        <v>17999896.752</v>
      </c>
      <c r="Q57" s="40">
        <v>442.38</v>
      </c>
      <c r="R57" s="46">
        <v>3.8999999999987267E-2</v>
      </c>
      <c r="S57" s="47">
        <v>267.279</v>
      </c>
      <c r="T57" s="78">
        <v>442.34100000000001</v>
      </c>
      <c r="U57" s="6" t="s">
        <v>303</v>
      </c>
      <c r="V57" s="101" t="s">
        <v>212</v>
      </c>
      <c r="W57" s="32"/>
      <c r="X57" s="42" t="e">
        <v>#REF!</v>
      </c>
      <c r="Y57" s="31" t="e">
        <v>#REF!</v>
      </c>
    </row>
    <row r="58" spans="1:25" ht="15.75" customHeight="1">
      <c r="A58" s="30">
        <v>5</v>
      </c>
      <c r="B58" s="30" t="s">
        <v>303</v>
      </c>
      <c r="C58" s="87" t="s">
        <v>28</v>
      </c>
      <c r="D58" s="37" t="s">
        <v>5</v>
      </c>
      <c r="E58" s="38">
        <v>72.36</v>
      </c>
      <c r="F58" s="73">
        <v>0</v>
      </c>
      <c r="G58" s="73">
        <v>3.0289999999999995</v>
      </c>
      <c r="H58" s="38">
        <v>69.36</v>
      </c>
      <c r="I58" s="49">
        <v>413967</v>
      </c>
      <c r="J58" s="49">
        <v>45536.37</v>
      </c>
      <c r="K58" s="49">
        <v>459503.37</v>
      </c>
      <c r="L58" s="132">
        <v>28712751.120000001</v>
      </c>
      <c r="M58" s="131">
        <v>33249663.8532</v>
      </c>
      <c r="N58" s="131">
        <v>0</v>
      </c>
      <c r="O58" s="131">
        <v>1391835.7077299997</v>
      </c>
      <c r="P58" s="132">
        <v>31871153.7432</v>
      </c>
      <c r="Q58" s="40">
        <v>3</v>
      </c>
      <c r="R58" s="46">
        <v>-2.8999999999999471E-2</v>
      </c>
      <c r="S58" s="47">
        <v>69.331000000000003</v>
      </c>
      <c r="T58" s="78">
        <v>3.0289999999999995</v>
      </c>
      <c r="U58" s="6" t="s">
        <v>303</v>
      </c>
      <c r="V58" s="101" t="s">
        <v>212</v>
      </c>
      <c r="W58" s="32"/>
      <c r="X58" s="42" t="e">
        <v>#REF!</v>
      </c>
      <c r="Y58" s="32"/>
    </row>
    <row r="59" spans="1:25" ht="14.25" customHeight="1">
      <c r="A59" s="30">
        <v>6</v>
      </c>
      <c r="B59" s="30" t="s">
        <v>303</v>
      </c>
      <c r="C59" s="41" t="s">
        <v>64</v>
      </c>
      <c r="D59" s="37" t="s">
        <v>5</v>
      </c>
      <c r="E59" s="38">
        <v>62.2</v>
      </c>
      <c r="F59" s="73">
        <v>0</v>
      </c>
      <c r="G59" s="73">
        <v>5.359</v>
      </c>
      <c r="H59" s="38">
        <v>56.82</v>
      </c>
      <c r="I59" s="49">
        <v>506080</v>
      </c>
      <c r="J59" s="49">
        <v>55668.800000000003</v>
      </c>
      <c r="K59" s="49">
        <v>561748.80000000005</v>
      </c>
      <c r="L59" s="132">
        <v>28755465.600000001</v>
      </c>
      <c r="M59" s="131">
        <v>34940775.360000007</v>
      </c>
      <c r="N59" s="131">
        <v>0</v>
      </c>
      <c r="O59" s="131">
        <v>3010411.8192000003</v>
      </c>
      <c r="P59" s="132">
        <v>31918566.816000003</v>
      </c>
      <c r="Q59" s="40">
        <v>5.3800000000000026</v>
      </c>
      <c r="R59" s="46">
        <v>2.1000000000002572E-2</v>
      </c>
      <c r="S59" s="47">
        <v>56.841000000000001</v>
      </c>
      <c r="T59" s="78">
        <v>5.359</v>
      </c>
      <c r="U59" s="6" t="s">
        <v>303</v>
      </c>
      <c r="V59" s="101" t="s">
        <v>212</v>
      </c>
      <c r="W59" s="32"/>
      <c r="X59" s="42" t="e">
        <v>#REF!</v>
      </c>
      <c r="Y59" s="32"/>
    </row>
    <row r="60" spans="1:25">
      <c r="A60" s="30">
        <v>7</v>
      </c>
      <c r="B60" s="30" t="s">
        <v>303</v>
      </c>
      <c r="C60" s="87" t="s">
        <v>38</v>
      </c>
      <c r="D60" s="37" t="s">
        <v>5</v>
      </c>
      <c r="E60" s="38">
        <v>80.83</v>
      </c>
      <c r="F60" s="73">
        <v>0</v>
      </c>
      <c r="G60" s="73">
        <v>28.346999999999998</v>
      </c>
      <c r="H60" s="38">
        <v>53.59</v>
      </c>
      <c r="I60" s="48">
        <v>366255</v>
      </c>
      <c r="J60" s="49">
        <v>40288.050000000003</v>
      </c>
      <c r="K60" s="49">
        <v>406543.05</v>
      </c>
      <c r="L60" s="132">
        <v>19627605.450000003</v>
      </c>
      <c r="M60" s="131">
        <v>32860874.7315</v>
      </c>
      <c r="N60" s="131">
        <v>0</v>
      </c>
      <c r="O60" s="131">
        <v>11524275.838349998</v>
      </c>
      <c r="P60" s="132">
        <v>21786642.0495</v>
      </c>
      <c r="Q60" s="40">
        <v>27.239999999999995</v>
      </c>
      <c r="R60" s="46">
        <v>-1.1070000000000029</v>
      </c>
      <c r="S60" s="47">
        <v>52.483000000000004</v>
      </c>
      <c r="T60" s="78">
        <v>28.346999999999998</v>
      </c>
      <c r="U60" s="6" t="s">
        <v>303</v>
      </c>
      <c r="V60" s="101" t="s">
        <v>212</v>
      </c>
      <c r="W60" s="32"/>
      <c r="X60" s="42" t="e">
        <v>#REF!</v>
      </c>
      <c r="Y60" s="31" t="e">
        <v>#REF!</v>
      </c>
    </row>
    <row r="61" spans="1:25">
      <c r="A61" s="30">
        <v>8</v>
      </c>
      <c r="B61" s="30" t="s">
        <v>303</v>
      </c>
      <c r="C61" s="87" t="s">
        <v>241</v>
      </c>
      <c r="D61" s="37" t="s">
        <v>5</v>
      </c>
      <c r="E61" s="38">
        <v>19.559999999999999</v>
      </c>
      <c r="F61" s="73">
        <v>0</v>
      </c>
      <c r="G61" s="73">
        <v>0</v>
      </c>
      <c r="H61" s="38">
        <v>19.559999999999999</v>
      </c>
      <c r="I61" s="48">
        <v>58136</v>
      </c>
      <c r="J61" s="49">
        <v>6394.96</v>
      </c>
      <c r="K61" s="49">
        <v>64530.96</v>
      </c>
      <c r="L61" s="132">
        <v>1137140.1599999999</v>
      </c>
      <c r="M61" s="131">
        <v>1262225.5776</v>
      </c>
      <c r="N61" s="131">
        <v>0</v>
      </c>
      <c r="O61" s="131">
        <v>0</v>
      </c>
      <c r="P61" s="132">
        <v>1262225.5776</v>
      </c>
      <c r="Q61" s="40">
        <v>0</v>
      </c>
      <c r="R61" s="46">
        <v>0</v>
      </c>
      <c r="S61" s="47">
        <v>19.559999999999999</v>
      </c>
      <c r="T61" s="78">
        <v>0</v>
      </c>
      <c r="U61" s="6" t="s">
        <v>303</v>
      </c>
      <c r="V61" s="101" t="s">
        <v>229</v>
      </c>
      <c r="W61" s="32"/>
      <c r="X61" s="42" t="e">
        <v>#REF!</v>
      </c>
    </row>
    <row r="62" spans="1:25">
      <c r="A62" s="30">
        <v>9</v>
      </c>
      <c r="B62" s="30" t="s">
        <v>303</v>
      </c>
      <c r="C62" s="87" t="s">
        <v>26</v>
      </c>
      <c r="D62" s="37" t="s">
        <v>5</v>
      </c>
      <c r="E62" s="38">
        <v>662.29</v>
      </c>
      <c r="F62" s="73">
        <v>0</v>
      </c>
      <c r="G62" s="73">
        <v>238.03899999999999</v>
      </c>
      <c r="H62" s="38">
        <v>424.5</v>
      </c>
      <c r="I62" s="49">
        <v>52016</v>
      </c>
      <c r="J62" s="49">
        <v>5721.76</v>
      </c>
      <c r="K62" s="49">
        <v>57737.760000000002</v>
      </c>
      <c r="L62" s="132">
        <v>22080792</v>
      </c>
      <c r="M62" s="131">
        <v>38239141.0704</v>
      </c>
      <c r="N62" s="131">
        <v>0</v>
      </c>
      <c r="O62" s="131">
        <v>13743838.65264</v>
      </c>
      <c r="P62" s="132">
        <v>24509679.120000001</v>
      </c>
      <c r="Q62" s="40">
        <v>237.78999999999996</v>
      </c>
      <c r="R62" s="46">
        <v>-0.24900000000002365</v>
      </c>
      <c r="S62" s="47">
        <v>424.25099999999998</v>
      </c>
      <c r="T62" s="78">
        <v>238.03899999999999</v>
      </c>
      <c r="U62" s="6" t="s">
        <v>303</v>
      </c>
      <c r="V62" s="101" t="s">
        <v>212</v>
      </c>
      <c r="W62" s="32"/>
      <c r="X62" s="42" t="e">
        <v>#REF!</v>
      </c>
      <c r="Y62" s="31" t="e">
        <v>#REF!</v>
      </c>
    </row>
    <row r="63" spans="1:25">
      <c r="A63" s="30">
        <v>10</v>
      </c>
      <c r="B63" s="30" t="s">
        <v>303</v>
      </c>
      <c r="C63" s="87" t="s">
        <v>27</v>
      </c>
      <c r="D63" s="37" t="s">
        <v>5</v>
      </c>
      <c r="E63" s="38">
        <v>378.96</v>
      </c>
      <c r="F63" s="73">
        <v>300</v>
      </c>
      <c r="G63" s="73">
        <v>160.81099999999998</v>
      </c>
      <c r="H63" s="38">
        <v>518.05999999999995</v>
      </c>
      <c r="I63" s="49">
        <v>71148</v>
      </c>
      <c r="J63" s="49">
        <v>7826.28</v>
      </c>
      <c r="K63" s="49">
        <v>78974.28</v>
      </c>
      <c r="L63" s="132">
        <v>36858932.879999995</v>
      </c>
      <c r="M63" s="131">
        <v>30085414.603199996</v>
      </c>
      <c r="N63" s="131">
        <v>23692284</v>
      </c>
      <c r="O63" s="131">
        <v>12699932.941079998</v>
      </c>
      <c r="P63" s="132">
        <v>40913415.496799998</v>
      </c>
      <c r="Q63" s="40">
        <v>160.90000000000009</v>
      </c>
      <c r="R63" s="46">
        <v>8.9000000000112323E-2</v>
      </c>
      <c r="S63" s="47">
        <v>518.14900000000011</v>
      </c>
      <c r="T63" s="78">
        <v>160.81099999999998</v>
      </c>
      <c r="U63" s="6" t="s">
        <v>303</v>
      </c>
      <c r="V63" s="101" t="s">
        <v>212</v>
      </c>
      <c r="W63" s="32"/>
      <c r="X63" s="42" t="e">
        <v>#REF!</v>
      </c>
      <c r="Y63" s="31" t="e">
        <v>#REF!</v>
      </c>
    </row>
    <row r="64" spans="1:25">
      <c r="A64" s="30">
        <v>11</v>
      </c>
      <c r="B64" s="30" t="s">
        <v>303</v>
      </c>
      <c r="C64" s="87" t="s">
        <v>238</v>
      </c>
      <c r="D64" s="37" t="s">
        <v>5</v>
      </c>
      <c r="E64" s="38">
        <v>62.29</v>
      </c>
      <c r="F64" s="73">
        <v>0</v>
      </c>
      <c r="G64" s="73">
        <v>4.5809999999999995</v>
      </c>
      <c r="H64" s="38">
        <v>57.64</v>
      </c>
      <c r="I64" s="48">
        <v>227070</v>
      </c>
      <c r="J64" s="49">
        <v>24977.7</v>
      </c>
      <c r="K64" s="49">
        <v>252047.7</v>
      </c>
      <c r="L64" s="132">
        <v>13088314.800000001</v>
      </c>
      <c r="M64" s="131">
        <v>15700051.233000001</v>
      </c>
      <c r="N64" s="131">
        <v>0</v>
      </c>
      <c r="O64" s="131">
        <v>1154630.5137</v>
      </c>
      <c r="P64" s="132">
        <v>14528029.428000001</v>
      </c>
      <c r="Q64" s="40">
        <v>4.6499999999999986</v>
      </c>
      <c r="R64" s="46">
        <v>6.8999999999999062E-2</v>
      </c>
      <c r="S64" s="47">
        <v>57.709000000000003</v>
      </c>
      <c r="T64" s="78">
        <v>4.5809999999999995</v>
      </c>
      <c r="U64" s="6" t="s">
        <v>303</v>
      </c>
      <c r="V64" s="101" t="s">
        <v>212</v>
      </c>
      <c r="W64" s="32"/>
      <c r="X64" s="42" t="e">
        <v>#REF!</v>
      </c>
      <c r="Y64" s="31" t="e">
        <v>#REF!</v>
      </c>
    </row>
    <row r="65" spans="1:25">
      <c r="A65" s="30">
        <v>12</v>
      </c>
      <c r="B65" s="30" t="s">
        <v>303</v>
      </c>
      <c r="C65" s="41" t="s">
        <v>255</v>
      </c>
      <c r="D65" s="37" t="s">
        <v>5</v>
      </c>
      <c r="E65" s="38">
        <v>61.49</v>
      </c>
      <c r="F65" s="73">
        <v>0</v>
      </c>
      <c r="G65" s="73">
        <v>4.7930000000000001</v>
      </c>
      <c r="H65" s="38">
        <v>56</v>
      </c>
      <c r="I65" s="49">
        <v>195336</v>
      </c>
      <c r="J65" s="49">
        <v>21486.959999999999</v>
      </c>
      <c r="K65" s="49">
        <v>216822.96</v>
      </c>
      <c r="L65" s="132">
        <v>10938816</v>
      </c>
      <c r="M65" s="131">
        <v>13332443.8104</v>
      </c>
      <c r="N65" s="131">
        <v>0</v>
      </c>
      <c r="O65" s="131">
        <v>1039232.44728</v>
      </c>
      <c r="P65" s="132">
        <v>12142085.76</v>
      </c>
      <c r="Q65" s="40">
        <v>5.490000000000002</v>
      </c>
      <c r="R65" s="46">
        <v>0.69700000000000184</v>
      </c>
      <c r="S65" s="47">
        <v>56.697000000000003</v>
      </c>
      <c r="T65" s="78">
        <v>4.7930000000000001</v>
      </c>
      <c r="U65" s="6" t="s">
        <v>303</v>
      </c>
      <c r="V65" s="101" t="s">
        <v>212</v>
      </c>
      <c r="W65" s="32"/>
      <c r="X65" s="42" t="e">
        <v>#REF!</v>
      </c>
      <c r="Y65" s="32"/>
    </row>
    <row r="66" spans="1:25">
      <c r="A66" s="30">
        <v>13</v>
      </c>
      <c r="B66" s="30" t="s">
        <v>303</v>
      </c>
      <c r="C66" s="41" t="s">
        <v>256</v>
      </c>
      <c r="D66" s="37" t="s">
        <v>5</v>
      </c>
      <c r="E66" s="38">
        <v>5.27</v>
      </c>
      <c r="F66" s="73">
        <v>0</v>
      </c>
      <c r="G66" s="73">
        <v>0</v>
      </c>
      <c r="H66" s="38">
        <v>5.27</v>
      </c>
      <c r="I66" s="48">
        <v>0</v>
      </c>
      <c r="J66" s="49">
        <v>0</v>
      </c>
      <c r="K66" s="49">
        <v>0</v>
      </c>
      <c r="L66" s="132">
        <v>0</v>
      </c>
      <c r="M66" s="131">
        <v>0</v>
      </c>
      <c r="N66" s="131">
        <v>0</v>
      </c>
      <c r="O66" s="131">
        <v>0</v>
      </c>
      <c r="P66" s="132">
        <v>0</v>
      </c>
      <c r="Q66" s="40">
        <v>0</v>
      </c>
      <c r="R66" s="46">
        <v>0</v>
      </c>
      <c r="S66" s="47">
        <v>5.27</v>
      </c>
      <c r="T66" s="78">
        <v>0</v>
      </c>
      <c r="U66" s="6" t="s">
        <v>303</v>
      </c>
      <c r="V66" s="101" t="s">
        <v>212</v>
      </c>
      <c r="W66" s="32"/>
      <c r="X66" s="42" t="e">
        <v>#REF!</v>
      </c>
    </row>
    <row r="67" spans="1:25">
      <c r="A67" s="30">
        <v>14</v>
      </c>
      <c r="B67" s="30" t="s">
        <v>303</v>
      </c>
      <c r="C67" s="87" t="s">
        <v>102</v>
      </c>
      <c r="D67" s="37" t="s">
        <v>5</v>
      </c>
      <c r="E67" s="38">
        <v>76</v>
      </c>
      <c r="F67" s="73">
        <v>0</v>
      </c>
      <c r="G67" s="73">
        <v>8.3360000000000021</v>
      </c>
      <c r="H67" s="38">
        <v>67.66</v>
      </c>
      <c r="I67" s="48">
        <v>385283</v>
      </c>
      <c r="J67" s="49">
        <v>42381.13</v>
      </c>
      <c r="K67" s="49">
        <v>427664.13</v>
      </c>
      <c r="L67" s="132">
        <v>26068247.779999997</v>
      </c>
      <c r="M67" s="131">
        <v>32502473.879999999</v>
      </c>
      <c r="N67" s="131">
        <v>0</v>
      </c>
      <c r="O67" s="131">
        <v>3565008.1876800009</v>
      </c>
      <c r="P67" s="132">
        <v>28935755.035799999</v>
      </c>
      <c r="Q67" s="40">
        <v>8.3400000000000034</v>
      </c>
      <c r="R67" s="46">
        <v>4.0000000000013358E-3</v>
      </c>
      <c r="S67" s="47">
        <v>67.664000000000001</v>
      </c>
      <c r="T67" s="78">
        <v>8.3360000000000021</v>
      </c>
      <c r="U67" s="6" t="s">
        <v>303</v>
      </c>
      <c r="V67" s="101" t="s">
        <v>212</v>
      </c>
      <c r="W67" s="32"/>
      <c r="X67" s="42" t="e">
        <v>#REF!</v>
      </c>
      <c r="Y67" s="31" t="e">
        <v>#REF!</v>
      </c>
    </row>
    <row r="68" spans="1:25">
      <c r="A68" s="30">
        <v>15</v>
      </c>
      <c r="B68" s="30" t="s">
        <v>303</v>
      </c>
      <c r="C68" s="41" t="s">
        <v>11</v>
      </c>
      <c r="D68" s="37" t="s">
        <v>5</v>
      </c>
      <c r="E68" s="38">
        <v>17.739999999999998</v>
      </c>
      <c r="F68" s="73">
        <v>0</v>
      </c>
      <c r="G68" s="73">
        <v>0.75700000000000012</v>
      </c>
      <c r="H68" s="38">
        <v>17.649999999999999</v>
      </c>
      <c r="I68" s="48">
        <v>270075</v>
      </c>
      <c r="J68" s="49">
        <v>29708.25</v>
      </c>
      <c r="K68" s="49">
        <v>299783.25</v>
      </c>
      <c r="L68" s="132">
        <v>4766823.75</v>
      </c>
      <c r="M68" s="131">
        <v>5318154.8549999995</v>
      </c>
      <c r="N68" s="131">
        <v>0</v>
      </c>
      <c r="O68" s="131">
        <v>226935.92025000002</v>
      </c>
      <c r="P68" s="132">
        <v>5291174.3624999998</v>
      </c>
      <c r="Q68" s="40">
        <v>8.9999999999999858E-2</v>
      </c>
      <c r="R68" s="46">
        <v>-0.66700000000000026</v>
      </c>
      <c r="S68" s="47">
        <v>16.982999999999997</v>
      </c>
      <c r="T68" s="78">
        <v>0.75700000000000012</v>
      </c>
      <c r="U68" s="6" t="s">
        <v>303</v>
      </c>
      <c r="V68" s="101" t="s">
        <v>212</v>
      </c>
      <c r="W68" s="32"/>
      <c r="X68" s="42" t="e">
        <v>#REF!</v>
      </c>
    </row>
    <row r="69" spans="1:25">
      <c r="A69" s="30">
        <v>16</v>
      </c>
      <c r="B69" s="30" t="s">
        <v>303</v>
      </c>
      <c r="C69" s="87" t="s">
        <v>46</v>
      </c>
      <c r="D69" s="37" t="s">
        <v>5</v>
      </c>
      <c r="E69" s="38">
        <v>382.16</v>
      </c>
      <c r="F69" s="73">
        <v>0</v>
      </c>
      <c r="G69" s="73">
        <v>95.33</v>
      </c>
      <c r="H69" s="38">
        <v>286.79000000000002</v>
      </c>
      <c r="I69" s="49">
        <v>100812</v>
      </c>
      <c r="J69" s="49">
        <v>11089.32</v>
      </c>
      <c r="K69" s="49">
        <v>111901.32</v>
      </c>
      <c r="L69" s="132">
        <v>28911873.48</v>
      </c>
      <c r="M69" s="131">
        <v>42764208.451200008</v>
      </c>
      <c r="N69" s="131">
        <v>0</v>
      </c>
      <c r="O69" s="131">
        <v>10667552.8356</v>
      </c>
      <c r="P69" s="132">
        <v>32092179.562800005</v>
      </c>
      <c r="Q69" s="40">
        <v>95.37</v>
      </c>
      <c r="R69" s="46">
        <v>4.0000000000006253E-2</v>
      </c>
      <c r="S69" s="47">
        <v>286.83000000000004</v>
      </c>
      <c r="T69" s="78">
        <v>95.33</v>
      </c>
      <c r="U69" s="6" t="s">
        <v>303</v>
      </c>
      <c r="V69" s="101" t="s">
        <v>212</v>
      </c>
      <c r="W69" s="32"/>
      <c r="X69" s="42" t="e">
        <v>#REF!</v>
      </c>
      <c r="Y69" s="32"/>
    </row>
    <row r="70" spans="1:25">
      <c r="A70" s="30">
        <v>17</v>
      </c>
      <c r="B70" s="30" t="s">
        <v>303</v>
      </c>
      <c r="C70" s="41" t="s">
        <v>41</v>
      </c>
      <c r="D70" s="37" t="s">
        <v>5</v>
      </c>
      <c r="E70" s="38">
        <v>259.3</v>
      </c>
      <c r="F70" s="73">
        <v>400</v>
      </c>
      <c r="G70" s="73">
        <v>227.40799999999996</v>
      </c>
      <c r="H70" s="38">
        <v>431.87</v>
      </c>
      <c r="I70" s="49">
        <v>54071</v>
      </c>
      <c r="J70" s="49">
        <v>5947.81</v>
      </c>
      <c r="K70" s="49">
        <v>60018.81</v>
      </c>
      <c r="L70" s="132">
        <v>23351642.77</v>
      </c>
      <c r="M70" s="131">
        <v>15728951.304</v>
      </c>
      <c r="N70" s="131">
        <v>24007524</v>
      </c>
      <c r="O70" s="131">
        <v>13648757.544479998</v>
      </c>
      <c r="P70" s="132">
        <v>25920323.4747</v>
      </c>
      <c r="Q70" s="40">
        <v>227.42999999999995</v>
      </c>
      <c r="R70" s="46">
        <v>2.199999999999136E-2</v>
      </c>
      <c r="S70" s="47">
        <v>431.892</v>
      </c>
      <c r="T70" s="78">
        <v>227.40799999999996</v>
      </c>
      <c r="U70" s="6" t="s">
        <v>303</v>
      </c>
      <c r="V70" s="101" t="s">
        <v>212</v>
      </c>
      <c r="W70" s="32"/>
      <c r="X70" s="42" t="e">
        <v>#REF!</v>
      </c>
      <c r="Y70" s="31" t="e">
        <v>#REF!</v>
      </c>
    </row>
    <row r="71" spans="1:25">
      <c r="A71" s="30">
        <v>18</v>
      </c>
      <c r="B71" s="30" t="s">
        <v>303</v>
      </c>
      <c r="C71" s="87" t="s">
        <v>29</v>
      </c>
      <c r="D71" s="37" t="s">
        <v>5</v>
      </c>
      <c r="E71" s="38">
        <v>55.69</v>
      </c>
      <c r="F71" s="73">
        <v>0</v>
      </c>
      <c r="G71" s="73">
        <v>9.5169999999999995</v>
      </c>
      <c r="H71" s="38">
        <v>46.11</v>
      </c>
      <c r="I71" s="48">
        <v>100590</v>
      </c>
      <c r="J71" s="49">
        <v>11064.9</v>
      </c>
      <c r="K71" s="49">
        <v>111654.9</v>
      </c>
      <c r="L71" s="132">
        <v>4638204.9000000004</v>
      </c>
      <c r="M71" s="131">
        <v>6218061.3809999991</v>
      </c>
      <c r="N71" s="131">
        <v>0</v>
      </c>
      <c r="O71" s="131">
        <v>1062619.6832999999</v>
      </c>
      <c r="P71" s="132">
        <v>5148407.4389999993</v>
      </c>
      <c r="Q71" s="40">
        <v>9.5799999999999983</v>
      </c>
      <c r="R71" s="46">
        <v>6.2999999999998835E-2</v>
      </c>
      <c r="S71" s="47">
        <v>46.173000000000002</v>
      </c>
      <c r="T71" s="78">
        <v>9.5169999999999995</v>
      </c>
      <c r="U71" s="6" t="s">
        <v>303</v>
      </c>
      <c r="V71" s="101" t="s">
        <v>212</v>
      </c>
      <c r="W71" s="32"/>
      <c r="X71" s="42" t="e">
        <v>#REF!</v>
      </c>
      <c r="Y71" s="32" t="e">
        <v>#REF!</v>
      </c>
    </row>
    <row r="72" spans="1:25">
      <c r="A72" s="30">
        <v>19</v>
      </c>
      <c r="B72" s="30" t="s">
        <v>303</v>
      </c>
      <c r="C72" s="87" t="s">
        <v>30</v>
      </c>
      <c r="D72" s="37" t="s">
        <v>5</v>
      </c>
      <c r="E72" s="38">
        <v>569.86</v>
      </c>
      <c r="F72" s="73">
        <v>0</v>
      </c>
      <c r="G72" s="73">
        <v>336.96600000000001</v>
      </c>
      <c r="H72" s="38">
        <v>232.82</v>
      </c>
      <c r="I72" s="49">
        <v>77089.399999999994</v>
      </c>
      <c r="J72" s="49">
        <v>8479.8339999999989</v>
      </c>
      <c r="K72" s="49">
        <v>85569.233999999997</v>
      </c>
      <c r="L72" s="132">
        <v>17947954.107999999</v>
      </c>
      <c r="M72" s="131">
        <v>48762483.687239997</v>
      </c>
      <c r="N72" s="131">
        <v>0</v>
      </c>
      <c r="O72" s="131">
        <v>28833922.504044</v>
      </c>
      <c r="P72" s="132">
        <v>19922229.05988</v>
      </c>
      <c r="Q72" s="40">
        <v>337.04</v>
      </c>
      <c r="R72" s="46">
        <v>7.4000000000012278E-2</v>
      </c>
      <c r="S72" s="47">
        <v>232.89400000000001</v>
      </c>
      <c r="T72" s="78">
        <v>336.96600000000001</v>
      </c>
      <c r="U72" s="6" t="s">
        <v>303</v>
      </c>
      <c r="V72" s="101" t="s">
        <v>212</v>
      </c>
      <c r="W72" s="32"/>
      <c r="X72" s="42" t="e">
        <v>#REF!</v>
      </c>
      <c r="Y72" s="31" t="e">
        <v>#REF!</v>
      </c>
    </row>
    <row r="73" spans="1:25">
      <c r="A73" s="30">
        <v>20</v>
      </c>
      <c r="B73" s="30" t="s">
        <v>303</v>
      </c>
      <c r="C73" s="87" t="s">
        <v>98</v>
      </c>
      <c r="D73" s="37" t="s">
        <v>5</v>
      </c>
      <c r="E73" s="38">
        <v>50.980000000000004</v>
      </c>
      <c r="F73" s="73">
        <v>0</v>
      </c>
      <c r="G73" s="73">
        <v>0.11700000000000001</v>
      </c>
      <c r="H73" s="38">
        <v>50.33</v>
      </c>
      <c r="I73" s="48">
        <v>45414</v>
      </c>
      <c r="J73" s="49">
        <v>4995.54</v>
      </c>
      <c r="K73" s="49">
        <v>50409.54</v>
      </c>
      <c r="L73" s="132">
        <v>2285686.62</v>
      </c>
      <c r="M73" s="131">
        <v>2569878.3492000001</v>
      </c>
      <c r="N73" s="131">
        <v>0</v>
      </c>
      <c r="O73" s="131">
        <v>5897.9161800000002</v>
      </c>
      <c r="P73" s="132">
        <v>2537112.1482000002</v>
      </c>
      <c r="Q73" s="40">
        <v>0.65000000000000568</v>
      </c>
      <c r="R73" s="46">
        <v>0.53300000000000569</v>
      </c>
      <c r="S73" s="47">
        <v>50.863000000000007</v>
      </c>
      <c r="T73" s="78">
        <v>0.11700000000000001</v>
      </c>
      <c r="U73" s="6" t="s">
        <v>303</v>
      </c>
      <c r="V73" s="101" t="s">
        <v>212</v>
      </c>
      <c r="W73" s="32"/>
      <c r="X73" s="42" t="e">
        <v>#REF!</v>
      </c>
      <c r="Y73" s="32" t="e">
        <v>#REF!</v>
      </c>
    </row>
    <row r="74" spans="1:25">
      <c r="A74" s="30">
        <v>21</v>
      </c>
      <c r="B74" s="30" t="s">
        <v>303</v>
      </c>
      <c r="C74" s="87" t="s">
        <v>103</v>
      </c>
      <c r="D74" s="37" t="s">
        <v>5</v>
      </c>
      <c r="E74" s="38">
        <v>33.450000000000003</v>
      </c>
      <c r="F74" s="73">
        <v>0</v>
      </c>
      <c r="G74" s="73">
        <v>4.827</v>
      </c>
      <c r="H74" s="38">
        <v>28.78</v>
      </c>
      <c r="I74" s="48">
        <v>114100</v>
      </c>
      <c r="J74" s="49">
        <v>12551</v>
      </c>
      <c r="K74" s="49">
        <v>126651</v>
      </c>
      <c r="L74" s="132">
        <v>3283798</v>
      </c>
      <c r="M74" s="131">
        <v>4236475.95</v>
      </c>
      <c r="N74" s="131">
        <v>0</v>
      </c>
      <c r="O74" s="131">
        <v>611344.37699999998</v>
      </c>
      <c r="P74" s="132">
        <v>3645015.7800000003</v>
      </c>
      <c r="Q74" s="40">
        <v>4.6700000000000017</v>
      </c>
      <c r="R74" s="46">
        <v>-0.15699999999999825</v>
      </c>
      <c r="S74" s="47">
        <v>28.623000000000005</v>
      </c>
      <c r="T74" s="78">
        <v>4.827</v>
      </c>
      <c r="U74" s="6" t="s">
        <v>303</v>
      </c>
      <c r="V74" s="101" t="s">
        <v>212</v>
      </c>
      <c r="W74" s="32"/>
      <c r="X74" s="42" t="e">
        <v>#REF!</v>
      </c>
      <c r="Y74" s="31" t="e">
        <v>#REF!</v>
      </c>
    </row>
    <row r="75" spans="1:25">
      <c r="A75" s="30">
        <v>22</v>
      </c>
      <c r="B75" s="30" t="s">
        <v>303</v>
      </c>
      <c r="C75" s="87" t="s">
        <v>104</v>
      </c>
      <c r="D75" s="37" t="s">
        <v>5</v>
      </c>
      <c r="E75" s="38">
        <v>83.65</v>
      </c>
      <c r="F75" s="73">
        <v>0</v>
      </c>
      <c r="G75" s="73">
        <v>1.117</v>
      </c>
      <c r="H75" s="38">
        <v>83.73</v>
      </c>
      <c r="I75" s="49">
        <v>179300</v>
      </c>
      <c r="J75" s="49">
        <v>19723</v>
      </c>
      <c r="K75" s="49">
        <v>199023</v>
      </c>
      <c r="L75" s="132">
        <v>15012789</v>
      </c>
      <c r="M75" s="131">
        <v>16648273.950000001</v>
      </c>
      <c r="N75" s="131">
        <v>0</v>
      </c>
      <c r="O75" s="131">
        <v>222308.69099999999</v>
      </c>
      <c r="P75" s="132">
        <v>16664195.790000001</v>
      </c>
      <c r="Q75" s="40">
        <v>-7.9999999999998295E-2</v>
      </c>
      <c r="R75" s="46">
        <v>-1.1969999999999983</v>
      </c>
      <c r="S75" s="47">
        <v>82.533000000000001</v>
      </c>
      <c r="T75" s="78">
        <v>1.117</v>
      </c>
      <c r="U75" s="6" t="s">
        <v>303</v>
      </c>
      <c r="V75" s="101" t="s">
        <v>212</v>
      </c>
      <c r="W75" s="32"/>
      <c r="X75" s="42" t="e">
        <v>#REF!</v>
      </c>
      <c r="Y75" s="31" t="e">
        <v>#REF!</v>
      </c>
    </row>
    <row r="76" spans="1:25">
      <c r="A76" s="30">
        <v>23</v>
      </c>
      <c r="B76" s="30" t="s">
        <v>303</v>
      </c>
      <c r="C76" s="87" t="s">
        <v>105</v>
      </c>
      <c r="D76" s="37" t="s">
        <v>5</v>
      </c>
      <c r="E76" s="38">
        <v>76</v>
      </c>
      <c r="F76" s="73">
        <v>0</v>
      </c>
      <c r="G76" s="73">
        <v>0</v>
      </c>
      <c r="H76" s="38">
        <v>75.98</v>
      </c>
      <c r="I76" s="48">
        <v>138100</v>
      </c>
      <c r="J76" s="49">
        <v>15191</v>
      </c>
      <c r="K76" s="49">
        <v>153291</v>
      </c>
      <c r="L76" s="132">
        <v>10492838</v>
      </c>
      <c r="M76" s="131">
        <v>11650116</v>
      </c>
      <c r="N76" s="131">
        <v>0</v>
      </c>
      <c r="O76" s="131">
        <v>0</v>
      </c>
      <c r="P76" s="132">
        <v>11647050.18</v>
      </c>
      <c r="Q76" s="40">
        <v>1.9999999999996021E-2</v>
      </c>
      <c r="R76" s="46">
        <v>1.9999999999996021E-2</v>
      </c>
      <c r="S76" s="47">
        <v>76</v>
      </c>
      <c r="T76" s="78">
        <v>0</v>
      </c>
      <c r="U76" s="6" t="s">
        <v>303</v>
      </c>
      <c r="V76" s="101" t="s">
        <v>212</v>
      </c>
      <c r="W76" s="32"/>
      <c r="X76" s="42" t="e">
        <v>#REF!</v>
      </c>
    </row>
    <row r="77" spans="1:25" ht="15.75" customHeight="1">
      <c r="A77" s="30">
        <v>24</v>
      </c>
      <c r="B77" s="30" t="s">
        <v>303</v>
      </c>
      <c r="C77" s="87" t="s">
        <v>106</v>
      </c>
      <c r="D77" s="37" t="s">
        <v>5</v>
      </c>
      <c r="E77" s="38">
        <v>63.81</v>
      </c>
      <c r="F77" s="73">
        <v>0</v>
      </c>
      <c r="G77" s="73">
        <v>3.4960000000000004</v>
      </c>
      <c r="H77" s="38">
        <v>60</v>
      </c>
      <c r="I77" s="48">
        <v>122610.5</v>
      </c>
      <c r="J77" s="49">
        <v>13487.155000000001</v>
      </c>
      <c r="K77" s="49">
        <v>136097.655</v>
      </c>
      <c r="L77" s="132">
        <v>7356630</v>
      </c>
      <c r="M77" s="131">
        <v>8684391.3655500002</v>
      </c>
      <c r="N77" s="131">
        <v>0</v>
      </c>
      <c r="O77" s="131">
        <v>475797.40188000008</v>
      </c>
      <c r="P77" s="132">
        <v>8165859.2999999998</v>
      </c>
      <c r="Q77" s="40">
        <v>3.8100000000000023</v>
      </c>
      <c r="R77" s="46">
        <v>0.31400000000000183</v>
      </c>
      <c r="S77" s="47">
        <v>60.314</v>
      </c>
      <c r="T77" s="78">
        <v>3.4960000000000004</v>
      </c>
      <c r="U77" s="6" t="s">
        <v>303</v>
      </c>
      <c r="V77" s="101" t="s">
        <v>212</v>
      </c>
      <c r="W77" s="32"/>
      <c r="X77" s="42" t="e">
        <v>#REF!</v>
      </c>
    </row>
    <row r="78" spans="1:25" ht="15.75" customHeight="1">
      <c r="A78" s="30">
        <v>25</v>
      </c>
      <c r="B78" s="30" t="s">
        <v>303</v>
      </c>
      <c r="C78" s="87" t="s">
        <v>71</v>
      </c>
      <c r="D78" s="37" t="s">
        <v>5</v>
      </c>
      <c r="E78" s="38">
        <v>34.83</v>
      </c>
      <c r="F78" s="73">
        <v>0</v>
      </c>
      <c r="G78" s="73">
        <v>4.83</v>
      </c>
      <c r="H78" s="38">
        <v>30</v>
      </c>
      <c r="I78" s="48">
        <v>87915</v>
      </c>
      <c r="J78" s="49">
        <v>9670.65</v>
      </c>
      <c r="K78" s="49">
        <v>97585.65</v>
      </c>
      <c r="L78" s="132">
        <v>2637450</v>
      </c>
      <c r="M78" s="131">
        <v>3398908.1894999999</v>
      </c>
      <c r="N78" s="131">
        <v>0</v>
      </c>
      <c r="O78" s="131">
        <v>471338.68949999998</v>
      </c>
      <c r="P78" s="132">
        <v>2927569.5</v>
      </c>
      <c r="Q78" s="40">
        <v>4.8299999999999983</v>
      </c>
      <c r="R78" s="46">
        <v>0</v>
      </c>
      <c r="S78" s="47">
        <v>30</v>
      </c>
      <c r="T78" s="78">
        <v>4.83</v>
      </c>
      <c r="U78" s="6" t="s">
        <v>303</v>
      </c>
      <c r="V78" s="101" t="s">
        <v>212</v>
      </c>
      <c r="W78" s="32"/>
      <c r="X78" s="42" t="e">
        <v>#REF!</v>
      </c>
    </row>
    <row r="79" spans="1:25">
      <c r="A79" s="30">
        <v>26</v>
      </c>
      <c r="B79" s="30" t="s">
        <v>303</v>
      </c>
      <c r="C79" s="87" t="s">
        <v>211</v>
      </c>
      <c r="D79" s="37" t="s">
        <v>5</v>
      </c>
      <c r="E79" s="38">
        <v>17.96</v>
      </c>
      <c r="F79" s="73">
        <v>0</v>
      </c>
      <c r="G79" s="73">
        <v>0</v>
      </c>
      <c r="H79" s="38">
        <v>17.79</v>
      </c>
      <c r="I79" s="48">
        <v>135675</v>
      </c>
      <c r="J79" s="49">
        <v>14924.25</v>
      </c>
      <c r="K79" s="49">
        <v>150599.25</v>
      </c>
      <c r="L79" s="132">
        <v>2413658.25</v>
      </c>
      <c r="M79" s="131">
        <v>2704762.5300000003</v>
      </c>
      <c r="N79" s="131">
        <v>0</v>
      </c>
      <c r="O79" s="131">
        <v>0</v>
      </c>
      <c r="P79" s="132">
        <v>2679160.6574999997</v>
      </c>
      <c r="Q79" s="40">
        <v>0.17000000000000171</v>
      </c>
      <c r="R79" s="46">
        <v>0.17000000000000171</v>
      </c>
      <c r="S79" s="47">
        <v>17.96</v>
      </c>
      <c r="T79" s="78">
        <v>0</v>
      </c>
      <c r="U79" s="6" t="s">
        <v>303</v>
      </c>
      <c r="V79" s="101" t="s">
        <v>212</v>
      </c>
      <c r="W79" s="32"/>
      <c r="X79" s="42" t="e">
        <v>#REF!</v>
      </c>
    </row>
    <row r="80" spans="1:25">
      <c r="A80" s="30">
        <v>27</v>
      </c>
      <c r="B80" s="30" t="s">
        <v>303</v>
      </c>
      <c r="C80" s="87" t="s">
        <v>107</v>
      </c>
      <c r="D80" s="37" t="s">
        <v>5</v>
      </c>
      <c r="E80" s="38">
        <v>51.269999999999996</v>
      </c>
      <c r="F80" s="73">
        <v>0</v>
      </c>
      <c r="G80" s="73">
        <v>4.5289999999999999</v>
      </c>
      <c r="H80" s="38">
        <v>45.86</v>
      </c>
      <c r="I80" s="49">
        <v>113785</v>
      </c>
      <c r="J80" s="49">
        <v>12516.35</v>
      </c>
      <c r="K80" s="49">
        <v>126301.35</v>
      </c>
      <c r="L80" s="132">
        <v>5218180.0999999996</v>
      </c>
      <c r="M80" s="131">
        <v>6475470.2144999998</v>
      </c>
      <c r="N80" s="131">
        <v>0</v>
      </c>
      <c r="O80" s="131">
        <v>572018.81414999999</v>
      </c>
      <c r="P80" s="132">
        <v>5792179.9110000003</v>
      </c>
      <c r="Q80" s="40">
        <v>5.4099999999999966</v>
      </c>
      <c r="R80" s="46">
        <v>0.88099999999999667</v>
      </c>
      <c r="S80" s="47">
        <v>46.741</v>
      </c>
      <c r="T80" s="78">
        <v>4.5289999999999999</v>
      </c>
      <c r="U80" s="6" t="s">
        <v>303</v>
      </c>
      <c r="V80" s="101" t="s">
        <v>212</v>
      </c>
      <c r="W80" s="32"/>
      <c r="X80" s="42" t="e">
        <v>#REF!</v>
      </c>
      <c r="Y80" s="31" t="e">
        <v>#REF!</v>
      </c>
    </row>
    <row r="81" spans="1:25">
      <c r="A81" s="30">
        <v>28</v>
      </c>
      <c r="B81" s="30" t="s">
        <v>303</v>
      </c>
      <c r="C81" s="87" t="s">
        <v>108</v>
      </c>
      <c r="D81" s="37" t="s">
        <v>5</v>
      </c>
      <c r="E81" s="38">
        <v>45.54</v>
      </c>
      <c r="F81" s="73">
        <v>0</v>
      </c>
      <c r="G81" s="73">
        <v>0</v>
      </c>
      <c r="H81" s="38">
        <v>45.25</v>
      </c>
      <c r="I81" s="48">
        <v>95958</v>
      </c>
      <c r="J81" s="49">
        <v>10555.38</v>
      </c>
      <c r="K81" s="49">
        <v>106513.38</v>
      </c>
      <c r="L81" s="132">
        <v>4342099.5</v>
      </c>
      <c r="M81" s="131">
        <v>4850619.3251999998</v>
      </c>
      <c r="N81" s="131">
        <v>0</v>
      </c>
      <c r="O81" s="131">
        <v>0</v>
      </c>
      <c r="P81" s="132">
        <v>4819730.4450000003</v>
      </c>
      <c r="Q81" s="40">
        <v>0.28999999999999915</v>
      </c>
      <c r="R81" s="46">
        <v>0.28999999999999915</v>
      </c>
      <c r="S81" s="47">
        <v>45.54</v>
      </c>
      <c r="T81" s="78">
        <v>0</v>
      </c>
      <c r="U81" s="6" t="s">
        <v>303</v>
      </c>
      <c r="V81" s="101" t="s">
        <v>212</v>
      </c>
      <c r="W81" s="32"/>
      <c r="X81" s="42" t="e">
        <v>#REF!</v>
      </c>
    </row>
    <row r="82" spans="1:25" ht="15.75" customHeight="1">
      <c r="A82" s="30">
        <v>29</v>
      </c>
      <c r="B82" s="30" t="s">
        <v>303</v>
      </c>
      <c r="C82" s="87" t="s">
        <v>109</v>
      </c>
      <c r="D82" s="37" t="s">
        <v>5</v>
      </c>
      <c r="E82" s="38">
        <v>41.75</v>
      </c>
      <c r="F82" s="73">
        <v>0</v>
      </c>
      <c r="G82" s="73">
        <v>0.311</v>
      </c>
      <c r="H82" s="38">
        <v>40.83</v>
      </c>
      <c r="I82" s="48">
        <v>156750</v>
      </c>
      <c r="J82" s="49">
        <v>17242.5</v>
      </c>
      <c r="K82" s="49">
        <v>173992.5</v>
      </c>
      <c r="L82" s="132">
        <v>6400102.5</v>
      </c>
      <c r="M82" s="131">
        <v>7264186.875</v>
      </c>
      <c r="N82" s="131">
        <v>0</v>
      </c>
      <c r="O82" s="131">
        <v>54111.667500000003</v>
      </c>
      <c r="P82" s="132">
        <v>7104113.7749999994</v>
      </c>
      <c r="Q82" s="40">
        <v>0.92000000000000171</v>
      </c>
      <c r="R82" s="46">
        <v>0.60900000000000176</v>
      </c>
      <c r="S82" s="47">
        <v>41.439</v>
      </c>
      <c r="T82" s="78">
        <v>0.311</v>
      </c>
      <c r="U82" s="6" t="s">
        <v>303</v>
      </c>
      <c r="V82" s="101" t="s">
        <v>212</v>
      </c>
      <c r="W82" s="32"/>
      <c r="X82" s="42" t="e">
        <v>#REF!</v>
      </c>
    </row>
    <row r="83" spans="1:25" ht="15.75" customHeight="1">
      <c r="A83" s="30">
        <v>30</v>
      </c>
      <c r="B83" s="30" t="s">
        <v>303</v>
      </c>
      <c r="C83" s="87" t="s">
        <v>110</v>
      </c>
      <c r="D83" s="37" t="s">
        <v>5</v>
      </c>
      <c r="E83" s="38">
        <v>49.239999999999995</v>
      </c>
      <c r="F83" s="73">
        <v>0</v>
      </c>
      <c r="G83" s="73">
        <v>5.8800000000000008</v>
      </c>
      <c r="H83" s="38">
        <v>43.3</v>
      </c>
      <c r="I83" s="49">
        <v>138978</v>
      </c>
      <c r="J83" s="49">
        <v>15287.58</v>
      </c>
      <c r="K83" s="49">
        <v>154265.57999999999</v>
      </c>
      <c r="L83" s="132">
        <v>6017747.3999999994</v>
      </c>
      <c r="M83" s="131">
        <v>7596037.1591999987</v>
      </c>
      <c r="N83" s="131">
        <v>0</v>
      </c>
      <c r="O83" s="131">
        <v>907081.61040000001</v>
      </c>
      <c r="P83" s="132">
        <v>6679699.6139999991</v>
      </c>
      <c r="Q83" s="40">
        <v>5.9399999999999977</v>
      </c>
      <c r="R83" s="46">
        <v>5.9999999999996945E-2</v>
      </c>
      <c r="S83" s="47">
        <v>43.359999999999992</v>
      </c>
      <c r="T83" s="78">
        <v>5.8800000000000008</v>
      </c>
      <c r="U83" s="6" t="s">
        <v>303</v>
      </c>
      <c r="V83" s="101" t="s">
        <v>212</v>
      </c>
      <c r="W83" s="32"/>
      <c r="X83" s="42" t="e">
        <v>#REF!</v>
      </c>
      <c r="Y83" s="31" t="e">
        <v>#REF!</v>
      </c>
    </row>
    <row r="84" spans="1:25">
      <c r="A84" s="30">
        <v>31</v>
      </c>
      <c r="B84" s="30" t="s">
        <v>303</v>
      </c>
      <c r="C84" s="87" t="s">
        <v>111</v>
      </c>
      <c r="D84" s="37" t="s">
        <v>5</v>
      </c>
      <c r="E84" s="38">
        <v>30</v>
      </c>
      <c r="F84" s="73">
        <v>0</v>
      </c>
      <c r="G84" s="73">
        <v>0</v>
      </c>
      <c r="H84" s="38">
        <v>30</v>
      </c>
      <c r="I84" s="48">
        <v>67525</v>
      </c>
      <c r="J84" s="49">
        <v>7427.75</v>
      </c>
      <c r="K84" s="49">
        <v>74952.75</v>
      </c>
      <c r="L84" s="132">
        <v>2025750</v>
      </c>
      <c r="M84" s="131">
        <v>2248582.5</v>
      </c>
      <c r="N84" s="131">
        <v>0</v>
      </c>
      <c r="O84" s="131">
        <v>0</v>
      </c>
      <c r="P84" s="132">
        <v>2248582.5</v>
      </c>
      <c r="Q84" s="40">
        <v>0</v>
      </c>
      <c r="R84" s="46">
        <v>0</v>
      </c>
      <c r="S84" s="47">
        <v>30</v>
      </c>
      <c r="T84" s="78">
        <v>0</v>
      </c>
      <c r="U84" s="6" t="s">
        <v>303</v>
      </c>
      <c r="V84" s="101" t="s">
        <v>212</v>
      </c>
      <c r="W84" s="32"/>
      <c r="X84" s="42" t="e">
        <v>#REF!</v>
      </c>
    </row>
    <row r="85" spans="1:25">
      <c r="A85" s="30">
        <v>32</v>
      </c>
      <c r="B85" s="30" t="s">
        <v>303</v>
      </c>
      <c r="C85" s="87" t="s">
        <v>112</v>
      </c>
      <c r="D85" s="37" t="s">
        <v>5</v>
      </c>
      <c r="E85" s="38">
        <v>31.5</v>
      </c>
      <c r="F85" s="73">
        <v>0</v>
      </c>
      <c r="G85" s="73">
        <v>1.5</v>
      </c>
      <c r="H85" s="38">
        <v>31.5</v>
      </c>
      <c r="I85" s="48">
        <v>258403</v>
      </c>
      <c r="J85" s="49">
        <v>28424.33</v>
      </c>
      <c r="K85" s="49">
        <v>286827.33</v>
      </c>
      <c r="L85" s="132">
        <v>8139694.5</v>
      </c>
      <c r="M85" s="131">
        <v>9035060.8950000014</v>
      </c>
      <c r="N85" s="131">
        <v>0</v>
      </c>
      <c r="O85" s="131">
        <v>430240.995</v>
      </c>
      <c r="P85" s="132">
        <v>9035060.8950000014</v>
      </c>
      <c r="Q85" s="40">
        <v>0</v>
      </c>
      <c r="R85" s="46">
        <v>-1.5</v>
      </c>
      <c r="S85" s="47">
        <v>30</v>
      </c>
      <c r="T85" s="78">
        <v>1.5</v>
      </c>
      <c r="U85" s="6" t="s">
        <v>303</v>
      </c>
      <c r="V85" s="101" t="s">
        <v>212</v>
      </c>
      <c r="W85" s="32"/>
      <c r="X85" s="42" t="e">
        <v>#REF!</v>
      </c>
    </row>
    <row r="86" spans="1:25">
      <c r="A86" s="30">
        <v>33</v>
      </c>
      <c r="B86" s="30" t="s">
        <v>303</v>
      </c>
      <c r="C86" s="87" t="s">
        <v>113</v>
      </c>
      <c r="D86" s="37" t="s">
        <v>5</v>
      </c>
      <c r="E86" s="38">
        <v>46.14</v>
      </c>
      <c r="F86" s="73">
        <v>0</v>
      </c>
      <c r="G86" s="73">
        <v>20.352999999999998</v>
      </c>
      <c r="H86" s="38">
        <v>25.68</v>
      </c>
      <c r="I86" s="49">
        <v>57050</v>
      </c>
      <c r="J86" s="49">
        <v>6275.5</v>
      </c>
      <c r="K86" s="49">
        <v>63325.5</v>
      </c>
      <c r="L86" s="132">
        <v>1465044</v>
      </c>
      <c r="M86" s="131">
        <v>2921838.57</v>
      </c>
      <c r="N86" s="131">
        <v>0</v>
      </c>
      <c r="O86" s="131">
        <v>1288863.9014999999</v>
      </c>
      <c r="P86" s="132">
        <v>1626198.84</v>
      </c>
      <c r="Q86" s="40">
        <v>20.46</v>
      </c>
      <c r="R86" s="46">
        <v>0.10700000000000287</v>
      </c>
      <c r="S86" s="47">
        <v>25.787000000000003</v>
      </c>
      <c r="T86" s="78">
        <v>20.352999999999998</v>
      </c>
      <c r="U86" s="6" t="s">
        <v>303</v>
      </c>
      <c r="V86" s="101" t="s">
        <v>212</v>
      </c>
      <c r="W86" s="32"/>
      <c r="X86" s="42" t="e">
        <v>#REF!</v>
      </c>
      <c r="Y86" s="31" t="e">
        <v>#REF!</v>
      </c>
    </row>
    <row r="87" spans="1:25">
      <c r="A87" s="30"/>
      <c r="B87" s="30"/>
      <c r="C87" s="87"/>
      <c r="D87" s="37"/>
      <c r="E87" s="172">
        <v>4312.5999999999995</v>
      </c>
      <c r="F87" s="172">
        <v>1500</v>
      </c>
      <c r="G87" s="172">
        <v>1966.4229999999998</v>
      </c>
      <c r="H87" s="172">
        <v>3846.8100000000004</v>
      </c>
      <c r="I87" s="49"/>
      <c r="J87" s="49"/>
      <c r="K87" s="49"/>
      <c r="L87" s="168">
        <v>404238728.50799996</v>
      </c>
      <c r="M87" s="168">
        <v>513539189.31188995</v>
      </c>
      <c r="N87" s="168">
        <v>97408272</v>
      </c>
      <c r="O87" s="168">
        <v>162919987.09028402</v>
      </c>
      <c r="P87" s="168">
        <v>448704988.64388001</v>
      </c>
      <c r="Q87" s="40"/>
      <c r="S87" s="47"/>
      <c r="V87" s="101"/>
      <c r="W87" s="32"/>
      <c r="X87" s="42" t="e">
        <v>#REF!</v>
      </c>
      <c r="Y87" s="32"/>
    </row>
    <row r="88" spans="1:25">
      <c r="A88" s="30"/>
      <c r="B88" s="30"/>
      <c r="C88" s="87"/>
      <c r="D88" s="37"/>
      <c r="E88" s="38"/>
      <c r="F88" s="73"/>
      <c r="G88" s="73"/>
      <c r="H88" s="38"/>
      <c r="I88" s="49"/>
      <c r="J88" s="49"/>
      <c r="K88" s="49"/>
      <c r="L88" s="132"/>
      <c r="M88" s="132"/>
      <c r="N88" s="132"/>
      <c r="O88" s="132"/>
      <c r="P88" s="132"/>
      <c r="Q88" s="40"/>
      <c r="S88" s="47"/>
      <c r="V88" s="101"/>
      <c r="W88" s="32"/>
      <c r="X88" s="42" t="e">
        <v>#REF!</v>
      </c>
      <c r="Y88" s="32"/>
    </row>
    <row r="89" spans="1:25">
      <c r="A89" s="30">
        <v>1</v>
      </c>
      <c r="B89" s="30" t="s">
        <v>768</v>
      </c>
      <c r="C89" s="87" t="s">
        <v>48</v>
      </c>
      <c r="D89" s="37" t="s">
        <v>6</v>
      </c>
      <c r="E89" s="183">
        <v>228</v>
      </c>
      <c r="F89" s="182">
        <v>200</v>
      </c>
      <c r="G89" s="182">
        <v>168</v>
      </c>
      <c r="H89" s="183">
        <v>260</v>
      </c>
      <c r="I89" s="49">
        <v>18500</v>
      </c>
      <c r="J89" s="49">
        <v>2035</v>
      </c>
      <c r="K89" s="49">
        <v>20535</v>
      </c>
      <c r="L89" s="132">
        <v>4810000</v>
      </c>
      <c r="M89" s="131">
        <v>4681980</v>
      </c>
      <c r="N89" s="131">
        <v>4107000</v>
      </c>
      <c r="O89" s="131">
        <v>3449880</v>
      </c>
      <c r="P89" s="132">
        <v>5339100</v>
      </c>
      <c r="Q89" s="40">
        <v>168</v>
      </c>
      <c r="R89" s="46">
        <v>0</v>
      </c>
      <c r="S89" s="47">
        <v>260</v>
      </c>
      <c r="T89" s="78">
        <v>168</v>
      </c>
      <c r="U89" s="6" t="s">
        <v>336</v>
      </c>
      <c r="V89" s="101" t="s">
        <v>216</v>
      </c>
      <c r="W89" s="32"/>
      <c r="X89" s="42" t="e">
        <v>#REF!</v>
      </c>
      <c r="Y89" s="31" t="e">
        <v>#REF!</v>
      </c>
    </row>
    <row r="90" spans="1:25">
      <c r="A90" s="30">
        <v>2</v>
      </c>
      <c r="B90" s="30" t="s">
        <v>768</v>
      </c>
      <c r="C90" s="87" t="s">
        <v>72</v>
      </c>
      <c r="D90" s="37" t="s">
        <v>5</v>
      </c>
      <c r="E90" s="183">
        <v>50</v>
      </c>
      <c r="F90" s="182">
        <v>200</v>
      </c>
      <c r="G90" s="182">
        <v>200</v>
      </c>
      <c r="H90" s="183">
        <v>50</v>
      </c>
      <c r="I90" s="48">
        <v>113890</v>
      </c>
      <c r="J90" s="49">
        <v>12527.9</v>
      </c>
      <c r="K90" s="49">
        <v>126417.9</v>
      </c>
      <c r="L90" s="132">
        <v>5694500</v>
      </c>
      <c r="M90" s="131">
        <v>6363630</v>
      </c>
      <c r="N90" s="131">
        <v>25283580</v>
      </c>
      <c r="O90" s="131">
        <v>25283580</v>
      </c>
      <c r="P90" s="132">
        <v>6320895</v>
      </c>
      <c r="Q90" s="40">
        <v>200</v>
      </c>
      <c r="R90" s="46">
        <v>0</v>
      </c>
      <c r="S90" s="47">
        <v>50</v>
      </c>
      <c r="T90" s="78">
        <v>200</v>
      </c>
      <c r="U90" s="6" t="s">
        <v>336</v>
      </c>
      <c r="V90" s="101" t="s">
        <v>220</v>
      </c>
      <c r="W90" s="32"/>
      <c r="X90" s="42" t="e">
        <v>#REF!</v>
      </c>
      <c r="Y90" s="31" t="e">
        <v>#REF!</v>
      </c>
    </row>
    <row r="91" spans="1:25">
      <c r="A91" s="30">
        <v>3</v>
      </c>
      <c r="B91" s="30" t="s">
        <v>768</v>
      </c>
      <c r="C91" s="87" t="s">
        <v>54</v>
      </c>
      <c r="D91" s="37" t="s">
        <v>5</v>
      </c>
      <c r="E91" s="183">
        <v>105</v>
      </c>
      <c r="F91" s="182">
        <v>105</v>
      </c>
      <c r="G91" s="182">
        <v>210</v>
      </c>
      <c r="H91" s="183">
        <v>0</v>
      </c>
      <c r="I91" s="48">
        <v>35000</v>
      </c>
      <c r="J91" s="49">
        <v>3850</v>
      </c>
      <c r="K91" s="49">
        <v>38850</v>
      </c>
      <c r="L91" s="132">
        <v>0</v>
      </c>
      <c r="M91" s="131">
        <v>4079250</v>
      </c>
      <c r="N91" s="131">
        <v>4079250</v>
      </c>
      <c r="O91" s="131">
        <v>8158500</v>
      </c>
      <c r="P91" s="132">
        <v>0</v>
      </c>
      <c r="Q91" s="40">
        <v>210</v>
      </c>
      <c r="R91" s="46">
        <v>0</v>
      </c>
      <c r="S91" s="47">
        <v>0</v>
      </c>
      <c r="T91" s="78">
        <v>210</v>
      </c>
      <c r="U91" s="6" t="s">
        <v>336</v>
      </c>
      <c r="V91" s="101" t="s">
        <v>222</v>
      </c>
      <c r="W91" s="32"/>
      <c r="X91" s="42" t="e">
        <v>#REF!</v>
      </c>
      <c r="Y91" s="31" t="e">
        <v>#REF!</v>
      </c>
    </row>
    <row r="92" spans="1:25">
      <c r="A92" s="30">
        <v>4</v>
      </c>
      <c r="B92" s="30" t="s">
        <v>768</v>
      </c>
      <c r="C92" s="87" t="s">
        <v>50</v>
      </c>
      <c r="D92" s="37" t="s">
        <v>5</v>
      </c>
      <c r="E92" s="183">
        <v>100</v>
      </c>
      <c r="F92" s="182">
        <v>0</v>
      </c>
      <c r="G92" s="182">
        <v>0</v>
      </c>
      <c r="H92" s="183">
        <v>100</v>
      </c>
      <c r="I92" s="49">
        <v>74500</v>
      </c>
      <c r="J92" s="49">
        <v>8195</v>
      </c>
      <c r="K92" s="49">
        <v>82695</v>
      </c>
      <c r="L92" s="132">
        <v>7450000</v>
      </c>
      <c r="M92" s="131">
        <v>8269500</v>
      </c>
      <c r="N92" s="131">
        <v>0</v>
      </c>
      <c r="O92" s="131">
        <v>0</v>
      </c>
      <c r="P92" s="132">
        <v>8269500</v>
      </c>
      <c r="Q92" s="40">
        <v>0</v>
      </c>
      <c r="R92" s="46">
        <v>0</v>
      </c>
      <c r="S92" s="47">
        <v>100</v>
      </c>
      <c r="T92" s="78">
        <v>0</v>
      </c>
      <c r="U92" s="6" t="s">
        <v>336</v>
      </c>
      <c r="V92" s="101" t="s">
        <v>210</v>
      </c>
      <c r="W92" s="32"/>
      <c r="X92" s="42" t="e">
        <v>#REF!</v>
      </c>
    </row>
    <row r="93" spans="1:25">
      <c r="A93" s="30">
        <v>5</v>
      </c>
      <c r="B93" s="30" t="s">
        <v>768</v>
      </c>
      <c r="C93" s="87" t="s">
        <v>66</v>
      </c>
      <c r="D93" s="37" t="s">
        <v>5</v>
      </c>
      <c r="E93" s="183">
        <v>200</v>
      </c>
      <c r="F93" s="182">
        <v>0</v>
      </c>
      <c r="G93" s="182">
        <v>160</v>
      </c>
      <c r="H93" s="183">
        <v>40</v>
      </c>
      <c r="I93" s="49">
        <v>64000</v>
      </c>
      <c r="J93" s="49"/>
      <c r="K93" s="49">
        <v>64000</v>
      </c>
      <c r="L93" s="132">
        <v>2560000</v>
      </c>
      <c r="M93" s="131">
        <v>12800000</v>
      </c>
      <c r="N93" s="131">
        <v>0</v>
      </c>
      <c r="O93" s="131">
        <v>10240000</v>
      </c>
      <c r="P93" s="132">
        <v>2560000</v>
      </c>
      <c r="Q93" s="40">
        <v>160</v>
      </c>
      <c r="R93" s="46">
        <v>0</v>
      </c>
      <c r="S93" s="47">
        <v>40</v>
      </c>
      <c r="T93" s="78">
        <v>160</v>
      </c>
      <c r="U93" s="6" t="s">
        <v>336</v>
      </c>
      <c r="V93" s="101" t="s">
        <v>210</v>
      </c>
      <c r="W93" s="32"/>
      <c r="X93" s="42" t="e">
        <v>#REF!</v>
      </c>
      <c r="Y93" s="31" t="e">
        <v>#REF!</v>
      </c>
    </row>
    <row r="94" spans="1:25">
      <c r="A94" s="30">
        <v>6</v>
      </c>
      <c r="B94" s="30" t="s">
        <v>768</v>
      </c>
      <c r="C94" s="87" t="s">
        <v>56</v>
      </c>
      <c r="D94" s="37" t="s">
        <v>5</v>
      </c>
      <c r="E94" s="183">
        <v>50</v>
      </c>
      <c r="F94" s="182">
        <v>50</v>
      </c>
      <c r="G94" s="182">
        <v>100</v>
      </c>
      <c r="H94" s="183">
        <v>0</v>
      </c>
      <c r="I94" s="49">
        <v>75000</v>
      </c>
      <c r="J94" s="49">
        <v>8250</v>
      </c>
      <c r="K94" s="49">
        <v>83250</v>
      </c>
      <c r="L94" s="132">
        <v>0</v>
      </c>
      <c r="M94" s="131">
        <v>4162500</v>
      </c>
      <c r="N94" s="131">
        <v>4162500</v>
      </c>
      <c r="O94" s="131">
        <v>8325000</v>
      </c>
      <c r="P94" s="132">
        <v>0</v>
      </c>
      <c r="Q94" s="40">
        <v>100</v>
      </c>
      <c r="R94" s="46">
        <v>0</v>
      </c>
      <c r="S94" s="47">
        <v>0</v>
      </c>
      <c r="T94" s="78">
        <v>100</v>
      </c>
      <c r="U94" s="6" t="s">
        <v>336</v>
      </c>
      <c r="V94" s="101" t="s">
        <v>210</v>
      </c>
      <c r="W94" s="32"/>
      <c r="X94" s="42" t="e">
        <v>#REF!</v>
      </c>
      <c r="Y94" s="31" t="e">
        <v>#REF!</v>
      </c>
    </row>
    <row r="95" spans="1:25">
      <c r="A95" s="30">
        <v>7</v>
      </c>
      <c r="B95" s="30" t="s">
        <v>768</v>
      </c>
      <c r="C95" s="87" t="s">
        <v>52</v>
      </c>
      <c r="D95" s="37" t="s">
        <v>5</v>
      </c>
      <c r="E95" s="183">
        <v>300</v>
      </c>
      <c r="F95" s="182">
        <v>1200</v>
      </c>
      <c r="G95" s="182">
        <v>1500</v>
      </c>
      <c r="H95" s="183">
        <v>0</v>
      </c>
      <c r="I95" s="49">
        <v>17000</v>
      </c>
      <c r="J95" s="49">
        <v>1870</v>
      </c>
      <c r="K95" s="49">
        <v>18870</v>
      </c>
      <c r="L95" s="132">
        <v>0</v>
      </c>
      <c r="M95" s="131">
        <v>5661000</v>
      </c>
      <c r="N95" s="131">
        <v>22644000</v>
      </c>
      <c r="O95" s="131">
        <v>28305000</v>
      </c>
      <c r="P95" s="132">
        <v>0</v>
      </c>
      <c r="Q95" s="40">
        <v>1500</v>
      </c>
      <c r="R95" s="46">
        <v>0</v>
      </c>
      <c r="S95" s="47">
        <v>0</v>
      </c>
      <c r="T95" s="78">
        <v>1500</v>
      </c>
      <c r="U95" s="6" t="s">
        <v>336</v>
      </c>
      <c r="V95" s="101" t="s">
        <v>210</v>
      </c>
      <c r="W95" s="32"/>
      <c r="X95" s="42" t="e">
        <v>#REF!</v>
      </c>
      <c r="Y95" s="31" t="e">
        <v>#REF!</v>
      </c>
    </row>
    <row r="96" spans="1:25">
      <c r="A96" s="30"/>
      <c r="B96" s="30"/>
      <c r="C96" s="87"/>
      <c r="D96" s="37"/>
      <c r="E96" s="184">
        <v>1033</v>
      </c>
      <c r="F96" s="184">
        <v>1755</v>
      </c>
      <c r="G96" s="184">
        <v>2338</v>
      </c>
      <c r="H96" s="184">
        <v>450</v>
      </c>
      <c r="I96" s="49"/>
      <c r="J96" s="49"/>
      <c r="K96" s="49"/>
      <c r="L96" s="168">
        <v>20514500</v>
      </c>
      <c r="M96" s="168">
        <v>46017860</v>
      </c>
      <c r="N96" s="168">
        <v>60276330</v>
      </c>
      <c r="O96" s="168">
        <v>83761960</v>
      </c>
      <c r="P96" s="168">
        <v>22489495</v>
      </c>
      <c r="Q96" s="40"/>
      <c r="S96" s="47"/>
      <c r="V96" s="101"/>
      <c r="W96" s="32"/>
      <c r="X96" s="42" t="e">
        <v>#REF!</v>
      </c>
      <c r="Y96" s="31"/>
    </row>
    <row r="97" spans="1:25">
      <c r="A97" s="30"/>
      <c r="B97" s="30"/>
      <c r="C97" s="87"/>
      <c r="D97" s="37"/>
      <c r="E97" s="183"/>
      <c r="F97" s="182"/>
      <c r="G97" s="182"/>
      <c r="H97" s="183"/>
      <c r="I97" s="49"/>
      <c r="J97" s="49"/>
      <c r="K97" s="49"/>
      <c r="L97" s="132"/>
      <c r="M97" s="132"/>
      <c r="N97" s="132"/>
      <c r="O97" s="132"/>
      <c r="P97" s="132"/>
      <c r="Q97" s="40"/>
      <c r="S97" s="47"/>
      <c r="V97" s="101"/>
      <c r="W97" s="32"/>
      <c r="X97" s="42" t="e">
        <v>#REF!</v>
      </c>
      <c r="Y97" s="31"/>
    </row>
    <row r="98" spans="1:25">
      <c r="A98" s="30">
        <v>1</v>
      </c>
      <c r="B98" s="30" t="s">
        <v>298</v>
      </c>
      <c r="C98" s="87" t="s">
        <v>47</v>
      </c>
      <c r="D98" s="37" t="s">
        <v>5</v>
      </c>
      <c r="E98" s="183">
        <v>137</v>
      </c>
      <c r="F98" s="182">
        <v>0</v>
      </c>
      <c r="G98" s="182">
        <v>38</v>
      </c>
      <c r="H98" s="183">
        <v>99.5</v>
      </c>
      <c r="I98" s="49">
        <v>13000</v>
      </c>
      <c r="J98" s="49">
        <v>1430</v>
      </c>
      <c r="K98" s="49">
        <v>14430</v>
      </c>
      <c r="L98" s="132">
        <v>1293500</v>
      </c>
      <c r="M98" s="131">
        <v>1976910</v>
      </c>
      <c r="N98" s="131">
        <v>0</v>
      </c>
      <c r="O98" s="131">
        <v>548340</v>
      </c>
      <c r="P98" s="132">
        <v>1435785</v>
      </c>
      <c r="Q98" s="40">
        <v>37.5</v>
      </c>
      <c r="R98" s="46">
        <v>-0.5</v>
      </c>
      <c r="S98" s="47">
        <v>99</v>
      </c>
      <c r="T98" s="78">
        <v>38</v>
      </c>
      <c r="U98" s="6" t="s">
        <v>298</v>
      </c>
      <c r="V98" s="101" t="s">
        <v>215</v>
      </c>
      <c r="W98" s="32"/>
      <c r="X98" s="42" t="e">
        <v>#REF!</v>
      </c>
      <c r="Y98" s="31" t="e">
        <v>#REF!</v>
      </c>
    </row>
    <row r="99" spans="1:25">
      <c r="A99" s="30">
        <v>2</v>
      </c>
      <c r="B99" s="30" t="s">
        <v>298</v>
      </c>
      <c r="C99" s="87" t="s">
        <v>67</v>
      </c>
      <c r="D99" s="37" t="s">
        <v>5</v>
      </c>
      <c r="E99" s="186">
        <v>120</v>
      </c>
      <c r="F99" s="182">
        <v>0</v>
      </c>
      <c r="G99" s="182">
        <v>0.5</v>
      </c>
      <c r="H99" s="186">
        <v>120</v>
      </c>
      <c r="I99" s="48">
        <v>105773</v>
      </c>
      <c r="J99" s="49">
        <v>11635.03</v>
      </c>
      <c r="K99" s="49">
        <v>117408.03</v>
      </c>
      <c r="L99" s="132">
        <v>12692760</v>
      </c>
      <c r="M99" s="131">
        <v>14088963.6</v>
      </c>
      <c r="N99" s="131">
        <v>0</v>
      </c>
      <c r="O99" s="131">
        <v>58704.014999999999</v>
      </c>
      <c r="P99" s="132">
        <v>14088963.6</v>
      </c>
      <c r="Q99" s="40">
        <v>0</v>
      </c>
      <c r="R99" s="46">
        <v>-0.5</v>
      </c>
      <c r="S99" s="47">
        <v>119.5</v>
      </c>
      <c r="T99" s="78">
        <v>0.5</v>
      </c>
      <c r="U99" s="6" t="s">
        <v>298</v>
      </c>
      <c r="V99" s="101" t="s">
        <v>212</v>
      </c>
      <c r="W99" s="32"/>
      <c r="X99" s="42" t="e">
        <v>#REF!</v>
      </c>
    </row>
    <row r="100" spans="1:25">
      <c r="A100" s="30">
        <v>3</v>
      </c>
      <c r="B100" s="30" t="s">
        <v>298</v>
      </c>
      <c r="C100" s="87" t="s">
        <v>244</v>
      </c>
      <c r="D100" s="37" t="s">
        <v>5</v>
      </c>
      <c r="E100" s="183">
        <v>50</v>
      </c>
      <c r="F100" s="182">
        <v>0</v>
      </c>
      <c r="G100" s="182">
        <v>0</v>
      </c>
      <c r="H100" s="183">
        <v>50</v>
      </c>
      <c r="I100" s="48">
        <v>70326</v>
      </c>
      <c r="J100" s="49">
        <v>7735.86</v>
      </c>
      <c r="K100" s="49">
        <v>78061.86</v>
      </c>
      <c r="L100" s="132">
        <v>3516300</v>
      </c>
      <c r="M100" s="131">
        <v>3903093</v>
      </c>
      <c r="N100" s="131">
        <v>0</v>
      </c>
      <c r="O100" s="131">
        <v>0</v>
      </c>
      <c r="P100" s="132">
        <v>3903093</v>
      </c>
      <c r="Q100" s="40">
        <v>0</v>
      </c>
      <c r="R100" s="46">
        <v>0</v>
      </c>
      <c r="S100" s="47">
        <v>50</v>
      </c>
      <c r="T100" s="78">
        <v>0</v>
      </c>
      <c r="U100" s="6" t="s">
        <v>298</v>
      </c>
      <c r="V100" s="101" t="s">
        <v>212</v>
      </c>
      <c r="W100" s="32"/>
      <c r="X100" s="42" t="e">
        <v>#REF!</v>
      </c>
    </row>
    <row r="101" spans="1:25">
      <c r="A101" s="30">
        <v>4</v>
      </c>
      <c r="B101" s="30" t="s">
        <v>298</v>
      </c>
      <c r="C101" s="87" t="s">
        <v>25</v>
      </c>
      <c r="D101" s="37" t="s">
        <v>5</v>
      </c>
      <c r="E101" s="183">
        <v>137</v>
      </c>
      <c r="F101" s="182">
        <v>0</v>
      </c>
      <c r="G101" s="182">
        <v>0</v>
      </c>
      <c r="H101" s="183">
        <v>137</v>
      </c>
      <c r="I101" s="48">
        <v>10049.040000000001</v>
      </c>
      <c r="J101" s="49">
        <v>1105.3944000000001</v>
      </c>
      <c r="K101" s="49">
        <v>11154.434400000002</v>
      </c>
      <c r="L101" s="132">
        <v>1376718.4800000002</v>
      </c>
      <c r="M101" s="131">
        <v>1528157.5128000004</v>
      </c>
      <c r="N101" s="131">
        <v>0</v>
      </c>
      <c r="O101" s="131">
        <v>0</v>
      </c>
      <c r="P101" s="132">
        <v>1528157.5128000004</v>
      </c>
      <c r="Q101" s="40">
        <v>0</v>
      </c>
      <c r="R101" s="46">
        <v>0</v>
      </c>
      <c r="S101" s="47">
        <v>137</v>
      </c>
      <c r="T101" s="78">
        <v>0</v>
      </c>
      <c r="U101" s="6" t="s">
        <v>298</v>
      </c>
      <c r="V101" s="101" t="s">
        <v>212</v>
      </c>
      <c r="W101" s="32"/>
      <c r="X101" s="42" t="e">
        <v>#REF!</v>
      </c>
    </row>
    <row r="102" spans="1:25">
      <c r="A102" s="30">
        <v>5</v>
      </c>
      <c r="B102" s="30" t="s">
        <v>298</v>
      </c>
      <c r="C102" s="87" t="s">
        <v>31</v>
      </c>
      <c r="D102" s="37" t="s">
        <v>5</v>
      </c>
      <c r="E102" s="183">
        <v>130</v>
      </c>
      <c r="F102" s="182">
        <v>0</v>
      </c>
      <c r="G102" s="182">
        <v>50</v>
      </c>
      <c r="H102" s="183">
        <v>80</v>
      </c>
      <c r="I102" s="49">
        <v>12160</v>
      </c>
      <c r="J102" s="49">
        <v>1337.6</v>
      </c>
      <c r="K102" s="49">
        <v>13497.6</v>
      </c>
      <c r="L102" s="132">
        <v>972800</v>
      </c>
      <c r="M102" s="131">
        <v>1754688</v>
      </c>
      <c r="N102" s="131">
        <v>0</v>
      </c>
      <c r="O102" s="131">
        <v>674880</v>
      </c>
      <c r="P102" s="132">
        <v>1079808</v>
      </c>
      <c r="Q102" s="40">
        <v>50</v>
      </c>
      <c r="R102" s="46">
        <v>0</v>
      </c>
      <c r="S102" s="47">
        <v>80</v>
      </c>
      <c r="T102" s="78">
        <v>50</v>
      </c>
      <c r="U102" s="6" t="s">
        <v>298</v>
      </c>
      <c r="V102" s="101" t="s">
        <v>212</v>
      </c>
      <c r="W102" s="32"/>
      <c r="X102" s="42" t="e">
        <v>#REF!</v>
      </c>
      <c r="Y102" s="31" t="e">
        <v>#REF!</v>
      </c>
    </row>
    <row r="103" spans="1:25">
      <c r="A103" s="30">
        <v>6</v>
      </c>
      <c r="B103" s="30" t="s">
        <v>298</v>
      </c>
      <c r="C103" s="51" t="s">
        <v>81</v>
      </c>
      <c r="D103" s="37" t="s">
        <v>5</v>
      </c>
      <c r="E103" s="183">
        <v>140</v>
      </c>
      <c r="F103" s="182">
        <v>0</v>
      </c>
      <c r="G103" s="182">
        <v>24</v>
      </c>
      <c r="H103" s="183">
        <v>115</v>
      </c>
      <c r="I103" s="49">
        <v>9741</v>
      </c>
      <c r="J103" s="49">
        <v>1071.51</v>
      </c>
      <c r="K103" s="49">
        <v>10812.51</v>
      </c>
      <c r="L103" s="132">
        <v>1120215</v>
      </c>
      <c r="M103" s="131">
        <v>1513751.4000000001</v>
      </c>
      <c r="N103" s="131">
        <v>0</v>
      </c>
      <c r="O103" s="131">
        <v>259500.24</v>
      </c>
      <c r="P103" s="132">
        <v>1243438.6500000001</v>
      </c>
      <c r="Q103" s="40">
        <v>25</v>
      </c>
      <c r="R103" s="46">
        <v>1</v>
      </c>
      <c r="S103" s="47">
        <v>116</v>
      </c>
      <c r="T103" s="78">
        <v>24</v>
      </c>
      <c r="U103" s="6" t="s">
        <v>298</v>
      </c>
      <c r="V103" s="101" t="s">
        <v>212</v>
      </c>
      <c r="W103" s="32"/>
      <c r="X103" s="42" t="e">
        <v>#REF!</v>
      </c>
      <c r="Y103" s="31" t="e">
        <v>#REF!</v>
      </c>
    </row>
    <row r="104" spans="1:25">
      <c r="A104" s="30">
        <v>7</v>
      </c>
      <c r="B104" s="30" t="s">
        <v>298</v>
      </c>
      <c r="C104" s="87" t="s">
        <v>68</v>
      </c>
      <c r="D104" s="37" t="s">
        <v>5</v>
      </c>
      <c r="E104" s="183">
        <v>190</v>
      </c>
      <c r="F104" s="182">
        <v>0</v>
      </c>
      <c r="G104" s="182">
        <v>0.5</v>
      </c>
      <c r="H104" s="183">
        <v>190</v>
      </c>
      <c r="I104" s="49">
        <v>58302</v>
      </c>
      <c r="J104" s="49">
        <v>6413.22</v>
      </c>
      <c r="K104" s="49">
        <v>64715.22</v>
      </c>
      <c r="L104" s="132">
        <v>11077380</v>
      </c>
      <c r="M104" s="131">
        <v>12295891.800000001</v>
      </c>
      <c r="N104" s="131">
        <v>0</v>
      </c>
      <c r="O104" s="131">
        <v>32357.61</v>
      </c>
      <c r="P104" s="132">
        <v>12295891.800000001</v>
      </c>
      <c r="Q104" s="40">
        <v>0</v>
      </c>
      <c r="R104" s="46">
        <v>-0.5</v>
      </c>
      <c r="S104" s="47">
        <v>189.5</v>
      </c>
      <c r="T104" s="78">
        <v>0.5</v>
      </c>
      <c r="U104" s="6" t="s">
        <v>298</v>
      </c>
      <c r="V104" s="101" t="s">
        <v>212</v>
      </c>
      <c r="W104" s="32"/>
      <c r="X104" s="42" t="e">
        <v>#REF!</v>
      </c>
      <c r="Y104" s="32" t="e">
        <v>#REF!</v>
      </c>
    </row>
    <row r="105" spans="1:25">
      <c r="A105" s="30">
        <v>8</v>
      </c>
      <c r="B105" s="30" t="s">
        <v>298</v>
      </c>
      <c r="C105" s="43" t="s">
        <v>78</v>
      </c>
      <c r="D105" s="37" t="s">
        <v>5</v>
      </c>
      <c r="E105" s="183">
        <v>60</v>
      </c>
      <c r="F105" s="182">
        <v>0</v>
      </c>
      <c r="G105" s="182">
        <v>0</v>
      </c>
      <c r="H105" s="183">
        <v>60</v>
      </c>
      <c r="I105" s="49">
        <v>104020</v>
      </c>
      <c r="J105" s="49">
        <v>11442.2</v>
      </c>
      <c r="K105" s="49">
        <v>115462.2</v>
      </c>
      <c r="L105" s="132">
        <v>6241200</v>
      </c>
      <c r="M105" s="131">
        <v>6927732</v>
      </c>
      <c r="N105" s="131">
        <v>0</v>
      </c>
      <c r="O105" s="131">
        <v>0</v>
      </c>
      <c r="P105" s="132">
        <v>6927732</v>
      </c>
      <c r="Q105" s="40">
        <v>0</v>
      </c>
      <c r="R105" s="46">
        <v>0</v>
      </c>
      <c r="S105" s="47">
        <v>60</v>
      </c>
      <c r="T105" s="78">
        <v>0</v>
      </c>
      <c r="U105" s="6" t="s">
        <v>298</v>
      </c>
      <c r="V105" s="101" t="s">
        <v>212</v>
      </c>
      <c r="W105" s="32"/>
      <c r="X105" s="42" t="e">
        <v>#REF!</v>
      </c>
    </row>
    <row r="106" spans="1:25">
      <c r="A106" s="30">
        <v>9</v>
      </c>
      <c r="B106" s="30" t="s">
        <v>298</v>
      </c>
      <c r="C106" s="87" t="s">
        <v>20</v>
      </c>
      <c r="D106" s="37" t="s">
        <v>5</v>
      </c>
      <c r="E106" s="183">
        <v>150</v>
      </c>
      <c r="F106" s="182">
        <v>0</v>
      </c>
      <c r="G106" s="182">
        <v>25</v>
      </c>
      <c r="H106" s="183">
        <v>125</v>
      </c>
      <c r="I106" s="48">
        <v>39120</v>
      </c>
      <c r="J106" s="49">
        <v>4303.2</v>
      </c>
      <c r="K106" s="49">
        <v>43423.199999999997</v>
      </c>
      <c r="L106" s="132">
        <v>4890000</v>
      </c>
      <c r="M106" s="131">
        <v>6513480</v>
      </c>
      <c r="N106" s="131">
        <v>0</v>
      </c>
      <c r="O106" s="131">
        <v>1085580</v>
      </c>
      <c r="P106" s="132">
        <v>5427900</v>
      </c>
      <c r="Q106" s="40">
        <v>25</v>
      </c>
      <c r="R106" s="46">
        <v>0</v>
      </c>
      <c r="S106" s="47">
        <v>125</v>
      </c>
      <c r="T106" s="78">
        <v>25</v>
      </c>
      <c r="U106" s="6" t="s">
        <v>298</v>
      </c>
      <c r="V106" s="101" t="s">
        <v>212</v>
      </c>
      <c r="W106" s="32"/>
      <c r="X106" s="42" t="e">
        <v>#REF!</v>
      </c>
      <c r="Y106" s="31" t="e">
        <v>#REF!</v>
      </c>
    </row>
    <row r="107" spans="1:25">
      <c r="A107" s="30">
        <v>10</v>
      </c>
      <c r="B107" s="30" t="s">
        <v>298</v>
      </c>
      <c r="C107" s="87" t="s">
        <v>39</v>
      </c>
      <c r="D107" s="37" t="s">
        <v>5</v>
      </c>
      <c r="E107" s="183">
        <v>265</v>
      </c>
      <c r="F107" s="182">
        <v>0</v>
      </c>
      <c r="G107" s="182">
        <v>5.5</v>
      </c>
      <c r="H107" s="183">
        <v>260</v>
      </c>
      <c r="I107" s="49">
        <v>25235</v>
      </c>
      <c r="J107" s="49">
        <v>2775.85</v>
      </c>
      <c r="K107" s="49">
        <v>28010.85</v>
      </c>
      <c r="L107" s="132">
        <v>6561100</v>
      </c>
      <c r="M107" s="131">
        <v>7422875.25</v>
      </c>
      <c r="N107" s="131">
        <v>0</v>
      </c>
      <c r="O107" s="131">
        <v>154059.67499999999</v>
      </c>
      <c r="P107" s="132">
        <v>7282821</v>
      </c>
      <c r="Q107" s="40">
        <v>5</v>
      </c>
      <c r="R107" s="46">
        <v>-0.5</v>
      </c>
      <c r="S107" s="47">
        <v>259.5</v>
      </c>
      <c r="T107" s="78">
        <v>5.5</v>
      </c>
      <c r="U107" s="6" t="s">
        <v>298</v>
      </c>
      <c r="V107" s="101" t="s">
        <v>212</v>
      </c>
      <c r="W107" s="32"/>
      <c r="X107" s="42" t="e">
        <v>#REF!</v>
      </c>
      <c r="Y107" s="32" t="e">
        <v>#REF!</v>
      </c>
    </row>
    <row r="108" spans="1:25">
      <c r="A108" s="30"/>
      <c r="B108" s="30"/>
      <c r="C108" s="87"/>
      <c r="D108" s="37"/>
      <c r="E108" s="184">
        <v>1379</v>
      </c>
      <c r="F108" s="184">
        <v>0</v>
      </c>
      <c r="G108" s="184">
        <v>143.5</v>
      </c>
      <c r="H108" s="184">
        <v>1236.5</v>
      </c>
      <c r="I108" s="49"/>
      <c r="J108" s="49"/>
      <c r="K108" s="49"/>
      <c r="L108" s="168">
        <v>49741973.480000004</v>
      </c>
      <c r="M108" s="168">
        <v>57925542.562800005</v>
      </c>
      <c r="N108" s="168">
        <v>0</v>
      </c>
      <c r="O108" s="168">
        <v>2813421.54</v>
      </c>
      <c r="P108" s="168">
        <v>55213590.562800005</v>
      </c>
      <c r="Q108" s="40"/>
      <c r="S108" s="47"/>
      <c r="V108" s="101"/>
      <c r="W108" s="32"/>
      <c r="X108" s="42" t="e">
        <v>#REF!</v>
      </c>
      <c r="Y108" s="32"/>
    </row>
    <row r="109" spans="1:25">
      <c r="A109" s="30"/>
      <c r="B109" s="30"/>
      <c r="C109" s="87"/>
      <c r="D109" s="37"/>
      <c r="E109" s="183"/>
      <c r="F109" s="182"/>
      <c r="G109" s="182"/>
      <c r="H109" s="183"/>
      <c r="I109" s="49"/>
      <c r="J109" s="49"/>
      <c r="K109" s="49"/>
      <c r="L109" s="132"/>
      <c r="M109" s="132"/>
      <c r="N109" s="132"/>
      <c r="O109" s="132"/>
      <c r="P109" s="132"/>
      <c r="Q109" s="40"/>
      <c r="S109" s="47"/>
      <c r="V109" s="101"/>
      <c r="W109" s="32"/>
      <c r="X109" s="42" t="e">
        <v>#REF!</v>
      </c>
      <c r="Y109" s="32"/>
    </row>
    <row r="110" spans="1:25">
      <c r="A110" s="30">
        <v>1</v>
      </c>
      <c r="B110" s="30" t="s">
        <v>214</v>
      </c>
      <c r="C110" s="87" t="s">
        <v>237</v>
      </c>
      <c r="D110" s="37" t="s">
        <v>5</v>
      </c>
      <c r="E110" s="183">
        <v>560</v>
      </c>
      <c r="F110" s="182">
        <v>0</v>
      </c>
      <c r="G110" s="182">
        <v>240</v>
      </c>
      <c r="H110" s="183">
        <v>320</v>
      </c>
      <c r="I110" s="49">
        <v>14750</v>
      </c>
      <c r="J110" s="49">
        <v>1622.5</v>
      </c>
      <c r="K110" s="49">
        <v>16372.5</v>
      </c>
      <c r="L110" s="132">
        <v>4720000</v>
      </c>
      <c r="M110" s="131">
        <v>9168600</v>
      </c>
      <c r="N110" s="131">
        <v>0</v>
      </c>
      <c r="O110" s="131">
        <v>3929400</v>
      </c>
      <c r="P110" s="132">
        <v>5239200</v>
      </c>
      <c r="Q110" s="40">
        <v>240</v>
      </c>
      <c r="R110" s="46">
        <v>0</v>
      </c>
      <c r="S110" s="47">
        <v>320</v>
      </c>
      <c r="T110" s="78">
        <v>240</v>
      </c>
      <c r="U110" s="6" t="s">
        <v>214</v>
      </c>
      <c r="V110" s="101" t="s">
        <v>214</v>
      </c>
      <c r="W110" s="32"/>
      <c r="X110" s="42" t="e">
        <v>#REF!</v>
      </c>
      <c r="Y110" s="31" t="e">
        <v>#REF!</v>
      </c>
    </row>
    <row r="111" spans="1:25" ht="15.75" customHeight="1">
      <c r="A111" s="30">
        <v>2</v>
      </c>
      <c r="B111" s="30" t="s">
        <v>214</v>
      </c>
      <c r="C111" s="87" t="s">
        <v>14</v>
      </c>
      <c r="D111" s="37" t="s">
        <v>5</v>
      </c>
      <c r="E111" s="183">
        <v>340</v>
      </c>
      <c r="F111" s="182">
        <v>400</v>
      </c>
      <c r="G111" s="182">
        <v>320</v>
      </c>
      <c r="H111" s="183">
        <v>420</v>
      </c>
      <c r="I111" s="49">
        <v>30500</v>
      </c>
      <c r="J111" s="49">
        <v>3355</v>
      </c>
      <c r="K111" s="49">
        <v>33855</v>
      </c>
      <c r="L111" s="132">
        <v>12810000</v>
      </c>
      <c r="M111" s="131">
        <v>11510700</v>
      </c>
      <c r="N111" s="131">
        <v>13542000</v>
      </c>
      <c r="O111" s="131">
        <v>10833600</v>
      </c>
      <c r="P111" s="132">
        <v>14219100</v>
      </c>
      <c r="Q111" s="40">
        <v>320</v>
      </c>
      <c r="R111" s="46">
        <v>0</v>
      </c>
      <c r="S111" s="47">
        <v>420</v>
      </c>
      <c r="T111" s="78">
        <v>320</v>
      </c>
      <c r="U111" s="6" t="s">
        <v>214</v>
      </c>
      <c r="V111" s="101" t="s">
        <v>214</v>
      </c>
      <c r="W111" s="32"/>
      <c r="X111" s="42" t="e">
        <v>#REF!</v>
      </c>
      <c r="Y111" s="31" t="e">
        <v>#REF!</v>
      </c>
    </row>
    <row r="112" spans="1:25">
      <c r="A112" s="30">
        <v>3</v>
      </c>
      <c r="B112" s="30" t="s">
        <v>214</v>
      </c>
      <c r="C112" s="87" t="s">
        <v>233</v>
      </c>
      <c r="D112" s="37" t="s">
        <v>5</v>
      </c>
      <c r="E112" s="183">
        <v>10975</v>
      </c>
      <c r="F112" s="182">
        <v>0</v>
      </c>
      <c r="G112" s="182">
        <v>5975</v>
      </c>
      <c r="H112" s="183">
        <v>5000</v>
      </c>
      <c r="I112" s="49">
        <v>5500</v>
      </c>
      <c r="J112" s="49">
        <v>605</v>
      </c>
      <c r="K112" s="49">
        <v>6105</v>
      </c>
      <c r="L112" s="132">
        <v>27500000</v>
      </c>
      <c r="M112" s="131">
        <v>67002375</v>
      </c>
      <c r="N112" s="131">
        <v>0</v>
      </c>
      <c r="O112" s="131">
        <v>36477375</v>
      </c>
      <c r="P112" s="132">
        <v>30525000</v>
      </c>
      <c r="Q112" s="40">
        <v>5975</v>
      </c>
      <c r="R112" s="46">
        <v>0</v>
      </c>
      <c r="S112" s="47">
        <v>5000</v>
      </c>
      <c r="T112" s="78">
        <v>5975</v>
      </c>
      <c r="U112" s="6" t="s">
        <v>214</v>
      </c>
      <c r="V112" s="101" t="s">
        <v>214</v>
      </c>
      <c r="W112" s="32"/>
      <c r="X112" s="42" t="e">
        <v>#REF!</v>
      </c>
      <c r="Y112" s="31" t="e">
        <v>#REF!</v>
      </c>
    </row>
    <row r="113" spans="1:25" ht="15.75" customHeight="1">
      <c r="A113" s="30">
        <v>4</v>
      </c>
      <c r="B113" s="30" t="s">
        <v>214</v>
      </c>
      <c r="C113" s="87" t="s">
        <v>80</v>
      </c>
      <c r="D113" s="37" t="s">
        <v>5</v>
      </c>
      <c r="E113" s="183">
        <v>0</v>
      </c>
      <c r="F113" s="182">
        <v>1</v>
      </c>
      <c r="G113" s="182">
        <v>1.0000000000000002</v>
      </c>
      <c r="H113" s="183">
        <v>0</v>
      </c>
      <c r="I113" s="49">
        <v>1550000</v>
      </c>
      <c r="J113" s="49">
        <v>170500</v>
      </c>
      <c r="K113" s="49">
        <v>1720500</v>
      </c>
      <c r="L113" s="132">
        <v>0</v>
      </c>
      <c r="M113" s="131">
        <v>0</v>
      </c>
      <c r="N113" s="131">
        <v>1720500</v>
      </c>
      <c r="O113" s="131">
        <v>1720500.0000000005</v>
      </c>
      <c r="P113" s="132">
        <v>0</v>
      </c>
      <c r="Q113" s="40">
        <v>1</v>
      </c>
      <c r="R113" s="46">
        <v>0</v>
      </c>
      <c r="S113" s="47">
        <v>0</v>
      </c>
      <c r="T113" s="78">
        <v>1.0000000000000002</v>
      </c>
      <c r="U113" s="6" t="s">
        <v>214</v>
      </c>
      <c r="V113" s="101" t="s">
        <v>214</v>
      </c>
      <c r="W113" s="32"/>
      <c r="X113" s="42" t="e">
        <v>#REF!</v>
      </c>
      <c r="Y113" s="31" t="e">
        <v>#REF!</v>
      </c>
    </row>
    <row r="114" spans="1:25">
      <c r="A114" s="30">
        <v>5</v>
      </c>
      <c r="B114" s="30" t="s">
        <v>214</v>
      </c>
      <c r="C114" s="43" t="s">
        <v>74</v>
      </c>
      <c r="D114" s="37" t="s">
        <v>5</v>
      </c>
      <c r="E114" s="183">
        <v>125</v>
      </c>
      <c r="F114" s="182">
        <v>600</v>
      </c>
      <c r="G114" s="182">
        <v>350</v>
      </c>
      <c r="H114" s="183">
        <v>375</v>
      </c>
      <c r="I114" s="49">
        <v>13180</v>
      </c>
      <c r="J114" s="49">
        <v>1449.8</v>
      </c>
      <c r="K114" s="49">
        <v>14629.8</v>
      </c>
      <c r="L114" s="132">
        <v>4942500</v>
      </c>
      <c r="M114" s="131">
        <v>1828725</v>
      </c>
      <c r="N114" s="131">
        <v>8777880</v>
      </c>
      <c r="O114" s="131">
        <v>5120430</v>
      </c>
      <c r="P114" s="132">
        <v>5486175</v>
      </c>
      <c r="Q114" s="40">
        <v>350</v>
      </c>
      <c r="R114" s="46">
        <v>0</v>
      </c>
      <c r="S114" s="47">
        <v>375</v>
      </c>
      <c r="T114" s="78">
        <v>350</v>
      </c>
      <c r="U114" s="6" t="s">
        <v>214</v>
      </c>
      <c r="V114" s="101" t="s">
        <v>214</v>
      </c>
      <c r="W114" s="32"/>
      <c r="X114" s="42" t="e">
        <v>#REF!</v>
      </c>
      <c r="Y114" s="31" t="e">
        <v>#REF!</v>
      </c>
    </row>
    <row r="115" spans="1:25">
      <c r="A115" s="30">
        <v>6</v>
      </c>
      <c r="B115" s="30" t="s">
        <v>214</v>
      </c>
      <c r="C115" s="43" t="s">
        <v>258</v>
      </c>
      <c r="D115" s="37" t="s">
        <v>5</v>
      </c>
      <c r="E115" s="183">
        <v>250</v>
      </c>
      <c r="F115" s="182">
        <v>300</v>
      </c>
      <c r="G115" s="182">
        <v>200</v>
      </c>
      <c r="H115" s="183">
        <v>350</v>
      </c>
      <c r="I115" s="49">
        <v>33000</v>
      </c>
      <c r="J115" s="49">
        <v>3630</v>
      </c>
      <c r="K115" s="49">
        <v>36630</v>
      </c>
      <c r="L115" s="132">
        <v>11550000</v>
      </c>
      <c r="M115" s="131">
        <v>9157500</v>
      </c>
      <c r="N115" s="131">
        <v>10989000</v>
      </c>
      <c r="O115" s="131">
        <v>7326000</v>
      </c>
      <c r="P115" s="132">
        <v>12820500</v>
      </c>
      <c r="Q115" s="40">
        <v>200</v>
      </c>
      <c r="R115" s="46">
        <v>0</v>
      </c>
      <c r="S115" s="47">
        <v>350</v>
      </c>
      <c r="T115" s="78">
        <v>200</v>
      </c>
      <c r="U115" s="6" t="s">
        <v>214</v>
      </c>
      <c r="V115" s="101" t="s">
        <v>214</v>
      </c>
      <c r="W115" s="32"/>
      <c r="X115" s="42" t="e">
        <v>#REF!</v>
      </c>
      <c r="Y115" s="31" t="e">
        <v>#REF!</v>
      </c>
    </row>
    <row r="116" spans="1:25">
      <c r="A116" s="30">
        <v>7</v>
      </c>
      <c r="B116" s="30" t="s">
        <v>214</v>
      </c>
      <c r="C116" s="43" t="s">
        <v>259</v>
      </c>
      <c r="D116" s="37" t="s">
        <v>5</v>
      </c>
      <c r="E116" s="183">
        <v>300</v>
      </c>
      <c r="F116" s="182">
        <v>300</v>
      </c>
      <c r="G116" s="182">
        <v>275</v>
      </c>
      <c r="H116" s="183">
        <v>325</v>
      </c>
      <c r="I116" s="49">
        <v>47500</v>
      </c>
      <c r="J116" s="49">
        <v>5225</v>
      </c>
      <c r="K116" s="49">
        <v>52725</v>
      </c>
      <c r="L116" s="132">
        <v>15437500</v>
      </c>
      <c r="M116" s="131">
        <v>15817500</v>
      </c>
      <c r="N116" s="131">
        <v>15817500</v>
      </c>
      <c r="O116" s="131">
        <v>14499375</v>
      </c>
      <c r="P116" s="132">
        <v>17135625</v>
      </c>
      <c r="Q116" s="40">
        <v>275</v>
      </c>
      <c r="R116" s="46">
        <v>0</v>
      </c>
      <c r="S116" s="47">
        <v>325</v>
      </c>
      <c r="T116" s="78">
        <v>275</v>
      </c>
      <c r="U116" s="6" t="s">
        <v>214</v>
      </c>
      <c r="V116" s="101" t="s">
        <v>214</v>
      </c>
      <c r="W116" s="32"/>
      <c r="X116" s="42" t="e">
        <v>#REF!</v>
      </c>
      <c r="Y116" s="31" t="e">
        <v>#REF!</v>
      </c>
    </row>
    <row r="117" spans="1:25">
      <c r="A117" s="30">
        <v>8</v>
      </c>
      <c r="B117" s="30" t="s">
        <v>214</v>
      </c>
      <c r="C117" s="87" t="s">
        <v>260</v>
      </c>
      <c r="D117" s="37" t="s">
        <v>5</v>
      </c>
      <c r="E117" s="183">
        <v>100</v>
      </c>
      <c r="F117" s="182">
        <v>0</v>
      </c>
      <c r="G117" s="182">
        <v>0</v>
      </c>
      <c r="H117" s="183">
        <v>100</v>
      </c>
      <c r="I117" s="48">
        <v>31000</v>
      </c>
      <c r="J117" s="49">
        <v>3410</v>
      </c>
      <c r="K117" s="49">
        <v>34410</v>
      </c>
      <c r="L117" s="132">
        <v>3100000</v>
      </c>
      <c r="M117" s="131">
        <v>3441000</v>
      </c>
      <c r="N117" s="131">
        <v>0</v>
      </c>
      <c r="O117" s="131">
        <v>0</v>
      </c>
      <c r="P117" s="132">
        <v>3441000</v>
      </c>
      <c r="Q117" s="40">
        <v>0</v>
      </c>
      <c r="R117" s="46">
        <v>0</v>
      </c>
      <c r="S117" s="47">
        <v>100</v>
      </c>
      <c r="T117" s="78">
        <v>0</v>
      </c>
      <c r="U117" s="6" t="s">
        <v>214</v>
      </c>
      <c r="V117" s="101" t="s">
        <v>214</v>
      </c>
      <c r="W117" s="32"/>
      <c r="X117" s="42" t="e">
        <v>#REF!</v>
      </c>
    </row>
    <row r="118" spans="1:25">
      <c r="A118" s="30">
        <v>9</v>
      </c>
      <c r="B118" s="30" t="s">
        <v>214</v>
      </c>
      <c r="C118" s="87" t="s">
        <v>371</v>
      </c>
      <c r="D118" s="37" t="s">
        <v>5</v>
      </c>
      <c r="E118" s="183">
        <v>30</v>
      </c>
      <c r="F118" s="182">
        <v>0</v>
      </c>
      <c r="G118" s="182">
        <v>30</v>
      </c>
      <c r="H118" s="183">
        <v>0</v>
      </c>
      <c r="I118" s="48">
        <v>26000</v>
      </c>
      <c r="J118" s="49">
        <v>2860</v>
      </c>
      <c r="K118" s="49">
        <v>28860</v>
      </c>
      <c r="L118" s="132">
        <v>0</v>
      </c>
      <c r="M118" s="131">
        <v>865800</v>
      </c>
      <c r="N118" s="131">
        <v>0</v>
      </c>
      <c r="O118" s="131">
        <v>865800</v>
      </c>
      <c r="P118" s="132">
        <v>0</v>
      </c>
      <c r="Q118" s="40">
        <v>30</v>
      </c>
      <c r="R118" s="46">
        <v>0</v>
      </c>
      <c r="S118" s="47">
        <v>0</v>
      </c>
      <c r="T118" s="78">
        <v>30</v>
      </c>
      <c r="U118" s="6" t="s">
        <v>214</v>
      </c>
      <c r="V118" s="101" t="s">
        <v>214</v>
      </c>
      <c r="W118" s="32"/>
      <c r="X118" s="42" t="e">
        <v>#REF!</v>
      </c>
    </row>
    <row r="119" spans="1:25">
      <c r="A119" s="30">
        <v>10</v>
      </c>
      <c r="B119" s="30" t="s">
        <v>214</v>
      </c>
      <c r="C119" s="87" t="s">
        <v>372</v>
      </c>
      <c r="D119" s="37" t="s">
        <v>5</v>
      </c>
      <c r="E119" s="183">
        <v>4075</v>
      </c>
      <c r="F119" s="182">
        <v>0</v>
      </c>
      <c r="G119" s="182">
        <v>4075</v>
      </c>
      <c r="H119" s="183">
        <v>0</v>
      </c>
      <c r="I119" s="48">
        <v>5500</v>
      </c>
      <c r="J119" s="49">
        <v>605</v>
      </c>
      <c r="K119" s="49">
        <v>6105</v>
      </c>
      <c r="L119" s="132">
        <v>0</v>
      </c>
      <c r="M119" s="131">
        <v>24877875</v>
      </c>
      <c r="N119" s="131">
        <v>0</v>
      </c>
      <c r="O119" s="131">
        <v>24877875</v>
      </c>
      <c r="P119" s="132">
        <v>0</v>
      </c>
      <c r="Q119" s="40">
        <v>4075</v>
      </c>
      <c r="R119" s="46">
        <v>0</v>
      </c>
      <c r="S119" s="47">
        <v>0</v>
      </c>
      <c r="T119" s="78">
        <v>4075</v>
      </c>
      <c r="U119" s="6" t="s">
        <v>214</v>
      </c>
      <c r="V119" s="101" t="s">
        <v>214</v>
      </c>
      <c r="W119" s="32"/>
      <c r="X119" s="42" t="e">
        <v>#REF!</v>
      </c>
    </row>
    <row r="120" spans="1:25">
      <c r="A120" s="30"/>
      <c r="B120" s="30"/>
      <c r="C120" s="87"/>
      <c r="D120" s="37"/>
      <c r="E120" s="184">
        <v>16755</v>
      </c>
      <c r="F120" s="184">
        <v>1601</v>
      </c>
      <c r="G120" s="184">
        <v>11466</v>
      </c>
      <c r="H120" s="184">
        <v>6890</v>
      </c>
      <c r="I120" s="49"/>
      <c r="J120" s="49"/>
      <c r="K120" s="49"/>
      <c r="L120" s="168">
        <v>80060000</v>
      </c>
      <c r="M120" s="168">
        <v>143670075</v>
      </c>
      <c r="N120" s="168">
        <v>50846880</v>
      </c>
      <c r="O120" s="168">
        <v>105650355</v>
      </c>
      <c r="P120" s="168">
        <v>88866600</v>
      </c>
      <c r="Q120" s="40"/>
      <c r="S120" s="47"/>
      <c r="V120" s="101"/>
      <c r="W120" s="32"/>
      <c r="X120" s="42" t="e">
        <v>#REF!</v>
      </c>
    </row>
    <row r="121" spans="1:25">
      <c r="A121" s="30"/>
      <c r="B121" s="30"/>
      <c r="C121" s="87"/>
      <c r="D121" s="37"/>
      <c r="E121" s="38"/>
      <c r="F121" s="73"/>
      <c r="G121" s="73"/>
      <c r="H121" s="38"/>
      <c r="I121" s="49"/>
      <c r="J121" s="49"/>
      <c r="K121" s="49"/>
      <c r="L121" s="132"/>
      <c r="M121" s="132"/>
      <c r="N121" s="132"/>
      <c r="O121" s="132"/>
      <c r="P121" s="132"/>
      <c r="Q121" s="40"/>
      <c r="S121" s="47"/>
      <c r="V121" s="101"/>
      <c r="W121" s="32"/>
      <c r="X121" s="42" t="e">
        <v>#REF!</v>
      </c>
    </row>
    <row r="122" spans="1:25">
      <c r="A122" s="30">
        <v>1</v>
      </c>
      <c r="B122" s="30" t="s">
        <v>299</v>
      </c>
      <c r="C122" s="87" t="s">
        <v>23</v>
      </c>
      <c r="D122" s="37" t="s">
        <v>5</v>
      </c>
      <c r="E122" s="183">
        <v>800</v>
      </c>
      <c r="F122" s="182">
        <v>3000</v>
      </c>
      <c r="G122" s="182">
        <v>2700</v>
      </c>
      <c r="H122" s="183">
        <v>1100</v>
      </c>
      <c r="I122" s="49">
        <v>28844</v>
      </c>
      <c r="J122" s="49">
        <v>3172.84</v>
      </c>
      <c r="K122" s="49">
        <v>32016.84</v>
      </c>
      <c r="L122" s="132">
        <v>31728400</v>
      </c>
      <c r="M122" s="131">
        <v>25218312</v>
      </c>
      <c r="N122" s="131">
        <v>96050520</v>
      </c>
      <c r="O122" s="131">
        <v>86445468</v>
      </c>
      <c r="P122" s="132">
        <v>35218524</v>
      </c>
      <c r="Q122" s="40">
        <v>2700</v>
      </c>
      <c r="R122" s="46">
        <v>0</v>
      </c>
      <c r="S122" s="47">
        <v>1100</v>
      </c>
      <c r="T122" s="78">
        <v>2700</v>
      </c>
      <c r="U122" s="6" t="s">
        <v>299</v>
      </c>
      <c r="V122" s="101" t="s">
        <v>212</v>
      </c>
      <c r="W122" s="32"/>
      <c r="X122" s="42" t="e">
        <v>#REF!</v>
      </c>
      <c r="Y122" s="31" t="e">
        <v>#REF!</v>
      </c>
    </row>
    <row r="123" spans="1:25">
      <c r="A123" s="30">
        <v>2</v>
      </c>
      <c r="B123" s="30" t="s">
        <v>299</v>
      </c>
      <c r="C123" s="87" t="s">
        <v>33</v>
      </c>
      <c r="D123" s="37" t="s">
        <v>5</v>
      </c>
      <c r="E123" s="183">
        <v>1400</v>
      </c>
      <c r="F123" s="182">
        <v>2000</v>
      </c>
      <c r="G123" s="182">
        <v>2150</v>
      </c>
      <c r="H123" s="183">
        <v>1250</v>
      </c>
      <c r="I123" s="49">
        <v>11087.5</v>
      </c>
      <c r="J123" s="49">
        <v>1219.625</v>
      </c>
      <c r="K123" s="49">
        <v>12307.125</v>
      </c>
      <c r="L123" s="132">
        <v>13859375</v>
      </c>
      <c r="M123" s="131">
        <v>17871000</v>
      </c>
      <c r="N123" s="131">
        <v>24614250</v>
      </c>
      <c r="O123" s="131">
        <v>26460318.75</v>
      </c>
      <c r="P123" s="132">
        <v>15383906.25</v>
      </c>
      <c r="Q123" s="40">
        <v>2150</v>
      </c>
      <c r="R123" s="46">
        <v>0</v>
      </c>
      <c r="S123" s="47">
        <v>1250</v>
      </c>
      <c r="T123" s="78">
        <v>2150</v>
      </c>
      <c r="U123" s="6" t="s">
        <v>299</v>
      </c>
      <c r="V123" s="101" t="s">
        <v>219</v>
      </c>
      <c r="W123" s="32"/>
      <c r="X123" s="42" t="e">
        <v>#REF!</v>
      </c>
      <c r="Y123" s="31" t="e">
        <v>#REF!</v>
      </c>
    </row>
    <row r="124" spans="1:25">
      <c r="A124" s="30">
        <v>3</v>
      </c>
      <c r="B124" s="30" t="s">
        <v>299</v>
      </c>
      <c r="C124" s="87" t="s">
        <v>342</v>
      </c>
      <c r="D124" s="37" t="s">
        <v>5</v>
      </c>
      <c r="E124" s="183">
        <v>0</v>
      </c>
      <c r="F124" s="182">
        <v>0</v>
      </c>
      <c r="G124" s="182">
        <v>0</v>
      </c>
      <c r="H124" s="183">
        <v>0</v>
      </c>
      <c r="I124" s="49">
        <v>28000</v>
      </c>
      <c r="J124" s="49">
        <v>3080</v>
      </c>
      <c r="K124" s="49">
        <v>31080</v>
      </c>
      <c r="L124" s="132">
        <v>0</v>
      </c>
      <c r="M124" s="131">
        <v>0</v>
      </c>
      <c r="N124" s="131">
        <v>0</v>
      </c>
      <c r="O124" s="131">
        <v>0</v>
      </c>
      <c r="P124" s="132">
        <v>0</v>
      </c>
      <c r="Q124" s="40">
        <v>0</v>
      </c>
      <c r="R124" s="46">
        <v>0</v>
      </c>
      <c r="S124" s="47">
        <v>0</v>
      </c>
      <c r="T124" s="78">
        <v>0</v>
      </c>
      <c r="U124" s="6" t="s">
        <v>299</v>
      </c>
      <c r="V124" s="101" t="s">
        <v>212</v>
      </c>
      <c r="W124" s="32"/>
      <c r="X124" s="42" t="e">
        <v>#REF!</v>
      </c>
      <c r="Y124" s="31" t="e">
        <v>#REF!</v>
      </c>
    </row>
    <row r="125" spans="1:25">
      <c r="A125" s="30"/>
      <c r="B125" s="30"/>
      <c r="C125" s="87"/>
      <c r="D125" s="37"/>
      <c r="E125" s="184">
        <v>2200</v>
      </c>
      <c r="F125" s="184">
        <v>5000</v>
      </c>
      <c r="G125" s="184">
        <v>4850</v>
      </c>
      <c r="H125" s="184">
        <v>2350</v>
      </c>
      <c r="I125" s="49"/>
      <c r="J125" s="49"/>
      <c r="K125" s="168"/>
      <c r="L125" s="168">
        <v>45587775</v>
      </c>
      <c r="M125" s="168">
        <v>43089312</v>
      </c>
      <c r="N125" s="168">
        <v>120664770</v>
      </c>
      <c r="O125" s="168">
        <v>112905786.75</v>
      </c>
      <c r="P125" s="168">
        <v>50602430.25</v>
      </c>
      <c r="Q125" s="40"/>
      <c r="S125" s="47"/>
      <c r="V125" s="101"/>
      <c r="W125" s="32"/>
      <c r="X125" s="42"/>
      <c r="Y125" s="31"/>
    </row>
    <row r="126" spans="1:25">
      <c r="A126" s="30"/>
      <c r="B126" s="30"/>
      <c r="C126" s="87"/>
      <c r="D126" s="37"/>
      <c r="E126" s="183"/>
      <c r="F126" s="183"/>
      <c r="G126" s="183"/>
      <c r="H126" s="183"/>
      <c r="I126" s="49"/>
      <c r="J126" s="49"/>
      <c r="K126" s="49"/>
      <c r="L126" s="132"/>
      <c r="M126" s="132"/>
      <c r="N126" s="132"/>
      <c r="O126" s="132"/>
      <c r="P126" s="132"/>
      <c r="Q126" s="40"/>
      <c r="S126" s="47"/>
      <c r="V126" s="101"/>
      <c r="W126" s="32"/>
      <c r="X126" s="42"/>
    </row>
    <row r="127" spans="1:25">
      <c r="A127" s="30"/>
      <c r="B127" s="30"/>
      <c r="C127" s="167" t="s">
        <v>4</v>
      </c>
      <c r="D127" s="37"/>
      <c r="E127" s="184">
        <v>40923.47</v>
      </c>
      <c r="F127" s="184">
        <v>17351</v>
      </c>
      <c r="G127" s="184">
        <v>29764.222999999998</v>
      </c>
      <c r="H127" s="184">
        <v>28516.190000000002</v>
      </c>
      <c r="I127" s="49"/>
      <c r="J127" s="49"/>
      <c r="K127" s="49"/>
      <c r="L127" s="168">
        <v>959240574.38800001</v>
      </c>
      <c r="M127" s="168">
        <v>1235701960.3648472</v>
      </c>
      <c r="N127" s="168">
        <v>528111295.398</v>
      </c>
      <c r="O127" s="168">
        <v>699351201.19848394</v>
      </c>
      <c r="P127" s="168">
        <v>1066624489.07068</v>
      </c>
      <c r="Q127" s="40"/>
      <c r="S127" s="47"/>
      <c r="V127" s="101"/>
      <c r="W127" s="32"/>
      <c r="X127" s="42"/>
    </row>
    <row r="128" spans="1:25" s="12" customFormat="1">
      <c r="A128" s="158"/>
      <c r="B128" s="158"/>
      <c r="C128" s="159"/>
      <c r="D128" s="27"/>
      <c r="E128" s="160"/>
      <c r="F128" s="160">
        <v>17351</v>
      </c>
      <c r="G128" s="160">
        <v>29764.322999999993</v>
      </c>
      <c r="H128" s="160"/>
      <c r="I128" s="161"/>
      <c r="J128" s="161"/>
      <c r="K128" s="161"/>
      <c r="L128" s="162"/>
      <c r="M128" s="162"/>
      <c r="N128" s="162"/>
      <c r="O128" s="163"/>
      <c r="P128" s="163"/>
      <c r="Q128" s="164"/>
      <c r="R128" s="46"/>
      <c r="S128" s="47"/>
      <c r="T128" s="78"/>
      <c r="V128" s="165"/>
      <c r="W128" s="32"/>
      <c r="X128" s="166"/>
    </row>
    <row r="129" spans="1:24" s="12" customFormat="1">
      <c r="A129" s="187" t="s">
        <v>769</v>
      </c>
      <c r="B129" s="158"/>
      <c r="C129" s="159"/>
      <c r="D129" s="27"/>
      <c r="E129" s="160"/>
      <c r="F129" s="160"/>
      <c r="G129" s="160"/>
      <c r="H129" s="160"/>
      <c r="I129" s="161"/>
      <c r="J129" s="161"/>
      <c r="K129" s="161"/>
      <c r="L129" s="162"/>
      <c r="M129" s="162"/>
      <c r="N129" s="162"/>
      <c r="O129" s="163"/>
      <c r="P129" s="163"/>
      <c r="Q129" s="164"/>
      <c r="R129" s="46"/>
      <c r="S129" s="47"/>
      <c r="T129" s="78"/>
      <c r="V129" s="165"/>
      <c r="W129" s="32"/>
      <c r="X129" s="166"/>
    </row>
    <row r="130" spans="1:24">
      <c r="A130" s="71">
        <v>1</v>
      </c>
      <c r="B130" s="71"/>
      <c r="C130" s="156" t="s">
        <v>213</v>
      </c>
      <c r="D130" s="72" t="s">
        <v>5</v>
      </c>
      <c r="E130" s="73">
        <v>18</v>
      </c>
      <c r="F130" s="73">
        <v>0</v>
      </c>
      <c r="G130" s="73">
        <v>0</v>
      </c>
      <c r="H130" s="73">
        <v>18</v>
      </c>
      <c r="I130" s="157">
        <v>18735.599999999999</v>
      </c>
      <c r="J130" s="82"/>
      <c r="K130" s="82">
        <v>18735.599999999999</v>
      </c>
      <c r="L130" s="74">
        <v>337240.8</v>
      </c>
      <c r="M130" s="74"/>
      <c r="N130" s="74"/>
      <c r="O130" s="131"/>
      <c r="P130" s="131">
        <v>337240.8</v>
      </c>
      <c r="Q130" s="75">
        <v>0</v>
      </c>
      <c r="R130" s="46">
        <v>0</v>
      </c>
      <c r="S130" s="47">
        <v>18</v>
      </c>
      <c r="T130" s="78">
        <v>0</v>
      </c>
      <c r="V130" s="101" t="s">
        <v>212</v>
      </c>
      <c r="W130" s="32"/>
      <c r="X130" s="42" t="e">
        <v>#REF!</v>
      </c>
    </row>
    <row r="131" spans="1:24">
      <c r="A131" s="30">
        <v>2</v>
      </c>
      <c r="B131" s="30"/>
      <c r="C131" s="87" t="s">
        <v>61</v>
      </c>
      <c r="D131" s="37" t="s">
        <v>5</v>
      </c>
      <c r="E131" s="38">
        <v>25</v>
      </c>
      <c r="F131" s="73">
        <v>0</v>
      </c>
      <c r="G131" s="73">
        <v>0</v>
      </c>
      <c r="H131" s="38">
        <v>25</v>
      </c>
      <c r="I131" s="49">
        <v>341880</v>
      </c>
      <c r="J131" s="49">
        <v>37606.800000000003</v>
      </c>
      <c r="K131" s="49">
        <v>379486.8</v>
      </c>
      <c r="L131" s="39">
        <v>8547000</v>
      </c>
      <c r="M131" s="39"/>
      <c r="N131" s="39"/>
      <c r="O131" s="132"/>
      <c r="P131" s="132">
        <v>9487170</v>
      </c>
      <c r="Q131" s="40">
        <v>0</v>
      </c>
      <c r="R131" s="46">
        <v>0</v>
      </c>
      <c r="S131" s="47">
        <v>25</v>
      </c>
      <c r="T131" s="78">
        <v>0</v>
      </c>
      <c r="V131" s="101" t="s">
        <v>212</v>
      </c>
      <c r="W131" s="32"/>
      <c r="X131" s="42" t="e">
        <v>#REF!</v>
      </c>
    </row>
    <row r="132" spans="1:24">
      <c r="A132" s="30">
        <v>3</v>
      </c>
      <c r="B132" s="30"/>
      <c r="C132" s="87" t="s">
        <v>114</v>
      </c>
      <c r="D132" s="37" t="s">
        <v>5</v>
      </c>
      <c r="E132" s="38">
        <v>25</v>
      </c>
      <c r="F132" s="73">
        <v>0</v>
      </c>
      <c r="G132" s="73">
        <v>0</v>
      </c>
      <c r="H132" s="38">
        <v>25</v>
      </c>
      <c r="I132" s="48">
        <v>79856</v>
      </c>
      <c r="J132" s="49">
        <v>8784.16</v>
      </c>
      <c r="K132" s="49">
        <v>88640.16</v>
      </c>
      <c r="L132" s="39">
        <v>1996400</v>
      </c>
      <c r="M132" s="39"/>
      <c r="N132" s="39"/>
      <c r="O132" s="132"/>
      <c r="P132" s="132">
        <v>2216004</v>
      </c>
      <c r="Q132" s="40">
        <v>0</v>
      </c>
      <c r="R132" s="46">
        <v>0</v>
      </c>
      <c r="S132" s="47">
        <v>25</v>
      </c>
      <c r="T132" s="78">
        <v>0</v>
      </c>
      <c r="V132" s="101" t="s">
        <v>212</v>
      </c>
      <c r="W132" s="32"/>
      <c r="X132" s="42" t="e">
        <v>#REF!</v>
      </c>
    </row>
    <row r="133" spans="1:24">
      <c r="A133" s="30">
        <v>4</v>
      </c>
      <c r="B133" s="30"/>
      <c r="C133" s="41" t="s">
        <v>10</v>
      </c>
      <c r="D133" s="37" t="s">
        <v>5</v>
      </c>
      <c r="E133" s="38">
        <v>25</v>
      </c>
      <c r="F133" s="73">
        <v>0</v>
      </c>
      <c r="G133" s="73">
        <v>0</v>
      </c>
      <c r="H133" s="38">
        <v>25</v>
      </c>
      <c r="I133" s="48">
        <v>237247.5</v>
      </c>
      <c r="J133" s="49">
        <v>26097.224999999999</v>
      </c>
      <c r="K133" s="49">
        <v>263344.72499999998</v>
      </c>
      <c r="L133" s="39">
        <v>5931187.5</v>
      </c>
      <c r="M133" s="39"/>
      <c r="N133" s="39"/>
      <c r="O133" s="132"/>
      <c r="P133" s="132">
        <v>6583618.1249999991</v>
      </c>
      <c r="Q133" s="40">
        <v>0</v>
      </c>
      <c r="R133" s="46">
        <v>0</v>
      </c>
      <c r="S133" s="47">
        <v>25</v>
      </c>
      <c r="T133" s="78">
        <v>0</v>
      </c>
      <c r="V133" s="101" t="s">
        <v>212</v>
      </c>
      <c r="W133" s="32"/>
      <c r="X133" s="42" t="e">
        <v>#REF!</v>
      </c>
    </row>
    <row r="134" spans="1:24">
      <c r="A134" s="30">
        <v>5</v>
      </c>
      <c r="B134" s="30"/>
      <c r="C134" s="41" t="s">
        <v>12</v>
      </c>
      <c r="D134" s="37" t="s">
        <v>5</v>
      </c>
      <c r="E134" s="38">
        <v>25</v>
      </c>
      <c r="F134" s="73">
        <v>0</v>
      </c>
      <c r="G134" s="73">
        <v>0</v>
      </c>
      <c r="H134" s="38">
        <v>25</v>
      </c>
      <c r="I134" s="83">
        <v>221482</v>
      </c>
      <c r="J134" s="49">
        <v>24363.02</v>
      </c>
      <c r="K134" s="49">
        <v>245845.02</v>
      </c>
      <c r="L134" s="39">
        <v>5537050</v>
      </c>
      <c r="M134" s="39"/>
      <c r="N134" s="39"/>
      <c r="O134" s="132"/>
      <c r="P134" s="132">
        <v>6146125.5</v>
      </c>
      <c r="Q134" s="40">
        <v>0</v>
      </c>
      <c r="R134" s="46">
        <v>0</v>
      </c>
      <c r="S134" s="47">
        <v>25</v>
      </c>
      <c r="T134" s="78">
        <v>0</v>
      </c>
      <c r="V134" s="101" t="s">
        <v>212</v>
      </c>
      <c r="W134" s="32"/>
      <c r="X134" s="42" t="e">
        <v>#REF!</v>
      </c>
    </row>
    <row r="135" spans="1:24">
      <c r="A135" s="30">
        <v>6</v>
      </c>
      <c r="B135" s="30"/>
      <c r="C135" s="87" t="s">
        <v>60</v>
      </c>
      <c r="D135" s="37" t="s">
        <v>5</v>
      </c>
      <c r="E135" s="38">
        <v>25</v>
      </c>
      <c r="F135" s="73">
        <v>0</v>
      </c>
      <c r="G135" s="73">
        <v>0</v>
      </c>
      <c r="H135" s="38">
        <v>25</v>
      </c>
      <c r="I135" s="48">
        <v>126068.3</v>
      </c>
      <c r="J135" s="49">
        <v>13867.513000000001</v>
      </c>
      <c r="K135" s="49">
        <v>139935.81299999999</v>
      </c>
      <c r="L135" s="39">
        <v>3151707.5</v>
      </c>
      <c r="M135" s="39"/>
      <c r="N135" s="39"/>
      <c r="O135" s="132"/>
      <c r="P135" s="132">
        <v>3498395.3249999997</v>
      </c>
      <c r="Q135" s="40">
        <v>0</v>
      </c>
      <c r="R135" s="46">
        <v>0</v>
      </c>
      <c r="S135" s="47">
        <v>25</v>
      </c>
      <c r="T135" s="78">
        <v>0</v>
      </c>
      <c r="V135" s="101" t="s">
        <v>212</v>
      </c>
      <c r="W135" s="32"/>
      <c r="X135" s="42" t="e">
        <v>#REF!</v>
      </c>
    </row>
    <row r="136" spans="1:24">
      <c r="A136" s="30">
        <v>7</v>
      </c>
      <c r="B136" s="30"/>
      <c r="C136" s="87" t="s">
        <v>19</v>
      </c>
      <c r="D136" s="37" t="s">
        <v>5</v>
      </c>
      <c r="E136" s="38">
        <v>25</v>
      </c>
      <c r="F136" s="73">
        <v>0</v>
      </c>
      <c r="G136" s="73">
        <v>0</v>
      </c>
      <c r="H136" s="38">
        <v>25</v>
      </c>
      <c r="I136" s="48">
        <v>373263.5</v>
      </c>
      <c r="J136" s="49">
        <v>41058.985000000001</v>
      </c>
      <c r="K136" s="49">
        <v>414322.48499999999</v>
      </c>
      <c r="L136" s="39">
        <v>9331587.5</v>
      </c>
      <c r="M136" s="39"/>
      <c r="N136" s="39"/>
      <c r="O136" s="132"/>
      <c r="P136" s="132">
        <v>10358062.125</v>
      </c>
      <c r="Q136" s="40">
        <v>0</v>
      </c>
      <c r="R136" s="46">
        <v>0</v>
      </c>
      <c r="S136" s="47">
        <v>25</v>
      </c>
      <c r="T136" s="78">
        <v>0</v>
      </c>
      <c r="V136" s="101" t="s">
        <v>212</v>
      </c>
      <c r="W136" s="32"/>
      <c r="X136" s="42" t="e">
        <v>#REF!</v>
      </c>
    </row>
    <row r="137" spans="1:24">
      <c r="A137" s="30">
        <v>8</v>
      </c>
      <c r="B137" s="30"/>
      <c r="C137" s="87" t="s">
        <v>21</v>
      </c>
      <c r="D137" s="37" t="s">
        <v>5</v>
      </c>
      <c r="E137" s="38">
        <v>25</v>
      </c>
      <c r="F137" s="73">
        <v>0</v>
      </c>
      <c r="G137" s="73">
        <v>0</v>
      </c>
      <c r="H137" s="38">
        <v>25</v>
      </c>
      <c r="I137" s="48">
        <v>477184</v>
      </c>
      <c r="J137" s="49">
        <v>52490.239999999998</v>
      </c>
      <c r="K137" s="49">
        <v>529674.23999999999</v>
      </c>
      <c r="L137" s="39">
        <v>11929600</v>
      </c>
      <c r="M137" s="39"/>
      <c r="N137" s="39"/>
      <c r="O137" s="132"/>
      <c r="P137" s="132">
        <v>13241856</v>
      </c>
      <c r="Q137" s="40">
        <v>0</v>
      </c>
      <c r="R137" s="46">
        <v>0</v>
      </c>
      <c r="S137" s="47">
        <v>25</v>
      </c>
      <c r="T137" s="78">
        <v>0</v>
      </c>
      <c r="V137" s="101" t="s">
        <v>212</v>
      </c>
      <c r="W137" s="32"/>
      <c r="X137" s="42" t="e">
        <v>#REF!</v>
      </c>
    </row>
    <row r="138" spans="1:24">
      <c r="A138" s="30">
        <v>9</v>
      </c>
      <c r="B138" s="30"/>
      <c r="C138" s="43" t="s">
        <v>82</v>
      </c>
      <c r="D138" s="37" t="s">
        <v>5</v>
      </c>
      <c r="E138" s="38">
        <v>25</v>
      </c>
      <c r="F138" s="73">
        <v>0</v>
      </c>
      <c r="G138" s="73">
        <v>0</v>
      </c>
      <c r="H138" s="38">
        <v>25</v>
      </c>
      <c r="I138" s="49">
        <v>445096</v>
      </c>
      <c r="J138" s="49">
        <v>48960.56</v>
      </c>
      <c r="K138" s="49">
        <v>494056.56</v>
      </c>
      <c r="L138" s="39">
        <v>11127400</v>
      </c>
      <c r="M138" s="39"/>
      <c r="N138" s="39"/>
      <c r="O138" s="132"/>
      <c r="P138" s="132">
        <v>12351414</v>
      </c>
      <c r="Q138" s="40">
        <v>0</v>
      </c>
      <c r="R138" s="46">
        <v>0</v>
      </c>
      <c r="S138" s="47">
        <v>25</v>
      </c>
      <c r="T138" s="78">
        <v>0</v>
      </c>
      <c r="V138" s="101" t="s">
        <v>212</v>
      </c>
      <c r="W138" s="32"/>
      <c r="X138" s="42" t="e">
        <v>#REF!</v>
      </c>
    </row>
    <row r="139" spans="1:24">
      <c r="A139" s="30">
        <v>10</v>
      </c>
      <c r="B139" s="30"/>
      <c r="C139" s="87" t="s">
        <v>73</v>
      </c>
      <c r="D139" s="37" t="s">
        <v>5</v>
      </c>
      <c r="E139" s="38">
        <v>25</v>
      </c>
      <c r="F139" s="73">
        <v>0</v>
      </c>
      <c r="G139" s="73">
        <v>0</v>
      </c>
      <c r="H139" s="38">
        <v>25</v>
      </c>
      <c r="I139" s="48">
        <v>129624</v>
      </c>
      <c r="J139" s="49">
        <v>14258.64</v>
      </c>
      <c r="K139" s="49">
        <v>143882.64000000001</v>
      </c>
      <c r="L139" s="39">
        <v>3240600</v>
      </c>
      <c r="M139" s="39"/>
      <c r="N139" s="39"/>
      <c r="O139" s="132"/>
      <c r="P139" s="132">
        <v>3597066.0000000005</v>
      </c>
      <c r="Q139" s="40">
        <v>0</v>
      </c>
      <c r="R139" s="46">
        <v>0</v>
      </c>
      <c r="S139" s="47">
        <v>25</v>
      </c>
      <c r="T139" s="78">
        <v>0</v>
      </c>
      <c r="V139" s="101" t="s">
        <v>212</v>
      </c>
      <c r="W139" s="32"/>
      <c r="X139" s="42" t="e">
        <v>#REF!</v>
      </c>
    </row>
    <row r="140" spans="1:24">
      <c r="A140" s="30">
        <v>11</v>
      </c>
      <c r="B140" s="30"/>
      <c r="C140" s="87" t="s">
        <v>115</v>
      </c>
      <c r="D140" s="37" t="s">
        <v>5</v>
      </c>
      <c r="E140" s="38">
        <v>25</v>
      </c>
      <c r="F140" s="73">
        <v>0</v>
      </c>
      <c r="G140" s="73">
        <v>0</v>
      </c>
      <c r="H140" s="38">
        <v>25</v>
      </c>
      <c r="I140" s="48">
        <v>14124</v>
      </c>
      <c r="J140" s="49"/>
      <c r="K140" s="49">
        <v>14124</v>
      </c>
      <c r="L140" s="39">
        <v>353100</v>
      </c>
      <c r="M140" s="39"/>
      <c r="N140" s="39"/>
      <c r="O140" s="132"/>
      <c r="P140" s="132">
        <v>353100</v>
      </c>
      <c r="Q140" s="40">
        <v>0</v>
      </c>
      <c r="R140" s="46">
        <v>0</v>
      </c>
      <c r="S140" s="47">
        <v>25</v>
      </c>
      <c r="T140" s="78">
        <v>0</v>
      </c>
      <c r="V140" s="101" t="s">
        <v>212</v>
      </c>
      <c r="W140" s="32"/>
      <c r="X140" s="42" t="e">
        <v>#REF!</v>
      </c>
    </row>
    <row r="141" spans="1:24" ht="30.9">
      <c r="A141" s="30">
        <v>12</v>
      </c>
      <c r="B141" s="30"/>
      <c r="C141" s="89" t="s">
        <v>209</v>
      </c>
      <c r="D141" s="37" t="s">
        <v>5</v>
      </c>
      <c r="E141" s="38">
        <v>50</v>
      </c>
      <c r="F141" s="73">
        <v>0</v>
      </c>
      <c r="G141" s="73">
        <v>0</v>
      </c>
      <c r="H141" s="38">
        <v>50</v>
      </c>
      <c r="I141" s="49">
        <v>8898</v>
      </c>
      <c r="J141" s="49">
        <v>978.78</v>
      </c>
      <c r="K141" s="49">
        <v>9876.7800000000007</v>
      </c>
      <c r="L141" s="39">
        <v>444900</v>
      </c>
      <c r="M141" s="39"/>
      <c r="N141" s="39"/>
      <c r="O141" s="132"/>
      <c r="P141" s="132">
        <v>493839.00000000006</v>
      </c>
      <c r="Q141" s="40">
        <v>0</v>
      </c>
      <c r="R141" s="46">
        <v>0</v>
      </c>
      <c r="S141" s="47">
        <v>50</v>
      </c>
      <c r="T141" s="78">
        <v>0</v>
      </c>
      <c r="V141" s="101" t="s">
        <v>212</v>
      </c>
      <c r="W141" s="32"/>
      <c r="X141" s="42" t="e">
        <v>#REF!</v>
      </c>
    </row>
    <row r="142" spans="1:24">
      <c r="A142" s="30">
        <v>13</v>
      </c>
      <c r="B142" s="30"/>
      <c r="C142" s="87" t="s">
        <v>178</v>
      </c>
      <c r="D142" s="37" t="s">
        <v>5</v>
      </c>
      <c r="E142" s="38">
        <v>9</v>
      </c>
      <c r="F142" s="73">
        <v>0</v>
      </c>
      <c r="G142" s="73">
        <v>0</v>
      </c>
      <c r="H142" s="38">
        <v>9</v>
      </c>
      <c r="I142" s="48">
        <v>85000</v>
      </c>
      <c r="J142" s="49">
        <v>9350</v>
      </c>
      <c r="K142" s="49">
        <v>94350</v>
      </c>
      <c r="L142" s="39">
        <v>765000</v>
      </c>
      <c r="M142" s="39"/>
      <c r="N142" s="39"/>
      <c r="O142" s="132"/>
      <c r="P142" s="132">
        <v>849150</v>
      </c>
      <c r="Q142" s="40">
        <v>0</v>
      </c>
      <c r="R142" s="46">
        <v>0</v>
      </c>
      <c r="S142" s="47">
        <v>9</v>
      </c>
      <c r="T142" s="78">
        <v>0</v>
      </c>
      <c r="V142" s="101" t="s">
        <v>212</v>
      </c>
      <c r="W142" s="32"/>
      <c r="X142" s="42" t="e">
        <v>#REF!</v>
      </c>
    </row>
    <row r="143" spans="1:24">
      <c r="A143" s="30">
        <v>14</v>
      </c>
      <c r="B143" s="30"/>
      <c r="C143" s="87" t="s">
        <v>208</v>
      </c>
      <c r="D143" s="37" t="s">
        <v>5</v>
      </c>
      <c r="E143" s="38">
        <v>45</v>
      </c>
      <c r="F143" s="73">
        <v>0</v>
      </c>
      <c r="G143" s="73">
        <v>0</v>
      </c>
      <c r="H143" s="38">
        <v>45</v>
      </c>
      <c r="I143" s="48">
        <v>7200</v>
      </c>
      <c r="J143" s="49"/>
      <c r="K143" s="49">
        <v>7200</v>
      </c>
      <c r="L143" s="39">
        <v>324000</v>
      </c>
      <c r="M143" s="39"/>
      <c r="N143" s="39"/>
      <c r="O143" s="132"/>
      <c r="P143" s="132">
        <v>324000</v>
      </c>
      <c r="Q143" s="40">
        <v>0</v>
      </c>
      <c r="R143" s="46">
        <v>0</v>
      </c>
      <c r="S143" s="47">
        <v>45</v>
      </c>
      <c r="T143" s="78">
        <v>0</v>
      </c>
      <c r="V143" s="101" t="s">
        <v>212</v>
      </c>
      <c r="W143" s="32"/>
      <c r="X143" s="42" t="e">
        <v>#REF!</v>
      </c>
    </row>
    <row r="144" spans="1:24">
      <c r="A144" s="30">
        <v>15</v>
      </c>
      <c r="B144" s="30"/>
      <c r="C144" s="87" t="s">
        <v>53</v>
      </c>
      <c r="D144" s="37" t="s">
        <v>5</v>
      </c>
      <c r="E144" s="38">
        <v>20</v>
      </c>
      <c r="F144" s="73">
        <v>0</v>
      </c>
      <c r="G144" s="73">
        <v>0</v>
      </c>
      <c r="H144" s="38">
        <v>20</v>
      </c>
      <c r="I144" s="48">
        <v>24743.75</v>
      </c>
      <c r="J144" s="49"/>
      <c r="K144" s="49">
        <v>24743.75</v>
      </c>
      <c r="L144" s="39">
        <v>494875</v>
      </c>
      <c r="M144" s="39"/>
      <c r="N144" s="39"/>
      <c r="O144" s="132"/>
      <c r="P144" s="132">
        <v>494875</v>
      </c>
      <c r="Q144" s="40">
        <v>0</v>
      </c>
      <c r="R144" s="46">
        <v>0</v>
      </c>
      <c r="S144" s="47">
        <v>20</v>
      </c>
      <c r="T144" s="78">
        <v>0</v>
      </c>
      <c r="V144" s="101" t="s">
        <v>212</v>
      </c>
      <c r="W144" s="32"/>
      <c r="X144" s="42" t="e">
        <v>#REF!</v>
      </c>
    </row>
    <row r="145" spans="1:24">
      <c r="A145" s="30">
        <v>16</v>
      </c>
      <c r="B145" s="30"/>
      <c r="C145" s="87" t="s">
        <v>16</v>
      </c>
      <c r="D145" s="37" t="s">
        <v>5</v>
      </c>
      <c r="E145" s="38">
        <v>20</v>
      </c>
      <c r="F145" s="73">
        <v>0</v>
      </c>
      <c r="G145" s="73">
        <v>0</v>
      </c>
      <c r="H145" s="38">
        <v>20</v>
      </c>
      <c r="I145" s="48">
        <v>168300</v>
      </c>
      <c r="J145" s="49">
        <v>18513</v>
      </c>
      <c r="K145" s="49">
        <v>186813</v>
      </c>
      <c r="L145" s="39">
        <v>3366000</v>
      </c>
      <c r="M145" s="39"/>
      <c r="N145" s="39"/>
      <c r="O145" s="132"/>
      <c r="P145" s="132">
        <v>3736260</v>
      </c>
      <c r="Q145" s="40">
        <v>0</v>
      </c>
      <c r="R145" s="46">
        <v>0</v>
      </c>
      <c r="S145" s="47">
        <v>20</v>
      </c>
      <c r="T145" s="78">
        <v>0</v>
      </c>
      <c r="V145" s="101" t="s">
        <v>212</v>
      </c>
      <c r="W145" s="32"/>
      <c r="X145" s="42" t="e">
        <v>#REF!</v>
      </c>
    </row>
    <row r="146" spans="1:24">
      <c r="A146" s="30">
        <v>17</v>
      </c>
      <c r="B146" s="30"/>
      <c r="C146" s="87" t="s">
        <v>45</v>
      </c>
      <c r="D146" s="37" t="s">
        <v>5</v>
      </c>
      <c r="E146" s="38">
        <v>50</v>
      </c>
      <c r="F146" s="73">
        <v>0</v>
      </c>
      <c r="G146" s="73">
        <v>0</v>
      </c>
      <c r="H146" s="38">
        <v>50</v>
      </c>
      <c r="I146" s="48">
        <v>13500</v>
      </c>
      <c r="J146" s="49">
        <v>1485</v>
      </c>
      <c r="K146" s="49">
        <v>14985</v>
      </c>
      <c r="L146" s="39">
        <v>675000</v>
      </c>
      <c r="M146" s="39"/>
      <c r="N146" s="39"/>
      <c r="O146" s="132"/>
      <c r="P146" s="132">
        <v>749250</v>
      </c>
      <c r="Q146" s="40">
        <v>0</v>
      </c>
      <c r="R146" s="46">
        <v>0</v>
      </c>
      <c r="S146" s="47">
        <v>50</v>
      </c>
      <c r="T146" s="78">
        <v>0</v>
      </c>
      <c r="V146" s="101" t="s">
        <v>214</v>
      </c>
      <c r="W146" s="32"/>
      <c r="X146" s="42" t="e">
        <v>#REF!</v>
      </c>
    </row>
    <row r="147" spans="1:24">
      <c r="A147" s="30">
        <v>18</v>
      </c>
      <c r="B147" s="30"/>
      <c r="C147" s="87" t="s">
        <v>179</v>
      </c>
      <c r="D147" s="37" t="s">
        <v>5</v>
      </c>
      <c r="E147" s="38">
        <v>575</v>
      </c>
      <c r="F147" s="73">
        <v>0</v>
      </c>
      <c r="G147" s="73">
        <v>0</v>
      </c>
      <c r="H147" s="38">
        <v>575</v>
      </c>
      <c r="I147" s="49">
        <v>3427</v>
      </c>
      <c r="J147" s="49">
        <v>376.97</v>
      </c>
      <c r="K147" s="49">
        <v>3803.9700000000003</v>
      </c>
      <c r="L147" s="39">
        <v>1970525</v>
      </c>
      <c r="M147" s="39"/>
      <c r="N147" s="39"/>
      <c r="O147" s="132"/>
      <c r="P147" s="132">
        <v>2187282.75</v>
      </c>
      <c r="Q147" s="40">
        <v>0</v>
      </c>
      <c r="R147" s="46">
        <v>0</v>
      </c>
      <c r="S147" s="47">
        <v>575</v>
      </c>
      <c r="T147" s="78">
        <v>0</v>
      </c>
      <c r="V147" s="101" t="s">
        <v>214</v>
      </c>
      <c r="W147" s="32"/>
      <c r="X147" s="42" t="e">
        <v>#REF!</v>
      </c>
    </row>
    <row r="148" spans="1:24" ht="30.9">
      <c r="A148" s="30">
        <v>19</v>
      </c>
      <c r="B148" s="30"/>
      <c r="C148" s="89" t="s">
        <v>176</v>
      </c>
      <c r="D148" s="37" t="s">
        <v>5</v>
      </c>
      <c r="E148" s="38">
        <v>25</v>
      </c>
      <c r="F148" s="73">
        <v>0</v>
      </c>
      <c r="G148" s="73">
        <v>0</v>
      </c>
      <c r="H148" s="38">
        <v>25</v>
      </c>
      <c r="I148" s="48">
        <v>35000</v>
      </c>
      <c r="J148" s="49">
        <v>3850</v>
      </c>
      <c r="K148" s="49">
        <v>38850</v>
      </c>
      <c r="L148" s="39">
        <v>875000</v>
      </c>
      <c r="M148" s="39"/>
      <c r="N148" s="39"/>
      <c r="O148" s="132"/>
      <c r="P148" s="132">
        <v>971250</v>
      </c>
      <c r="Q148" s="40">
        <v>0</v>
      </c>
      <c r="R148" s="46">
        <v>0</v>
      </c>
      <c r="S148" s="47">
        <v>25</v>
      </c>
      <c r="T148" s="78">
        <v>0</v>
      </c>
      <c r="V148" s="101" t="s">
        <v>214</v>
      </c>
      <c r="W148" s="32"/>
      <c r="X148" s="42" t="e">
        <v>#REF!</v>
      </c>
    </row>
    <row r="149" spans="1:24" ht="30.9">
      <c r="A149" s="30">
        <v>20</v>
      </c>
      <c r="B149" s="30"/>
      <c r="C149" s="89" t="s">
        <v>177</v>
      </c>
      <c r="D149" s="37" t="s">
        <v>5</v>
      </c>
      <c r="E149" s="38">
        <v>25</v>
      </c>
      <c r="F149" s="73">
        <v>0</v>
      </c>
      <c r="G149" s="73">
        <v>0</v>
      </c>
      <c r="H149" s="38">
        <v>25</v>
      </c>
      <c r="I149" s="49">
        <v>48000</v>
      </c>
      <c r="J149" s="49">
        <v>5280</v>
      </c>
      <c r="K149" s="49">
        <v>53280</v>
      </c>
      <c r="L149" s="39">
        <v>1200000</v>
      </c>
      <c r="M149" s="39"/>
      <c r="N149" s="39"/>
      <c r="O149" s="132"/>
      <c r="P149" s="132">
        <v>1332000</v>
      </c>
      <c r="Q149" s="40">
        <v>0</v>
      </c>
      <c r="R149" s="46">
        <v>0</v>
      </c>
      <c r="S149" s="47">
        <v>25</v>
      </c>
      <c r="T149" s="78">
        <v>0</v>
      </c>
      <c r="V149" s="101" t="s">
        <v>214</v>
      </c>
      <c r="W149" s="32"/>
      <c r="X149" s="42" t="e">
        <v>#REF!</v>
      </c>
    </row>
    <row r="150" spans="1:24">
      <c r="A150" s="30"/>
      <c r="B150" s="30"/>
      <c r="C150" s="89"/>
      <c r="D150" s="37"/>
      <c r="E150" s="172">
        <v>1087</v>
      </c>
      <c r="F150" s="172">
        <v>0</v>
      </c>
      <c r="G150" s="172">
        <v>0</v>
      </c>
      <c r="H150" s="172">
        <v>1087</v>
      </c>
      <c r="I150" s="49"/>
      <c r="J150" s="49"/>
      <c r="K150" s="49"/>
      <c r="L150" s="169">
        <v>71598173.299999997</v>
      </c>
      <c r="M150" s="39"/>
      <c r="N150" s="39"/>
      <c r="O150" s="132"/>
      <c r="P150" s="168">
        <v>79307958.625</v>
      </c>
      <c r="Q150" s="40"/>
      <c r="S150" s="47"/>
      <c r="V150" s="101"/>
      <c r="W150" s="32"/>
      <c r="X150" s="42"/>
    </row>
    <row r="151" spans="1:24">
      <c r="A151" s="30"/>
      <c r="B151" s="30"/>
      <c r="C151" s="89"/>
      <c r="D151" s="37"/>
      <c r="E151" s="38"/>
      <c r="F151" s="38"/>
      <c r="G151" s="38"/>
      <c r="H151" s="38"/>
      <c r="I151" s="49"/>
      <c r="J151" s="49"/>
      <c r="K151" s="49"/>
      <c r="L151" s="39"/>
      <c r="M151" s="39"/>
      <c r="N151" s="39"/>
      <c r="O151" s="132"/>
      <c r="P151" s="132"/>
      <c r="Q151" s="40"/>
      <c r="S151" s="47"/>
      <c r="V151" s="101"/>
      <c r="W151" s="32"/>
      <c r="X151" s="42"/>
    </row>
    <row r="152" spans="1:24" ht="15.9" thickBot="1">
      <c r="A152" s="33"/>
      <c r="B152" s="33"/>
      <c r="C152" s="34"/>
      <c r="D152" s="16"/>
      <c r="E152" s="35"/>
      <c r="F152" s="35"/>
      <c r="G152" s="35"/>
      <c r="H152" s="35"/>
      <c r="I152" s="84"/>
      <c r="J152" s="84"/>
      <c r="K152" s="84"/>
      <c r="L152" s="18"/>
      <c r="M152" s="18"/>
      <c r="N152" s="18"/>
      <c r="O152" s="133"/>
      <c r="P152" s="133"/>
      <c r="Q152" s="36"/>
      <c r="S152" s="47"/>
      <c r="V152" s="100"/>
    </row>
    <row r="153" spans="1:24" ht="16.3" thickTop="1" thickBot="1">
      <c r="A153" s="14"/>
      <c r="B153" s="155"/>
      <c r="C153" s="15" t="s">
        <v>4</v>
      </c>
      <c r="D153" s="16"/>
      <c r="E153" s="17">
        <v>42010.47</v>
      </c>
      <c r="F153" s="17">
        <v>17351</v>
      </c>
      <c r="G153" s="17">
        <v>29764.222999999998</v>
      </c>
      <c r="H153" s="17">
        <v>29603.190000000002</v>
      </c>
      <c r="I153" s="84"/>
      <c r="J153" s="84"/>
      <c r="K153" s="85"/>
      <c r="L153" s="134">
        <v>1030838747.688</v>
      </c>
      <c r="M153" s="19"/>
      <c r="N153" s="19"/>
      <c r="O153" s="134"/>
      <c r="P153" s="134">
        <v>1145932447.6956801</v>
      </c>
      <c r="Q153" s="20">
        <v>0</v>
      </c>
      <c r="R153" s="50">
        <v>-5.9430000000000494</v>
      </c>
      <c r="S153" s="50">
        <v>29597.247000000003</v>
      </c>
      <c r="T153" s="80">
        <v>29764.222999999998</v>
      </c>
      <c r="V153" s="100"/>
      <c r="X153" s="42"/>
    </row>
    <row r="154" spans="1:24" ht="15.9" thickTop="1">
      <c r="C154" s="9"/>
      <c r="F154" s="3" t="s">
        <v>75</v>
      </c>
      <c r="U154" s="22"/>
      <c r="V154" s="100"/>
    </row>
    <row r="155" spans="1:24">
      <c r="C155" s="9"/>
      <c r="E155" s="23"/>
      <c r="V155" s="100"/>
    </row>
    <row r="156" spans="1:24">
      <c r="C156" s="9"/>
      <c r="Q156" s="24"/>
      <c r="V156" s="100"/>
    </row>
    <row r="157" spans="1:24">
      <c r="C157" s="9"/>
      <c r="V157" s="100"/>
    </row>
    <row r="158" spans="1:24">
      <c r="V158" s="100"/>
    </row>
    <row r="159" spans="1:24">
      <c r="V159" s="100"/>
    </row>
    <row r="160" spans="1:24">
      <c r="R160" s="46">
        <v>157</v>
      </c>
      <c r="V160" s="100"/>
    </row>
    <row r="161" spans="22:22">
      <c r="V161" s="100"/>
    </row>
    <row r="162" spans="22:22">
      <c r="V162" s="100"/>
    </row>
    <row r="163" spans="22:22">
      <c r="V163" s="100"/>
    </row>
    <row r="164" spans="22:22">
      <c r="V164" s="100"/>
    </row>
    <row r="165" spans="22:22">
      <c r="V165" s="100"/>
    </row>
    <row r="166" spans="22:22">
      <c r="V166" s="100"/>
    </row>
    <row r="167" spans="22:22">
      <c r="V167" s="100"/>
    </row>
    <row r="168" spans="22:22">
      <c r="V168" s="100"/>
    </row>
    <row r="169" spans="22:22">
      <c r="V169" s="100"/>
    </row>
    <row r="170" spans="22:22">
      <c r="V170" s="100"/>
    </row>
    <row r="171" spans="22:22">
      <c r="V171" s="100"/>
    </row>
    <row r="172" spans="22:22">
      <c r="V172" s="100"/>
    </row>
    <row r="173" spans="22:22">
      <c r="V173" s="100"/>
    </row>
    <row r="174" spans="22:22">
      <c r="V174" s="100"/>
    </row>
    <row r="175" spans="22:22">
      <c r="V175" s="100"/>
    </row>
    <row r="176" spans="22:22">
      <c r="V176" s="100"/>
    </row>
    <row r="177" spans="22:22">
      <c r="V177" s="100"/>
    </row>
    <row r="178" spans="22:22">
      <c r="V178" s="100"/>
    </row>
    <row r="179" spans="22:22">
      <c r="V179" s="100"/>
    </row>
    <row r="180" spans="22:22">
      <c r="V180" s="100"/>
    </row>
    <row r="181" spans="22:22">
      <c r="V181" s="100"/>
    </row>
    <row r="182" spans="22:22">
      <c r="V182" s="100"/>
    </row>
    <row r="183" spans="22:22">
      <c r="V183" s="100"/>
    </row>
    <row r="184" spans="22:22">
      <c r="V184" s="100"/>
    </row>
    <row r="185" spans="22:22">
      <c r="V185" s="100"/>
    </row>
    <row r="186" spans="22:22">
      <c r="V186" s="100"/>
    </row>
    <row r="187" spans="22:22">
      <c r="V187" s="100"/>
    </row>
    <row r="188" spans="22:22">
      <c r="V188" s="100"/>
    </row>
    <row r="189" spans="22:22">
      <c r="V189" s="100"/>
    </row>
    <row r="190" spans="22:22">
      <c r="V190" s="100"/>
    </row>
    <row r="191" spans="22:22">
      <c r="V191" s="100"/>
    </row>
    <row r="192" spans="22:22">
      <c r="V192" s="100"/>
    </row>
    <row r="193" spans="4:22">
      <c r="V193" s="100"/>
    </row>
    <row r="194" spans="4:22">
      <c r="V194" s="100"/>
    </row>
    <row r="195" spans="4:22">
      <c r="V195" s="100"/>
    </row>
    <row r="196" spans="4:22">
      <c r="V196" s="100"/>
    </row>
    <row r="197" spans="4:22">
      <c r="V197" s="100"/>
    </row>
    <row r="198" spans="4:22">
      <c r="V198" s="100"/>
    </row>
    <row r="199" spans="4:22">
      <c r="V199" s="100"/>
    </row>
    <row r="200" spans="4:22">
      <c r="V200" s="100"/>
    </row>
    <row r="201" spans="4:22">
      <c r="V201" s="100"/>
    </row>
    <row r="202" spans="4:22">
      <c r="D202" s="6"/>
      <c r="E202" s="6"/>
      <c r="F202" s="25"/>
      <c r="G202" s="25"/>
      <c r="H202" s="25"/>
      <c r="L202" s="6"/>
      <c r="M202" s="6"/>
      <c r="N202" s="6"/>
      <c r="R202" s="22"/>
      <c r="S202" s="22"/>
      <c r="T202" s="81"/>
      <c r="V202" s="100"/>
    </row>
    <row r="203" spans="4:22">
      <c r="D203" s="6"/>
      <c r="E203" s="6"/>
      <c r="F203" s="25"/>
      <c r="G203" s="25"/>
      <c r="H203" s="25"/>
      <c r="L203" s="6"/>
      <c r="M203" s="6"/>
      <c r="N203" s="6"/>
      <c r="R203" s="22"/>
      <c r="S203" s="22"/>
      <c r="T203" s="81"/>
      <c r="V203" s="100"/>
    </row>
    <row r="204" spans="4:22">
      <c r="V204" s="100"/>
    </row>
    <row r="205" spans="4:22">
      <c r="V205" s="100"/>
    </row>
    <row r="206" spans="4:22">
      <c r="V206" s="100"/>
    </row>
    <row r="207" spans="4:22">
      <c r="V207" s="100"/>
    </row>
    <row r="208" spans="4:22">
      <c r="V208" s="100"/>
    </row>
    <row r="209" spans="4:22">
      <c r="V209" s="100"/>
    </row>
    <row r="210" spans="4:22">
      <c r="D210" s="26"/>
      <c r="V210" s="100"/>
    </row>
    <row r="211" spans="4:22">
      <c r="D211" s="27"/>
      <c r="V211" s="100"/>
    </row>
    <row r="212" spans="4:22">
      <c r="D212" s="27"/>
      <c r="V212" s="100"/>
    </row>
    <row r="213" spans="4:22">
      <c r="D213" s="27"/>
      <c r="V213" s="100"/>
    </row>
    <row r="214" spans="4:22">
      <c r="D214" s="27"/>
      <c r="V214" s="100"/>
    </row>
    <row r="215" spans="4:22">
      <c r="D215" s="27"/>
      <c r="V215" s="100"/>
    </row>
    <row r="216" spans="4:22">
      <c r="D216" s="28"/>
      <c r="V216" s="100"/>
    </row>
    <row r="217" spans="4:22">
      <c r="D217" s="27"/>
      <c r="V217" s="100"/>
    </row>
    <row r="218" spans="4:22">
      <c r="D218" s="27"/>
      <c r="V218" s="100"/>
    </row>
    <row r="219" spans="4:22">
      <c r="D219" s="27"/>
      <c r="V219" s="100"/>
    </row>
    <row r="220" spans="4:22">
      <c r="D220" s="27"/>
      <c r="V220" s="100"/>
    </row>
    <row r="221" spans="4:22">
      <c r="D221" s="27"/>
      <c r="V221" s="100"/>
    </row>
    <row r="222" spans="4:22">
      <c r="D222" s="27"/>
      <c r="V222" s="100"/>
    </row>
    <row r="223" spans="4:22">
      <c r="D223" s="27"/>
      <c r="V223" s="100"/>
    </row>
    <row r="224" spans="4:22">
      <c r="D224" s="10"/>
      <c r="V224" s="100"/>
    </row>
    <row r="225" spans="3:22">
      <c r="D225" s="10"/>
      <c r="V225" s="100"/>
    </row>
    <row r="226" spans="3:22">
      <c r="V226" s="100"/>
    </row>
    <row r="227" spans="3:22">
      <c r="V227" s="100"/>
    </row>
    <row r="228" spans="3:22">
      <c r="V228" s="100"/>
    </row>
    <row r="229" spans="3:22">
      <c r="V229" s="100"/>
    </row>
    <row r="230" spans="3:22">
      <c r="V230" s="100"/>
    </row>
    <row r="231" spans="3:22">
      <c r="V231" s="100"/>
    </row>
    <row r="232" spans="3:22">
      <c r="V232" s="100"/>
    </row>
    <row r="233" spans="3:22">
      <c r="V233" s="100"/>
    </row>
    <row r="234" spans="3:22">
      <c r="V234" s="100"/>
    </row>
    <row r="235" spans="3:22">
      <c r="V235" s="100"/>
    </row>
    <row r="236" spans="3:22">
      <c r="V236" s="100"/>
    </row>
    <row r="237" spans="3:22">
      <c r="V237" s="100"/>
    </row>
    <row r="238" spans="3:22">
      <c r="C238" s="26"/>
      <c r="V238" s="100"/>
    </row>
    <row r="239" spans="3:22">
      <c r="C239" s="13"/>
      <c r="V239" s="100"/>
    </row>
    <row r="240" spans="3:22">
      <c r="C240" s="13"/>
      <c r="V240" s="100"/>
    </row>
    <row r="241" spans="3:22">
      <c r="C241" s="13"/>
      <c r="V241" s="100"/>
    </row>
    <row r="242" spans="3:22">
      <c r="C242" s="13"/>
      <c r="V242" s="100"/>
    </row>
    <row r="243" spans="3:22">
      <c r="C243" s="13"/>
      <c r="V243" s="100"/>
    </row>
    <row r="244" spans="3:22">
      <c r="C244" s="29"/>
      <c r="V244" s="100"/>
    </row>
    <row r="245" spans="3:22">
      <c r="C245" s="13"/>
      <c r="V245" s="100"/>
    </row>
    <row r="246" spans="3:22">
      <c r="C246" s="13"/>
      <c r="V246" s="100"/>
    </row>
    <row r="247" spans="3:22">
      <c r="C247" s="13"/>
      <c r="V247" s="100"/>
    </row>
    <row r="248" spans="3:22">
      <c r="C248" s="13"/>
      <c r="V248" s="100"/>
    </row>
    <row r="249" spans="3:22">
      <c r="C249" s="13"/>
      <c r="V249" s="100"/>
    </row>
    <row r="250" spans="3:22">
      <c r="C250" s="13"/>
      <c r="V250" s="100"/>
    </row>
    <row r="251" spans="3:22">
      <c r="C251" s="13"/>
      <c r="V251" s="100"/>
    </row>
    <row r="252" spans="3:22">
      <c r="C252" s="9"/>
      <c r="V252" s="100"/>
    </row>
    <row r="253" spans="3:22">
      <c r="C253" s="9"/>
      <c r="V253" s="100"/>
    </row>
  </sheetData>
  <sheetProtection selectLockedCells="1" selectUnlockedCells="1"/>
  <autoFilter ref="A5:X149" xr:uid="{A9F8F722-E5B9-419C-852B-8B067C24397B}"/>
  <conditionalFormatting sqref="C6">
    <cfRule type="duplicateValues" dxfId="3" priority="1" stopIfTrue="1"/>
  </conditionalFormatting>
  <conditionalFormatting sqref="C65:C151 C6:C63">
    <cfRule type="duplicateValues" dxfId="2" priority="61" stopIfTrue="1"/>
  </conditionalFormatting>
  <pageMargins left="1.5" right="0" top="0" bottom="0.5" header="0.51180555555555596" footer="0.51180555555555596"/>
  <pageSetup paperSize="5" scale="67" firstPageNumber="0" orientation="landscape" blackAndWhite="1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5B889-B19F-47D4-85C2-50C76A85F627}">
  <dimension ref="A1:W753"/>
  <sheetViews>
    <sheetView showGridLines="0" workbookViewId="0">
      <pane ySplit="5" topLeftCell="A6" activePane="bottomLeft" state="frozen"/>
      <selection pane="bottomLeft" activeCell="U4" sqref="U4"/>
    </sheetView>
  </sheetViews>
  <sheetFormatPr defaultColWidth="9.15234375" defaultRowHeight="14.6"/>
  <cols>
    <col min="1" max="1" width="13.3828125" style="135" customWidth="1"/>
    <col min="2" max="3" width="9.15234375" style="135"/>
    <col min="4" max="5" width="9.15234375" style="135" hidden="1" customWidth="1"/>
    <col min="6" max="6" width="17.53515625" style="135" customWidth="1"/>
    <col min="7" max="7" width="16.15234375" style="135" bestFit="1" customWidth="1"/>
    <col min="8" max="9" width="9.15234375" style="135" hidden="1" customWidth="1"/>
    <col min="10" max="10" width="9.15234375" style="135"/>
    <col min="11" max="11" width="36.84375" style="135" bestFit="1" customWidth="1"/>
    <col min="12" max="12" width="9.15234375" style="135" customWidth="1"/>
    <col min="13" max="14" width="9.15234375" style="135" hidden="1" customWidth="1"/>
    <col min="15" max="16" width="13.15234375" style="154" hidden="1" customWidth="1"/>
    <col min="17" max="17" width="14.3828125" style="135" bestFit="1" customWidth="1"/>
    <col min="18" max="19" width="9.15234375" style="135" hidden="1" customWidth="1"/>
    <col min="20" max="20" width="20.69140625" style="135" customWidth="1"/>
    <col min="21" max="21" width="18.15234375" style="135" bestFit="1" customWidth="1"/>
    <col min="22" max="16384" width="9.15234375" style="135"/>
  </cols>
  <sheetData>
    <row r="1" spans="1:23" ht="22.75">
      <c r="A1" s="52" t="s">
        <v>116</v>
      </c>
      <c r="B1" s="52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151"/>
      <c r="P1" s="151"/>
      <c r="Q1" s="55"/>
      <c r="R1" s="54"/>
      <c r="S1" s="56"/>
      <c r="T1" s="56"/>
      <c r="U1" s="56"/>
    </row>
    <row r="2" spans="1:23" ht="22.75">
      <c r="A2" s="57" t="s">
        <v>117</v>
      </c>
      <c r="B2" s="57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151"/>
      <c r="P2" s="151"/>
      <c r="Q2" s="55"/>
      <c r="R2" s="54"/>
      <c r="S2" s="56"/>
      <c r="T2" s="56"/>
      <c r="U2" s="56"/>
    </row>
    <row r="3" spans="1:23" ht="22.75">
      <c r="A3" s="59" t="s">
        <v>118</v>
      </c>
      <c r="B3" s="59"/>
      <c r="C3" s="60" t="s">
        <v>458</v>
      </c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151"/>
      <c r="P3" s="151"/>
      <c r="Q3" s="61"/>
      <c r="R3" s="54"/>
      <c r="S3" s="56"/>
      <c r="T3" s="56"/>
      <c r="U3" s="56"/>
    </row>
    <row r="4" spans="1:23" ht="22.75">
      <c r="A4" s="59" t="s">
        <v>119</v>
      </c>
      <c r="B4" s="59"/>
      <c r="C4" s="62" t="s">
        <v>120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136" t="s">
        <v>235</v>
      </c>
      <c r="P4" s="137" t="s">
        <v>245</v>
      </c>
      <c r="Q4" s="180">
        <f>SUBTOTAL(9,Q6:Q755)</f>
        <v>29764.322999999993</v>
      </c>
      <c r="R4" s="54"/>
      <c r="S4" s="56"/>
      <c r="T4" s="138">
        <f>SUBTOTAL(9,T6:T755)</f>
        <v>631194685.76440024</v>
      </c>
      <c r="U4" s="138">
        <f>SUBTOTAL(9,U6:U755)</f>
        <v>699351201.19848466</v>
      </c>
    </row>
    <row r="5" spans="1:23">
      <c r="A5" s="140" t="s">
        <v>121</v>
      </c>
      <c r="B5" s="140" t="s">
        <v>85</v>
      </c>
      <c r="C5" s="140" t="s">
        <v>122</v>
      </c>
      <c r="D5" s="141" t="s">
        <v>123</v>
      </c>
      <c r="E5" s="141" t="s">
        <v>124</v>
      </c>
      <c r="F5" s="141" t="s">
        <v>125</v>
      </c>
      <c r="G5" s="141" t="s">
        <v>126</v>
      </c>
      <c r="H5" s="141" t="s">
        <v>127</v>
      </c>
      <c r="I5" s="141" t="s">
        <v>128</v>
      </c>
      <c r="J5" s="141" t="s">
        <v>129</v>
      </c>
      <c r="K5" s="141" t="s">
        <v>130</v>
      </c>
      <c r="L5" s="141" t="s">
        <v>126</v>
      </c>
      <c r="M5" s="141" t="s">
        <v>132</v>
      </c>
      <c r="N5" s="141" t="s">
        <v>133</v>
      </c>
      <c r="O5" s="142" t="s">
        <v>134</v>
      </c>
      <c r="P5" s="142" t="s">
        <v>134</v>
      </c>
      <c r="Q5" s="143" t="s">
        <v>86</v>
      </c>
      <c r="R5" s="143" t="s">
        <v>135</v>
      </c>
      <c r="S5" s="144" t="s">
        <v>136</v>
      </c>
      <c r="T5" s="65" t="s">
        <v>4</v>
      </c>
      <c r="U5" s="65" t="s">
        <v>335</v>
      </c>
      <c r="W5" s="135">
        <v>1000</v>
      </c>
    </row>
    <row r="6" spans="1:23" s="139" customFormat="1">
      <c r="A6" s="146" t="s">
        <v>459</v>
      </c>
      <c r="B6" s="147" t="s">
        <v>460</v>
      </c>
      <c r="C6" s="146" t="s">
        <v>137</v>
      </c>
      <c r="D6" s="146" t="s">
        <v>138</v>
      </c>
      <c r="E6" s="146" t="s">
        <v>139</v>
      </c>
      <c r="F6" s="146" t="s">
        <v>153</v>
      </c>
      <c r="G6" s="148" t="s">
        <v>298</v>
      </c>
      <c r="H6" s="146">
        <v>0</v>
      </c>
      <c r="I6" s="146">
        <v>13</v>
      </c>
      <c r="J6" s="146" t="s">
        <v>315</v>
      </c>
      <c r="K6" s="146" t="s">
        <v>47</v>
      </c>
      <c r="L6" s="148" t="s">
        <v>3</v>
      </c>
      <c r="M6" s="146" t="s">
        <v>142</v>
      </c>
      <c r="N6" s="149">
        <v>1000</v>
      </c>
      <c r="O6" s="152">
        <f>SUMIF('GUDANG BESAR'!C:C,K:K,'GUDANG BESAR'!I:I)</f>
        <v>13000</v>
      </c>
      <c r="P6" s="153">
        <f>SUMIF('GUDANG BESAR'!C:C,K:K,'GUDANG BESAR'!K:K)</f>
        <v>14430</v>
      </c>
      <c r="Q6" s="150">
        <v>2</v>
      </c>
      <c r="R6" s="149">
        <v>2</v>
      </c>
      <c r="S6" s="149">
        <v>0</v>
      </c>
      <c r="T6" s="145">
        <f t="shared" ref="T6:T69" si="0">O6*Q6</f>
        <v>26000</v>
      </c>
      <c r="U6" s="145">
        <f t="shared" ref="U6:U69" si="1">P6*Q6</f>
        <v>28860</v>
      </c>
      <c r="V6" s="135" t="str">
        <f>VLOOKUP(K6,Sheet1!$B$5:$C$131,2,0)</f>
        <v>FINISHING</v>
      </c>
      <c r="W6" s="181">
        <f t="shared" ref="W6:W69" si="2">Q6/$W$5</f>
        <v>2E-3</v>
      </c>
    </row>
    <row r="7" spans="1:23" s="139" customFormat="1">
      <c r="A7" s="146" t="s">
        <v>459</v>
      </c>
      <c r="B7" s="147" t="s">
        <v>460</v>
      </c>
      <c r="C7" s="146" t="s">
        <v>137</v>
      </c>
      <c r="D7" s="146" t="s">
        <v>138</v>
      </c>
      <c r="E7" s="146" t="s">
        <v>139</v>
      </c>
      <c r="F7" s="146" t="s">
        <v>162</v>
      </c>
      <c r="G7" s="148" t="s">
        <v>214</v>
      </c>
      <c r="H7" s="146">
        <v>0</v>
      </c>
      <c r="I7" s="146">
        <v>23</v>
      </c>
      <c r="J7" s="146" t="s">
        <v>463</v>
      </c>
      <c r="K7" s="146" t="s">
        <v>371</v>
      </c>
      <c r="L7" s="148" t="s">
        <v>464</v>
      </c>
      <c r="M7" s="146" t="s">
        <v>142</v>
      </c>
      <c r="N7" s="149">
        <v>1000</v>
      </c>
      <c r="O7" s="152">
        <f>SUMIF('GUDANG BESAR'!C:C,K:K,'GUDANG BESAR'!I:I)</f>
        <v>26000</v>
      </c>
      <c r="P7" s="153">
        <f>SUMIF('GUDANG BESAR'!C:C,K:K,'GUDANG BESAR'!K:K)</f>
        <v>28860</v>
      </c>
      <c r="Q7" s="150">
        <v>30</v>
      </c>
      <c r="R7" s="149">
        <v>30</v>
      </c>
      <c r="S7" s="149">
        <v>0</v>
      </c>
      <c r="T7" s="145">
        <f t="shared" si="0"/>
        <v>780000</v>
      </c>
      <c r="U7" s="145">
        <f t="shared" si="1"/>
        <v>865800</v>
      </c>
      <c r="V7" s="135" t="str">
        <f>VLOOKUP(K7,Sheet1!$B$5:$C$131,2,0)</f>
        <v>LIMBAH</v>
      </c>
      <c r="W7" s="181">
        <f t="shared" si="2"/>
        <v>0.03</v>
      </c>
    </row>
    <row r="8" spans="1:23" s="139" customFormat="1">
      <c r="A8" s="146" t="s">
        <v>459</v>
      </c>
      <c r="B8" s="147" t="s">
        <v>460</v>
      </c>
      <c r="C8" s="146" t="s">
        <v>137</v>
      </c>
      <c r="D8" s="146" t="s">
        <v>138</v>
      </c>
      <c r="E8" s="146" t="s">
        <v>139</v>
      </c>
      <c r="F8" s="146" t="s">
        <v>153</v>
      </c>
      <c r="G8" s="148" t="s">
        <v>299</v>
      </c>
      <c r="H8" s="146">
        <v>0</v>
      </c>
      <c r="I8" s="146">
        <v>9</v>
      </c>
      <c r="J8" s="146" t="s">
        <v>154</v>
      </c>
      <c r="K8" s="146" t="s">
        <v>23</v>
      </c>
      <c r="L8" s="148" t="s">
        <v>3</v>
      </c>
      <c r="M8" s="146" t="s">
        <v>142</v>
      </c>
      <c r="N8" s="149">
        <v>1000</v>
      </c>
      <c r="O8" s="152">
        <f>SUMIF('GUDANG BESAR'!C:C,K:K,'GUDANG BESAR'!I:I)</f>
        <v>28844</v>
      </c>
      <c r="P8" s="153">
        <f>SUMIF('GUDANG BESAR'!C:C,K:K,'GUDANG BESAR'!K:K)</f>
        <v>32016.84</v>
      </c>
      <c r="Q8" s="150">
        <v>50</v>
      </c>
      <c r="R8" s="149">
        <v>50</v>
      </c>
      <c r="S8" s="149">
        <v>0</v>
      </c>
      <c r="T8" s="145">
        <f t="shared" si="0"/>
        <v>1442200</v>
      </c>
      <c r="U8" s="145">
        <f t="shared" si="1"/>
        <v>1600842</v>
      </c>
      <c r="V8" s="135" t="str">
        <f>VLOOKUP(K8,Sheet1!$B$5:$C$131,2,0)</f>
        <v>RC</v>
      </c>
      <c r="W8" s="181">
        <f t="shared" si="2"/>
        <v>0.05</v>
      </c>
    </row>
    <row r="9" spans="1:23" s="139" customFormat="1">
      <c r="A9" s="146" t="s">
        <v>459</v>
      </c>
      <c r="B9" s="147" t="s">
        <v>460</v>
      </c>
      <c r="C9" s="146" t="s">
        <v>137</v>
      </c>
      <c r="D9" s="146" t="s">
        <v>138</v>
      </c>
      <c r="E9" s="146" t="s">
        <v>139</v>
      </c>
      <c r="F9" s="146" t="s">
        <v>153</v>
      </c>
      <c r="G9" s="148" t="s">
        <v>301</v>
      </c>
      <c r="H9" s="146">
        <v>0</v>
      </c>
      <c r="I9" s="146">
        <v>16</v>
      </c>
      <c r="J9" s="146" t="s">
        <v>246</v>
      </c>
      <c r="K9" s="146" t="s">
        <v>7</v>
      </c>
      <c r="L9" s="148" t="s">
        <v>3</v>
      </c>
      <c r="M9" s="146" t="s">
        <v>142</v>
      </c>
      <c r="N9" s="149">
        <v>1000</v>
      </c>
      <c r="O9" s="152">
        <f>SUMIF('GUDANG BESAR'!C:C,K:K,'GUDANG BESAR'!I:I)</f>
        <v>29502</v>
      </c>
      <c r="P9" s="153">
        <f>SUMIF('GUDANG BESAR'!C:C,K:K,'GUDANG BESAR'!K:K)</f>
        <v>32747.22</v>
      </c>
      <c r="Q9" s="150">
        <v>4</v>
      </c>
      <c r="R9" s="149">
        <v>4</v>
      </c>
      <c r="S9" s="149">
        <v>0</v>
      </c>
      <c r="T9" s="145">
        <f t="shared" si="0"/>
        <v>118008</v>
      </c>
      <c r="U9" s="145">
        <f t="shared" si="1"/>
        <v>130988.88</v>
      </c>
      <c r="V9" s="135" t="str">
        <f>VLOOKUP(K9,Sheet1!$B$5:$C$131,2,0)</f>
        <v>DYEING</v>
      </c>
      <c r="W9" s="181">
        <f t="shared" si="2"/>
        <v>4.0000000000000001E-3</v>
      </c>
    </row>
    <row r="10" spans="1:23" s="139" customFormat="1">
      <c r="A10" s="146" t="s">
        <v>459</v>
      </c>
      <c r="B10" s="147" t="s">
        <v>460</v>
      </c>
      <c r="C10" s="146" t="s">
        <v>137</v>
      </c>
      <c r="D10" s="146" t="s">
        <v>138</v>
      </c>
      <c r="E10" s="146" t="s">
        <v>139</v>
      </c>
      <c r="F10" s="146" t="s">
        <v>140</v>
      </c>
      <c r="G10" s="148" t="s">
        <v>300</v>
      </c>
      <c r="H10" s="146">
        <v>0</v>
      </c>
      <c r="I10" s="146">
        <v>5</v>
      </c>
      <c r="J10" s="146" t="s">
        <v>149</v>
      </c>
      <c r="K10" s="146" t="s">
        <v>24</v>
      </c>
      <c r="L10" s="148" t="s">
        <v>3</v>
      </c>
      <c r="M10" s="146" t="s">
        <v>142</v>
      </c>
      <c r="N10" s="149">
        <v>1000</v>
      </c>
      <c r="O10" s="152">
        <f>SUMIF('GUDANG BESAR'!C:C,K:K,'GUDANG BESAR'!I:I)</f>
        <v>12250</v>
      </c>
      <c r="P10" s="153">
        <f>SUMIF('GUDANG BESAR'!C:C,K:K,'GUDANG BESAR'!K:K)</f>
        <v>13597.5</v>
      </c>
      <c r="Q10" s="150">
        <v>2.5</v>
      </c>
      <c r="R10" s="149">
        <v>2</v>
      </c>
      <c r="S10" s="149">
        <v>500</v>
      </c>
      <c r="T10" s="145">
        <f t="shared" si="0"/>
        <v>30625</v>
      </c>
      <c r="U10" s="145">
        <f t="shared" si="1"/>
        <v>33993.75</v>
      </c>
      <c r="V10" s="135" t="str">
        <f>VLOOKUP(K10,Sheet1!$B$5:$C$131,2,0)</f>
        <v>CK</v>
      </c>
      <c r="W10" s="181">
        <f t="shared" si="2"/>
        <v>2.5000000000000001E-3</v>
      </c>
    </row>
    <row r="11" spans="1:23" s="139" customFormat="1">
      <c r="A11" s="146" t="s">
        <v>459</v>
      </c>
      <c r="B11" s="147" t="s">
        <v>460</v>
      </c>
      <c r="C11" s="146" t="s">
        <v>137</v>
      </c>
      <c r="D11" s="146" t="s">
        <v>138</v>
      </c>
      <c r="E11" s="146" t="s">
        <v>139</v>
      </c>
      <c r="F11" s="146" t="s">
        <v>153</v>
      </c>
      <c r="G11" s="148" t="s">
        <v>299</v>
      </c>
      <c r="H11" s="146">
        <v>0</v>
      </c>
      <c r="I11" s="146">
        <v>10</v>
      </c>
      <c r="J11" s="146" t="s">
        <v>155</v>
      </c>
      <c r="K11" s="146" t="s">
        <v>33</v>
      </c>
      <c r="L11" s="148" t="s">
        <v>3</v>
      </c>
      <c r="M11" s="146" t="s">
        <v>142</v>
      </c>
      <c r="N11" s="149">
        <v>1000</v>
      </c>
      <c r="O11" s="152">
        <f>SUMIF('GUDANG BESAR'!C:C,K:K,'GUDANG BESAR'!I:I)</f>
        <v>11087.5</v>
      </c>
      <c r="P11" s="153">
        <f>SUMIF('GUDANG BESAR'!C:C,K:K,'GUDANG BESAR'!K:K)</f>
        <v>12307.125</v>
      </c>
      <c r="Q11" s="150">
        <v>50</v>
      </c>
      <c r="R11" s="149">
        <v>50</v>
      </c>
      <c r="S11" s="149">
        <v>0</v>
      </c>
      <c r="T11" s="145">
        <f t="shared" si="0"/>
        <v>554375</v>
      </c>
      <c r="U11" s="145">
        <f t="shared" si="1"/>
        <v>615356.25</v>
      </c>
      <c r="V11" s="135" t="str">
        <f>VLOOKUP(K11,Sheet1!$B$5:$C$131,2,0)</f>
        <v>RC</v>
      </c>
      <c r="W11" s="181">
        <f t="shared" si="2"/>
        <v>0.05</v>
      </c>
    </row>
    <row r="12" spans="1:23" s="139" customFormat="1">
      <c r="A12" s="146" t="s">
        <v>459</v>
      </c>
      <c r="B12" s="147" t="s">
        <v>460</v>
      </c>
      <c r="C12" s="146" t="s">
        <v>137</v>
      </c>
      <c r="D12" s="146" t="s">
        <v>138</v>
      </c>
      <c r="E12" s="146" t="s">
        <v>139</v>
      </c>
      <c r="F12" s="146" t="s">
        <v>153</v>
      </c>
      <c r="G12" s="148" t="s">
        <v>301</v>
      </c>
      <c r="H12" s="146">
        <v>0</v>
      </c>
      <c r="I12" s="146">
        <v>14</v>
      </c>
      <c r="J12" s="146" t="s">
        <v>172</v>
      </c>
      <c r="K12" s="146" t="s">
        <v>8</v>
      </c>
      <c r="L12" s="148" t="s">
        <v>3</v>
      </c>
      <c r="M12" s="146" t="s">
        <v>142</v>
      </c>
      <c r="N12" s="149">
        <v>1000</v>
      </c>
      <c r="O12" s="152">
        <f>SUMIF('GUDANG BESAR'!C:C,K:K,'GUDANG BESAR'!I:I)</f>
        <v>441045</v>
      </c>
      <c r="P12" s="153">
        <f>SUMIF('GUDANG BESAR'!C:C,K:K,'GUDANG BESAR'!K:K)</f>
        <v>489559.95</v>
      </c>
      <c r="Q12" s="150">
        <v>0.5</v>
      </c>
      <c r="R12" s="149">
        <v>0</v>
      </c>
      <c r="S12" s="149">
        <v>500</v>
      </c>
      <c r="T12" s="145">
        <f t="shared" si="0"/>
        <v>220522.5</v>
      </c>
      <c r="U12" s="145">
        <f t="shared" si="1"/>
        <v>244779.97500000001</v>
      </c>
      <c r="V12" s="135" t="str">
        <f>VLOOKUP(K12,Sheet1!$B$5:$C$131,2,0)</f>
        <v>DYEING</v>
      </c>
      <c r="W12" s="181">
        <f t="shared" si="2"/>
        <v>5.0000000000000001E-4</v>
      </c>
    </row>
    <row r="13" spans="1:23" s="139" customFormat="1">
      <c r="A13" s="146" t="s">
        <v>459</v>
      </c>
      <c r="B13" s="147" t="s">
        <v>460</v>
      </c>
      <c r="C13" s="146" t="s">
        <v>137</v>
      </c>
      <c r="D13" s="146" t="s">
        <v>138</v>
      </c>
      <c r="E13" s="146" t="s">
        <v>139</v>
      </c>
      <c r="F13" s="146" t="s">
        <v>140</v>
      </c>
      <c r="G13" s="148" t="s">
        <v>303</v>
      </c>
      <c r="H13" s="146">
        <v>0</v>
      </c>
      <c r="I13" s="146">
        <v>1</v>
      </c>
      <c r="J13" s="146" t="s">
        <v>346</v>
      </c>
      <c r="K13" s="146" t="s">
        <v>343</v>
      </c>
      <c r="L13" s="148" t="s">
        <v>3</v>
      </c>
      <c r="M13" s="146" t="s">
        <v>142</v>
      </c>
      <c r="N13" s="149">
        <v>1000</v>
      </c>
      <c r="O13" s="152">
        <f>SUMIF('GUDANG BESAR'!C:C,K:K,'GUDANG BESAR'!I:I)</f>
        <v>60680</v>
      </c>
      <c r="P13" s="153">
        <f>SUMIF('GUDANG BESAR'!C:C,K:K,'GUDANG BESAR'!K:K)</f>
        <v>67354.8</v>
      </c>
      <c r="Q13" s="150">
        <v>24.524999999999999</v>
      </c>
      <c r="R13" s="149">
        <v>24</v>
      </c>
      <c r="S13" s="149">
        <v>525</v>
      </c>
      <c r="T13" s="145">
        <f t="shared" si="0"/>
        <v>1488177</v>
      </c>
      <c r="U13" s="145">
        <f t="shared" si="1"/>
        <v>1651876.47</v>
      </c>
      <c r="V13" s="135" t="str">
        <f>VLOOKUP(K13,Sheet1!$B$5:$C$131,2,0)</f>
        <v>DYESTUFF</v>
      </c>
      <c r="W13" s="181">
        <f t="shared" si="2"/>
        <v>2.4524999999999998E-2</v>
      </c>
    </row>
    <row r="14" spans="1:23" s="139" customFormat="1">
      <c r="A14" s="146" t="s">
        <v>459</v>
      </c>
      <c r="B14" s="147" t="s">
        <v>460</v>
      </c>
      <c r="C14" s="146" t="s">
        <v>137</v>
      </c>
      <c r="D14" s="146" t="s">
        <v>138</v>
      </c>
      <c r="E14" s="146" t="s">
        <v>139</v>
      </c>
      <c r="F14" s="146" t="s">
        <v>140</v>
      </c>
      <c r="G14" s="148" t="s">
        <v>303</v>
      </c>
      <c r="H14" s="146">
        <v>0</v>
      </c>
      <c r="I14" s="146">
        <v>2</v>
      </c>
      <c r="J14" s="146" t="s">
        <v>376</v>
      </c>
      <c r="K14" s="146" t="s">
        <v>11</v>
      </c>
      <c r="L14" s="148" t="s">
        <v>3</v>
      </c>
      <c r="M14" s="146" t="s">
        <v>142</v>
      </c>
      <c r="N14" s="149">
        <v>1000</v>
      </c>
      <c r="O14" s="152">
        <f>SUMIF('GUDANG BESAR'!C:C,K:K,'GUDANG BESAR'!I:I)</f>
        <v>270075</v>
      </c>
      <c r="P14" s="153">
        <f>SUMIF('GUDANG BESAR'!C:C,K:K,'GUDANG BESAR'!K:K)</f>
        <v>299783.25</v>
      </c>
      <c r="Q14" s="150">
        <v>0.66</v>
      </c>
      <c r="R14" s="149">
        <v>0</v>
      </c>
      <c r="S14" s="149">
        <v>660</v>
      </c>
      <c r="T14" s="145">
        <f t="shared" si="0"/>
        <v>178249.5</v>
      </c>
      <c r="U14" s="145">
        <f t="shared" si="1"/>
        <v>197856.94500000001</v>
      </c>
      <c r="V14" s="135" t="str">
        <f>VLOOKUP(K14,Sheet1!$B$5:$C$131,2,0)</f>
        <v>DYESTUFF</v>
      </c>
      <c r="W14" s="181">
        <f t="shared" si="2"/>
        <v>6.6E-4</v>
      </c>
    </row>
    <row r="15" spans="1:23" s="139" customFormat="1">
      <c r="A15" s="146" t="s">
        <v>459</v>
      </c>
      <c r="B15" s="147" t="s">
        <v>460</v>
      </c>
      <c r="C15" s="146" t="s">
        <v>137</v>
      </c>
      <c r="D15" s="146" t="s">
        <v>138</v>
      </c>
      <c r="E15" s="146" t="s">
        <v>139</v>
      </c>
      <c r="F15" s="146" t="s">
        <v>140</v>
      </c>
      <c r="G15" s="148" t="s">
        <v>303</v>
      </c>
      <c r="H15" s="146">
        <v>0</v>
      </c>
      <c r="I15" s="146">
        <v>3</v>
      </c>
      <c r="J15" s="146" t="s">
        <v>146</v>
      </c>
      <c r="K15" s="146" t="s">
        <v>46</v>
      </c>
      <c r="L15" s="148" t="s">
        <v>3</v>
      </c>
      <c r="M15" s="146" t="s">
        <v>142</v>
      </c>
      <c r="N15" s="149">
        <v>1000</v>
      </c>
      <c r="O15" s="152">
        <f>SUMIF('GUDANG BESAR'!C:C,K:K,'GUDANG BESAR'!I:I)</f>
        <v>100812</v>
      </c>
      <c r="P15" s="153">
        <f>SUMIF('GUDANG BESAR'!C:C,K:K,'GUDANG BESAR'!K:K)</f>
        <v>111901.32</v>
      </c>
      <c r="Q15" s="150">
        <v>2.2360000000000002</v>
      </c>
      <c r="R15" s="149">
        <v>2</v>
      </c>
      <c r="S15" s="149">
        <v>236</v>
      </c>
      <c r="T15" s="145">
        <f t="shared" si="0"/>
        <v>225415.63200000001</v>
      </c>
      <c r="U15" s="145">
        <f t="shared" si="1"/>
        <v>250211.35152000003</v>
      </c>
      <c r="V15" s="135" t="str">
        <f>VLOOKUP(K15,Sheet1!$B$5:$C$131,2,0)</f>
        <v>DYESTUFF</v>
      </c>
      <c r="W15" s="181">
        <f t="shared" si="2"/>
        <v>2.2360000000000001E-3</v>
      </c>
    </row>
    <row r="16" spans="1:23" s="139" customFormat="1">
      <c r="A16" s="146" t="s">
        <v>459</v>
      </c>
      <c r="B16" s="147" t="s">
        <v>460</v>
      </c>
      <c r="C16" s="146" t="s">
        <v>137</v>
      </c>
      <c r="D16" s="146" t="s">
        <v>138</v>
      </c>
      <c r="E16" s="146" t="s">
        <v>139</v>
      </c>
      <c r="F16" s="146" t="s">
        <v>140</v>
      </c>
      <c r="G16" s="148" t="s">
        <v>303</v>
      </c>
      <c r="H16" s="146">
        <v>0</v>
      </c>
      <c r="I16" s="146">
        <v>4</v>
      </c>
      <c r="J16" s="146" t="s">
        <v>147</v>
      </c>
      <c r="K16" s="146" t="s">
        <v>41</v>
      </c>
      <c r="L16" s="148" t="s">
        <v>3</v>
      </c>
      <c r="M16" s="146" t="s">
        <v>142</v>
      </c>
      <c r="N16" s="149">
        <v>1000</v>
      </c>
      <c r="O16" s="152">
        <f>SUMIF('GUDANG BESAR'!C:C,K:K,'GUDANG BESAR'!I:I)</f>
        <v>54071</v>
      </c>
      <c r="P16" s="153">
        <f>SUMIF('GUDANG BESAR'!C:C,K:K,'GUDANG BESAR'!K:K)</f>
        <v>60018.81</v>
      </c>
      <c r="Q16" s="150">
        <v>3.6749999999999998</v>
      </c>
      <c r="R16" s="149">
        <v>3</v>
      </c>
      <c r="S16" s="149">
        <v>675</v>
      </c>
      <c r="T16" s="145">
        <f t="shared" si="0"/>
        <v>198710.92499999999</v>
      </c>
      <c r="U16" s="145">
        <f t="shared" si="1"/>
        <v>220569.12674999997</v>
      </c>
      <c r="V16" s="135" t="str">
        <f>VLOOKUP(K16,Sheet1!$B$5:$C$131,2,0)</f>
        <v>DYESTUFF</v>
      </c>
      <c r="W16" s="181">
        <f t="shared" si="2"/>
        <v>3.6749999999999999E-3</v>
      </c>
    </row>
    <row r="17" spans="1:23" s="139" customFormat="1">
      <c r="A17" s="146" t="s">
        <v>459</v>
      </c>
      <c r="B17" s="147" t="s">
        <v>460</v>
      </c>
      <c r="C17" s="146" t="s">
        <v>137</v>
      </c>
      <c r="D17" s="146" t="s">
        <v>138</v>
      </c>
      <c r="E17" s="146" t="s">
        <v>139</v>
      </c>
      <c r="F17" s="146" t="s">
        <v>153</v>
      </c>
      <c r="G17" s="148" t="s">
        <v>301</v>
      </c>
      <c r="H17" s="146">
        <v>0</v>
      </c>
      <c r="I17" s="146">
        <v>15</v>
      </c>
      <c r="J17" s="146" t="s">
        <v>174</v>
      </c>
      <c r="K17" s="146" t="s">
        <v>13</v>
      </c>
      <c r="L17" s="148" t="s">
        <v>3</v>
      </c>
      <c r="M17" s="146" t="s">
        <v>142</v>
      </c>
      <c r="N17" s="149">
        <v>1000</v>
      </c>
      <c r="O17" s="152">
        <f>SUMIF('GUDANG BESAR'!C:C,K:K,'GUDANG BESAR'!I:I)</f>
        <v>262320</v>
      </c>
      <c r="P17" s="153">
        <f>SUMIF('GUDANG BESAR'!C:C,K:K,'GUDANG BESAR'!K:K)</f>
        <v>291175.2</v>
      </c>
      <c r="Q17" s="150">
        <v>3.976</v>
      </c>
      <c r="R17" s="149">
        <v>3</v>
      </c>
      <c r="S17" s="149">
        <v>976</v>
      </c>
      <c r="T17" s="145">
        <f t="shared" si="0"/>
        <v>1042984.32</v>
      </c>
      <c r="U17" s="145">
        <f t="shared" si="1"/>
        <v>1157712.5952000001</v>
      </c>
      <c r="V17" s="135" t="str">
        <f>VLOOKUP(K17,Sheet1!$B$5:$C$131,2,0)</f>
        <v>DYEING</v>
      </c>
      <c r="W17" s="181">
        <f t="shared" si="2"/>
        <v>3.9760000000000004E-3</v>
      </c>
    </row>
    <row r="18" spans="1:23" s="139" customFormat="1">
      <c r="A18" s="146" t="s">
        <v>459</v>
      </c>
      <c r="B18" s="147" t="s">
        <v>460</v>
      </c>
      <c r="C18" s="146" t="s">
        <v>137</v>
      </c>
      <c r="D18" s="146" t="s">
        <v>138</v>
      </c>
      <c r="E18" s="146" t="s">
        <v>139</v>
      </c>
      <c r="F18" s="146" t="s">
        <v>166</v>
      </c>
      <c r="G18" s="148" t="s">
        <v>336</v>
      </c>
      <c r="H18" s="146">
        <v>0</v>
      </c>
      <c r="I18" s="146">
        <v>19</v>
      </c>
      <c r="J18" s="146" t="s">
        <v>462</v>
      </c>
      <c r="K18" s="146" t="s">
        <v>54</v>
      </c>
      <c r="L18" s="148" t="s">
        <v>3</v>
      </c>
      <c r="M18" s="146" t="s">
        <v>142</v>
      </c>
      <c r="N18" s="149">
        <v>1000</v>
      </c>
      <c r="O18" s="152">
        <f>SUMIF('GUDANG BESAR'!C:C,K:K,'GUDANG BESAR'!I:I)</f>
        <v>35000</v>
      </c>
      <c r="P18" s="153">
        <f>SUMIF('GUDANG BESAR'!C:C,K:K,'GUDANG BESAR'!K:K)</f>
        <v>38850</v>
      </c>
      <c r="Q18" s="150">
        <v>70</v>
      </c>
      <c r="R18" s="149">
        <v>70</v>
      </c>
      <c r="S18" s="149">
        <v>0</v>
      </c>
      <c r="T18" s="145">
        <f t="shared" si="0"/>
        <v>2450000</v>
      </c>
      <c r="U18" s="145">
        <f t="shared" si="1"/>
        <v>2719500</v>
      </c>
      <c r="V18" s="135" t="str">
        <f>VLOOKUP(K18,Sheet1!$B$5:$C$131,2,0)</f>
        <v>ENGGRAVING</v>
      </c>
      <c r="W18" s="181">
        <f t="shared" si="2"/>
        <v>7.0000000000000007E-2</v>
      </c>
    </row>
    <row r="19" spans="1:23" s="139" customFormat="1">
      <c r="A19" s="146" t="s">
        <v>459</v>
      </c>
      <c r="B19" s="147" t="s">
        <v>460</v>
      </c>
      <c r="C19" s="146" t="s">
        <v>137</v>
      </c>
      <c r="D19" s="146" t="s">
        <v>138</v>
      </c>
      <c r="E19" s="146" t="s">
        <v>139</v>
      </c>
      <c r="F19" s="146" t="s">
        <v>140</v>
      </c>
      <c r="G19" s="148" t="s">
        <v>300</v>
      </c>
      <c r="H19" s="146">
        <v>0</v>
      </c>
      <c r="I19" s="146">
        <v>8</v>
      </c>
      <c r="J19" s="146" t="s">
        <v>314</v>
      </c>
      <c r="K19" s="146" t="s">
        <v>281</v>
      </c>
      <c r="L19" s="148" t="s">
        <v>3</v>
      </c>
      <c r="M19" s="146" t="s">
        <v>142</v>
      </c>
      <c r="N19" s="149">
        <v>1000</v>
      </c>
      <c r="O19" s="152">
        <f>SUMIF('GUDANG BESAR'!C:C,K:K,'GUDANG BESAR'!I:I)</f>
        <v>23590.51</v>
      </c>
      <c r="P19" s="153">
        <f>SUMIF('GUDANG BESAR'!C:C,K:K,'GUDANG BESAR'!K:K)</f>
        <v>26185.466099999998</v>
      </c>
      <c r="Q19" s="150">
        <v>180</v>
      </c>
      <c r="R19" s="149">
        <v>180</v>
      </c>
      <c r="S19" s="149">
        <v>0</v>
      </c>
      <c r="T19" s="145">
        <f t="shared" si="0"/>
        <v>4246291.8</v>
      </c>
      <c r="U19" s="145">
        <f t="shared" si="1"/>
        <v>4713383.898</v>
      </c>
      <c r="V19" s="135" t="str">
        <f>VLOOKUP(K19,Sheet1!$B$5:$C$131,2,0)</f>
        <v>CK</v>
      </c>
      <c r="W19" s="181">
        <f t="shared" si="2"/>
        <v>0.18</v>
      </c>
    </row>
    <row r="20" spans="1:23" s="139" customFormat="1">
      <c r="A20" s="146" t="s">
        <v>459</v>
      </c>
      <c r="B20" s="147" t="s">
        <v>460</v>
      </c>
      <c r="C20" s="146" t="s">
        <v>137</v>
      </c>
      <c r="D20" s="146" t="s">
        <v>138</v>
      </c>
      <c r="E20" s="146" t="s">
        <v>139</v>
      </c>
      <c r="F20" s="146" t="s">
        <v>162</v>
      </c>
      <c r="G20" s="148" t="s">
        <v>214</v>
      </c>
      <c r="H20" s="146">
        <v>0</v>
      </c>
      <c r="I20" s="146">
        <v>20</v>
      </c>
      <c r="J20" s="146" t="s">
        <v>377</v>
      </c>
      <c r="K20" s="146" t="s">
        <v>372</v>
      </c>
      <c r="L20" s="148" t="s">
        <v>3</v>
      </c>
      <c r="M20" s="146" t="s">
        <v>142</v>
      </c>
      <c r="N20" s="149">
        <v>1000</v>
      </c>
      <c r="O20" s="152">
        <f>SUMIF('GUDANG BESAR'!C:C,K:K,'GUDANG BESAR'!I:I)</f>
        <v>5500</v>
      </c>
      <c r="P20" s="153">
        <f>SUMIF('GUDANG BESAR'!C:C,K:K,'GUDANG BESAR'!K:K)</f>
        <v>6105</v>
      </c>
      <c r="Q20" s="150">
        <v>475</v>
      </c>
      <c r="R20" s="149">
        <v>475</v>
      </c>
      <c r="S20" s="149">
        <v>0</v>
      </c>
      <c r="T20" s="145">
        <f t="shared" si="0"/>
        <v>2612500</v>
      </c>
      <c r="U20" s="145">
        <f t="shared" si="1"/>
        <v>2899875</v>
      </c>
      <c r="V20" s="135" t="str">
        <f>VLOOKUP(K20,Sheet1!$B$5:$C$131,2,0)</f>
        <v>LIMBAH</v>
      </c>
      <c r="W20" s="181">
        <f t="shared" si="2"/>
        <v>0.47499999999999998</v>
      </c>
    </row>
    <row r="21" spans="1:23" s="139" customFormat="1">
      <c r="A21" s="146" t="s">
        <v>459</v>
      </c>
      <c r="B21" s="147" t="s">
        <v>460</v>
      </c>
      <c r="C21" s="146" t="s">
        <v>137</v>
      </c>
      <c r="D21" s="146" t="s">
        <v>138</v>
      </c>
      <c r="E21" s="146" t="s">
        <v>139</v>
      </c>
      <c r="F21" s="146" t="s">
        <v>140</v>
      </c>
      <c r="G21" s="148" t="s">
        <v>300</v>
      </c>
      <c r="H21" s="146">
        <v>0</v>
      </c>
      <c r="I21" s="146">
        <v>6</v>
      </c>
      <c r="J21" s="146" t="s">
        <v>150</v>
      </c>
      <c r="K21" s="146" t="s">
        <v>32</v>
      </c>
      <c r="L21" s="148" t="s">
        <v>3</v>
      </c>
      <c r="M21" s="146" t="s">
        <v>142</v>
      </c>
      <c r="N21" s="149">
        <v>1000</v>
      </c>
      <c r="O21" s="152">
        <f>SUMIF('GUDANG BESAR'!C:C,K:K,'GUDANG BESAR'!I:I)</f>
        <v>15500</v>
      </c>
      <c r="P21" s="153">
        <f>SUMIF('GUDANG BESAR'!C:C,K:K,'GUDANG BESAR'!K:K)</f>
        <v>17205</v>
      </c>
      <c r="Q21" s="150">
        <v>0.5</v>
      </c>
      <c r="R21" s="149">
        <v>0</v>
      </c>
      <c r="S21" s="149">
        <v>500</v>
      </c>
      <c r="T21" s="145">
        <f t="shared" si="0"/>
        <v>7750</v>
      </c>
      <c r="U21" s="145">
        <f t="shared" si="1"/>
        <v>8602.5</v>
      </c>
      <c r="V21" s="135" t="str">
        <f>VLOOKUP(K21,Sheet1!$B$5:$C$131,2,0)</f>
        <v>CK</v>
      </c>
      <c r="W21" s="181">
        <f t="shared" si="2"/>
        <v>5.0000000000000001E-4</v>
      </c>
    </row>
    <row r="22" spans="1:23" s="139" customFormat="1">
      <c r="A22" s="146" t="s">
        <v>459</v>
      </c>
      <c r="B22" s="147" t="s">
        <v>460</v>
      </c>
      <c r="C22" s="146" t="s">
        <v>137</v>
      </c>
      <c r="D22" s="146" t="s">
        <v>138</v>
      </c>
      <c r="E22" s="146" t="s">
        <v>139</v>
      </c>
      <c r="F22" s="146" t="s">
        <v>166</v>
      </c>
      <c r="G22" s="148" t="s">
        <v>336</v>
      </c>
      <c r="H22" s="146">
        <v>0</v>
      </c>
      <c r="I22" s="146">
        <v>18</v>
      </c>
      <c r="J22" s="146" t="s">
        <v>306</v>
      </c>
      <c r="K22" s="146" t="s">
        <v>52</v>
      </c>
      <c r="L22" s="148" t="s">
        <v>3</v>
      </c>
      <c r="M22" s="146" t="s">
        <v>142</v>
      </c>
      <c r="N22" s="149">
        <v>1000</v>
      </c>
      <c r="O22" s="152">
        <f>SUMIF('GUDANG BESAR'!C:C,K:K,'GUDANG BESAR'!I:I)</f>
        <v>17000</v>
      </c>
      <c r="P22" s="153">
        <f>SUMIF('GUDANG BESAR'!C:C,K:K,'GUDANG BESAR'!K:K)</f>
        <v>18870</v>
      </c>
      <c r="Q22" s="150">
        <v>300</v>
      </c>
      <c r="R22" s="149">
        <v>300</v>
      </c>
      <c r="S22" s="149">
        <v>0</v>
      </c>
      <c r="T22" s="145">
        <f t="shared" si="0"/>
        <v>5100000</v>
      </c>
      <c r="U22" s="145">
        <f t="shared" si="1"/>
        <v>5661000</v>
      </c>
      <c r="V22" s="135" t="str">
        <f>VLOOKUP(K22,Sheet1!$B$5:$C$131,2,0)</f>
        <v>ENGGRAVING</v>
      </c>
      <c r="W22" s="181">
        <f t="shared" si="2"/>
        <v>0.3</v>
      </c>
    </row>
    <row r="23" spans="1:23" s="139" customFormat="1">
      <c r="A23" s="146" t="s">
        <v>459</v>
      </c>
      <c r="B23" s="147" t="s">
        <v>460</v>
      </c>
      <c r="C23" s="146" t="s">
        <v>137</v>
      </c>
      <c r="D23" s="146" t="s">
        <v>138</v>
      </c>
      <c r="E23" s="146" t="s">
        <v>139</v>
      </c>
      <c r="F23" s="146" t="s">
        <v>153</v>
      </c>
      <c r="G23" s="148" t="s">
        <v>301</v>
      </c>
      <c r="H23" s="146">
        <v>0</v>
      </c>
      <c r="I23" s="146">
        <v>12</v>
      </c>
      <c r="J23" s="146" t="s">
        <v>317</v>
      </c>
      <c r="K23" s="146" t="s">
        <v>17</v>
      </c>
      <c r="L23" s="148" t="s">
        <v>3</v>
      </c>
      <c r="M23" s="146" t="s">
        <v>142</v>
      </c>
      <c r="N23" s="149">
        <v>1000</v>
      </c>
      <c r="O23" s="152">
        <f>SUMIF('GUDANG BESAR'!C:C,K:K,'GUDANG BESAR'!I:I)</f>
        <v>25269.5</v>
      </c>
      <c r="P23" s="153">
        <f>SUMIF('GUDANG BESAR'!C:C,K:K,'GUDANG BESAR'!K:K)</f>
        <v>28049.145</v>
      </c>
      <c r="Q23" s="150">
        <v>18</v>
      </c>
      <c r="R23" s="149">
        <v>18</v>
      </c>
      <c r="S23" s="149">
        <v>0</v>
      </c>
      <c r="T23" s="145">
        <f t="shared" si="0"/>
        <v>454851</v>
      </c>
      <c r="U23" s="145">
        <f t="shared" si="1"/>
        <v>504884.61</v>
      </c>
      <c r="V23" s="135" t="str">
        <f>VLOOKUP(K23,Sheet1!$B$5:$C$131,2,0)</f>
        <v>DYEING</v>
      </c>
      <c r="W23" s="181">
        <f t="shared" si="2"/>
        <v>1.7999999999999999E-2</v>
      </c>
    </row>
    <row r="24" spans="1:23" s="139" customFormat="1">
      <c r="A24" s="146" t="s">
        <v>459</v>
      </c>
      <c r="B24" s="147" t="s">
        <v>460</v>
      </c>
      <c r="C24" s="146" t="s">
        <v>137</v>
      </c>
      <c r="D24" s="146" t="s">
        <v>138</v>
      </c>
      <c r="E24" s="146" t="s">
        <v>139</v>
      </c>
      <c r="F24" s="146" t="s">
        <v>153</v>
      </c>
      <c r="G24" s="148" t="s">
        <v>301</v>
      </c>
      <c r="H24" s="146">
        <v>0</v>
      </c>
      <c r="I24" s="146">
        <v>11</v>
      </c>
      <c r="J24" s="146" t="s">
        <v>251</v>
      </c>
      <c r="K24" s="146" t="s">
        <v>249</v>
      </c>
      <c r="L24" s="148" t="s">
        <v>3</v>
      </c>
      <c r="M24" s="146" t="s">
        <v>142</v>
      </c>
      <c r="N24" s="149">
        <v>1000</v>
      </c>
      <c r="O24" s="152">
        <f>SUMIF('GUDANG BESAR'!C:C,K:K,'GUDANG BESAR'!I:I)</f>
        <v>9119.6</v>
      </c>
      <c r="P24" s="153">
        <f>SUMIF('GUDANG BESAR'!C:C,K:K,'GUDANG BESAR'!K:K)</f>
        <v>10122.756000000001</v>
      </c>
      <c r="Q24" s="150">
        <v>5</v>
      </c>
      <c r="R24" s="149">
        <v>5</v>
      </c>
      <c r="S24" s="149">
        <v>0</v>
      </c>
      <c r="T24" s="145">
        <f t="shared" si="0"/>
        <v>45598</v>
      </c>
      <c r="U24" s="145">
        <f t="shared" si="1"/>
        <v>50613.780000000006</v>
      </c>
      <c r="V24" s="135" t="str">
        <f>VLOOKUP(K24,Sheet1!$B$5:$C$131,2,0)</f>
        <v>DYEING</v>
      </c>
      <c r="W24" s="181">
        <f t="shared" si="2"/>
        <v>5.0000000000000001E-3</v>
      </c>
    </row>
    <row r="25" spans="1:23" s="139" customFormat="1">
      <c r="A25" s="146" t="s">
        <v>459</v>
      </c>
      <c r="B25" s="147" t="s">
        <v>460</v>
      </c>
      <c r="C25" s="146" t="s">
        <v>137</v>
      </c>
      <c r="D25" s="146" t="s">
        <v>138</v>
      </c>
      <c r="E25" s="146" t="s">
        <v>139</v>
      </c>
      <c r="F25" s="146" t="s">
        <v>162</v>
      </c>
      <c r="G25" s="148" t="s">
        <v>214</v>
      </c>
      <c r="H25" s="146">
        <v>0</v>
      </c>
      <c r="I25" s="146">
        <v>24</v>
      </c>
      <c r="J25" s="146" t="s">
        <v>164</v>
      </c>
      <c r="K25" s="146" t="s">
        <v>74</v>
      </c>
      <c r="L25" s="148" t="s">
        <v>5</v>
      </c>
      <c r="M25" s="146" t="s">
        <v>142</v>
      </c>
      <c r="N25" s="149">
        <v>1000</v>
      </c>
      <c r="O25" s="152">
        <f>SUMIF('GUDANG BESAR'!C:C,K:K,'GUDANG BESAR'!I:I)</f>
        <v>13180</v>
      </c>
      <c r="P25" s="153">
        <f>SUMIF('GUDANG BESAR'!C:C,K:K,'GUDANG BESAR'!K:K)</f>
        <v>14629.8</v>
      </c>
      <c r="Q25" s="150">
        <v>15</v>
      </c>
      <c r="R25" s="149">
        <v>15</v>
      </c>
      <c r="S25" s="149">
        <v>0</v>
      </c>
      <c r="T25" s="145">
        <f t="shared" si="0"/>
        <v>197700</v>
      </c>
      <c r="U25" s="145">
        <f t="shared" si="1"/>
        <v>219447</v>
      </c>
      <c r="V25" s="135" t="str">
        <f>VLOOKUP(K25,Sheet1!$B$5:$C$131,2,0)</f>
        <v>LIMBAH</v>
      </c>
      <c r="W25" s="181">
        <f t="shared" si="2"/>
        <v>1.4999999999999999E-2</v>
      </c>
    </row>
    <row r="26" spans="1:23" s="139" customFormat="1">
      <c r="A26" s="146" t="s">
        <v>459</v>
      </c>
      <c r="B26" s="147" t="s">
        <v>460</v>
      </c>
      <c r="C26" s="146" t="s">
        <v>137</v>
      </c>
      <c r="D26" s="146" t="s">
        <v>138</v>
      </c>
      <c r="E26" s="146" t="s">
        <v>139</v>
      </c>
      <c r="F26" s="146" t="s">
        <v>140</v>
      </c>
      <c r="G26" s="148" t="s">
        <v>300</v>
      </c>
      <c r="H26" s="146">
        <v>0</v>
      </c>
      <c r="I26" s="146">
        <v>7</v>
      </c>
      <c r="J26" s="146" t="s">
        <v>152</v>
      </c>
      <c r="K26" s="146" t="s">
        <v>57</v>
      </c>
      <c r="L26" s="148" t="s">
        <v>3</v>
      </c>
      <c r="M26" s="146" t="s">
        <v>142</v>
      </c>
      <c r="N26" s="149">
        <v>1000</v>
      </c>
      <c r="O26" s="152">
        <f>SUMIF('GUDANG BESAR'!C:C,K:K,'GUDANG BESAR'!I:I)</f>
        <v>21870</v>
      </c>
      <c r="P26" s="153">
        <f>SUMIF('GUDANG BESAR'!C:C,K:K,'GUDANG BESAR'!K:K)</f>
        <v>24275.7</v>
      </c>
      <c r="Q26" s="150">
        <v>25</v>
      </c>
      <c r="R26" s="149">
        <v>25</v>
      </c>
      <c r="S26" s="149">
        <v>0</v>
      </c>
      <c r="T26" s="145">
        <f t="shared" si="0"/>
        <v>546750</v>
      </c>
      <c r="U26" s="145">
        <f t="shared" si="1"/>
        <v>606892.5</v>
      </c>
      <c r="V26" s="135" t="str">
        <f>VLOOKUP(K26,Sheet1!$B$5:$C$131,2,0)</f>
        <v>CK</v>
      </c>
      <c r="W26" s="181">
        <f t="shared" si="2"/>
        <v>2.5000000000000001E-2</v>
      </c>
    </row>
    <row r="27" spans="1:23" s="139" customFormat="1">
      <c r="A27" s="146" t="s">
        <v>459</v>
      </c>
      <c r="B27" s="147" t="s">
        <v>460</v>
      </c>
      <c r="C27" s="146" t="s">
        <v>137</v>
      </c>
      <c r="D27" s="146" t="s">
        <v>138</v>
      </c>
      <c r="E27" s="146" t="s">
        <v>139</v>
      </c>
      <c r="F27" s="146" t="s">
        <v>162</v>
      </c>
      <c r="G27" s="148" t="s">
        <v>214</v>
      </c>
      <c r="H27" s="146">
        <v>0</v>
      </c>
      <c r="I27" s="146">
        <v>21</v>
      </c>
      <c r="J27" s="146" t="s">
        <v>262</v>
      </c>
      <c r="K27" s="146" t="s">
        <v>258</v>
      </c>
      <c r="L27" s="148" t="s">
        <v>3</v>
      </c>
      <c r="M27" s="146" t="s">
        <v>142</v>
      </c>
      <c r="N27" s="149">
        <v>1000</v>
      </c>
      <c r="O27" s="152">
        <f>SUMIF('GUDANG BESAR'!C:C,K:K,'GUDANG BESAR'!I:I)</f>
        <v>33000</v>
      </c>
      <c r="P27" s="153">
        <f>SUMIF('GUDANG BESAR'!C:C,K:K,'GUDANG BESAR'!K:K)</f>
        <v>36630</v>
      </c>
      <c r="Q27" s="150">
        <v>15</v>
      </c>
      <c r="R27" s="149">
        <v>15</v>
      </c>
      <c r="S27" s="149">
        <v>0</v>
      </c>
      <c r="T27" s="145">
        <f t="shared" si="0"/>
        <v>495000</v>
      </c>
      <c r="U27" s="145">
        <f t="shared" si="1"/>
        <v>549450</v>
      </c>
      <c r="V27" s="135" t="str">
        <f>VLOOKUP(K27,Sheet1!$B$5:$C$131,2,0)</f>
        <v>LIMBAH</v>
      </c>
      <c r="W27" s="181">
        <f t="shared" si="2"/>
        <v>1.4999999999999999E-2</v>
      </c>
    </row>
    <row r="28" spans="1:23" s="139" customFormat="1">
      <c r="A28" s="146" t="s">
        <v>459</v>
      </c>
      <c r="B28" s="147" t="s">
        <v>460</v>
      </c>
      <c r="C28" s="146" t="s">
        <v>137</v>
      </c>
      <c r="D28" s="146" t="s">
        <v>138</v>
      </c>
      <c r="E28" s="146" t="s">
        <v>139</v>
      </c>
      <c r="F28" s="146" t="s">
        <v>162</v>
      </c>
      <c r="G28" s="148" t="s">
        <v>214</v>
      </c>
      <c r="H28" s="146">
        <v>0</v>
      </c>
      <c r="I28" s="146">
        <v>22</v>
      </c>
      <c r="J28" s="146" t="s">
        <v>263</v>
      </c>
      <c r="K28" s="146" t="s">
        <v>259</v>
      </c>
      <c r="L28" s="148" t="s">
        <v>3</v>
      </c>
      <c r="M28" s="146" t="s">
        <v>142</v>
      </c>
      <c r="N28" s="149">
        <v>1000</v>
      </c>
      <c r="O28" s="152">
        <f>SUMIF('GUDANG BESAR'!C:C,K:K,'GUDANG BESAR'!I:I)</f>
        <v>47500</v>
      </c>
      <c r="P28" s="153">
        <f>SUMIF('GUDANG BESAR'!C:C,K:K,'GUDANG BESAR'!K:K)</f>
        <v>52725</v>
      </c>
      <c r="Q28" s="150">
        <v>17</v>
      </c>
      <c r="R28" s="149">
        <v>17</v>
      </c>
      <c r="S28" s="149">
        <v>0</v>
      </c>
      <c r="T28" s="145">
        <f t="shared" si="0"/>
        <v>807500</v>
      </c>
      <c r="U28" s="145">
        <f t="shared" si="1"/>
        <v>896325</v>
      </c>
      <c r="V28" s="135" t="str">
        <f>VLOOKUP(K28,Sheet1!$B$5:$C$131,2,0)</f>
        <v>LIMBAH</v>
      </c>
      <c r="W28" s="181">
        <f t="shared" si="2"/>
        <v>1.7000000000000001E-2</v>
      </c>
    </row>
    <row r="29" spans="1:23" s="139" customFormat="1">
      <c r="A29" s="146" t="s">
        <v>459</v>
      </c>
      <c r="B29" s="147" t="s">
        <v>460</v>
      </c>
      <c r="C29" s="146" t="s">
        <v>137</v>
      </c>
      <c r="D29" s="146" t="s">
        <v>138</v>
      </c>
      <c r="E29" s="146" t="s">
        <v>139</v>
      </c>
      <c r="F29" s="146" t="s">
        <v>153</v>
      </c>
      <c r="G29" s="148" t="s">
        <v>301</v>
      </c>
      <c r="H29" s="146">
        <v>0</v>
      </c>
      <c r="I29" s="146">
        <v>17</v>
      </c>
      <c r="J29" s="146" t="s">
        <v>247</v>
      </c>
      <c r="K29" s="146" t="s">
        <v>79</v>
      </c>
      <c r="L29" s="148" t="s">
        <v>3</v>
      </c>
      <c r="M29" s="146" t="s">
        <v>142</v>
      </c>
      <c r="N29" s="149">
        <v>1000</v>
      </c>
      <c r="O29" s="152">
        <f>SUMIF('GUDANG BESAR'!C:C,K:K,'GUDANG BESAR'!I:I)</f>
        <v>21203</v>
      </c>
      <c r="P29" s="153">
        <f>SUMIF('GUDANG BESAR'!C:C,K:K,'GUDANG BESAR'!K:K)</f>
        <v>23535.33</v>
      </c>
      <c r="Q29" s="150">
        <v>4</v>
      </c>
      <c r="R29" s="149">
        <v>4</v>
      </c>
      <c r="S29" s="149">
        <v>0</v>
      </c>
      <c r="T29" s="145">
        <f t="shared" si="0"/>
        <v>84812</v>
      </c>
      <c r="U29" s="145">
        <f t="shared" si="1"/>
        <v>94141.32</v>
      </c>
      <c r="V29" s="135" t="str">
        <f>VLOOKUP(K29,Sheet1!$B$5:$C$131,2,0)</f>
        <v>DYEING</v>
      </c>
      <c r="W29" s="181">
        <f t="shared" si="2"/>
        <v>4.0000000000000001E-3</v>
      </c>
    </row>
    <row r="30" spans="1:23" s="139" customFormat="1">
      <c r="A30" s="146" t="s">
        <v>465</v>
      </c>
      <c r="B30" s="147" t="s">
        <v>460</v>
      </c>
      <c r="C30" s="146" t="s">
        <v>137</v>
      </c>
      <c r="D30" s="146" t="s">
        <v>138</v>
      </c>
      <c r="E30" s="146" t="s">
        <v>139</v>
      </c>
      <c r="F30" s="146" t="s">
        <v>167</v>
      </c>
      <c r="G30" s="148" t="s">
        <v>298</v>
      </c>
      <c r="H30" s="146">
        <v>0</v>
      </c>
      <c r="I30" s="146">
        <v>17</v>
      </c>
      <c r="J30" s="146" t="s">
        <v>466</v>
      </c>
      <c r="K30" s="146" t="s">
        <v>67</v>
      </c>
      <c r="L30" s="148" t="s">
        <v>3</v>
      </c>
      <c r="M30" s="146" t="s">
        <v>142</v>
      </c>
      <c r="N30" s="149">
        <v>1000</v>
      </c>
      <c r="O30" s="152">
        <f>SUMIF('GUDANG BESAR'!C:C,K:K,'GUDANG BESAR'!I:I)</f>
        <v>105773</v>
      </c>
      <c r="P30" s="153">
        <f>SUMIF('GUDANG BESAR'!C:C,K:K,'GUDANG BESAR'!K:K)</f>
        <v>117408.03</v>
      </c>
      <c r="Q30" s="150">
        <v>0.5</v>
      </c>
      <c r="R30" s="149">
        <v>0</v>
      </c>
      <c r="S30" s="149">
        <v>500</v>
      </c>
      <c r="T30" s="145">
        <f t="shared" si="0"/>
        <v>52886.5</v>
      </c>
      <c r="U30" s="145">
        <f t="shared" si="1"/>
        <v>58704.014999999999</v>
      </c>
      <c r="V30" s="135" t="str">
        <f>VLOOKUP(K30,Sheet1!$B$5:$C$131,2,0)</f>
        <v>FINISHING</v>
      </c>
      <c r="W30" s="181">
        <f t="shared" si="2"/>
        <v>5.0000000000000001E-4</v>
      </c>
    </row>
    <row r="31" spans="1:23" s="139" customFormat="1">
      <c r="A31" s="146" t="s">
        <v>465</v>
      </c>
      <c r="B31" s="147" t="s">
        <v>460</v>
      </c>
      <c r="C31" s="146" t="s">
        <v>137</v>
      </c>
      <c r="D31" s="146" t="s">
        <v>138</v>
      </c>
      <c r="E31" s="146" t="s">
        <v>139</v>
      </c>
      <c r="F31" s="146" t="s">
        <v>153</v>
      </c>
      <c r="G31" s="148" t="s">
        <v>299</v>
      </c>
      <c r="H31" s="146">
        <v>0</v>
      </c>
      <c r="I31" s="146">
        <v>13</v>
      </c>
      <c r="J31" s="146" t="s">
        <v>154</v>
      </c>
      <c r="K31" s="146" t="s">
        <v>23</v>
      </c>
      <c r="L31" s="148" t="s">
        <v>3</v>
      </c>
      <c r="M31" s="146" t="s">
        <v>142</v>
      </c>
      <c r="N31" s="149">
        <v>1000</v>
      </c>
      <c r="O31" s="152">
        <f>SUMIF('GUDANG BESAR'!C:C,K:K,'GUDANG BESAR'!I:I)</f>
        <v>28844</v>
      </c>
      <c r="P31" s="153">
        <f>SUMIF('GUDANG BESAR'!C:C,K:K,'GUDANG BESAR'!K:K)</f>
        <v>32016.84</v>
      </c>
      <c r="Q31" s="150">
        <v>100</v>
      </c>
      <c r="R31" s="149">
        <v>100</v>
      </c>
      <c r="S31" s="149">
        <v>0</v>
      </c>
      <c r="T31" s="145">
        <f t="shared" si="0"/>
        <v>2884400</v>
      </c>
      <c r="U31" s="145">
        <f t="shared" si="1"/>
        <v>3201684</v>
      </c>
      <c r="V31" s="135" t="str">
        <f>VLOOKUP(K31,Sheet1!$B$5:$C$131,2,0)</f>
        <v>RC</v>
      </c>
      <c r="W31" s="181">
        <f t="shared" si="2"/>
        <v>0.1</v>
      </c>
    </row>
    <row r="32" spans="1:23" s="139" customFormat="1">
      <c r="A32" s="146" t="s">
        <v>465</v>
      </c>
      <c r="B32" s="147" t="s">
        <v>460</v>
      </c>
      <c r="C32" s="146" t="s">
        <v>137</v>
      </c>
      <c r="D32" s="146" t="s">
        <v>138</v>
      </c>
      <c r="E32" s="146" t="s">
        <v>139</v>
      </c>
      <c r="F32" s="146" t="s">
        <v>153</v>
      </c>
      <c r="G32" s="148" t="s">
        <v>299</v>
      </c>
      <c r="H32" s="146">
        <v>0</v>
      </c>
      <c r="I32" s="146">
        <v>14</v>
      </c>
      <c r="J32" s="146" t="s">
        <v>155</v>
      </c>
      <c r="K32" s="146" t="s">
        <v>33</v>
      </c>
      <c r="L32" s="148" t="s">
        <v>3</v>
      </c>
      <c r="M32" s="146" t="s">
        <v>142</v>
      </c>
      <c r="N32" s="149">
        <v>1000</v>
      </c>
      <c r="O32" s="152">
        <f>SUMIF('GUDANG BESAR'!C:C,K:K,'GUDANG BESAR'!I:I)</f>
        <v>11087.5</v>
      </c>
      <c r="P32" s="153">
        <f>SUMIF('GUDANG BESAR'!C:C,K:K,'GUDANG BESAR'!K:K)</f>
        <v>12307.125</v>
      </c>
      <c r="Q32" s="150">
        <v>75</v>
      </c>
      <c r="R32" s="149">
        <v>75</v>
      </c>
      <c r="S32" s="149">
        <v>0</v>
      </c>
      <c r="T32" s="145">
        <f t="shared" si="0"/>
        <v>831562.5</v>
      </c>
      <c r="U32" s="145">
        <f t="shared" si="1"/>
        <v>923034.375</v>
      </c>
      <c r="V32" s="135" t="str">
        <f>VLOOKUP(K32,Sheet1!$B$5:$C$131,2,0)</f>
        <v>RC</v>
      </c>
      <c r="W32" s="181">
        <f t="shared" si="2"/>
        <v>7.4999999999999997E-2</v>
      </c>
    </row>
    <row r="33" spans="1:23" s="139" customFormat="1">
      <c r="A33" s="146" t="s">
        <v>465</v>
      </c>
      <c r="B33" s="147" t="s">
        <v>460</v>
      </c>
      <c r="C33" s="146" t="s">
        <v>137</v>
      </c>
      <c r="D33" s="146" t="s">
        <v>138</v>
      </c>
      <c r="E33" s="146" t="s">
        <v>139</v>
      </c>
      <c r="F33" s="146" t="s">
        <v>140</v>
      </c>
      <c r="G33" s="148" t="s">
        <v>303</v>
      </c>
      <c r="H33" s="146">
        <v>0</v>
      </c>
      <c r="I33" s="146">
        <v>1</v>
      </c>
      <c r="J33" s="146" t="s">
        <v>141</v>
      </c>
      <c r="K33" s="146" t="s">
        <v>37</v>
      </c>
      <c r="L33" s="148" t="s">
        <v>3</v>
      </c>
      <c r="M33" s="146" t="s">
        <v>142</v>
      </c>
      <c r="N33" s="149">
        <v>1000</v>
      </c>
      <c r="O33" s="152">
        <f>SUMIF('GUDANG BESAR'!C:C,K:K,'GUDANG BESAR'!I:I)</f>
        <v>51276</v>
      </c>
      <c r="P33" s="153">
        <f>SUMIF('GUDANG BESAR'!C:C,K:K,'GUDANG BESAR'!K:K)</f>
        <v>56916.36</v>
      </c>
      <c r="Q33" s="150">
        <v>9.5340000000000007</v>
      </c>
      <c r="R33" s="149">
        <v>9</v>
      </c>
      <c r="S33" s="149">
        <v>534</v>
      </c>
      <c r="T33" s="145">
        <f t="shared" si="0"/>
        <v>488865.38400000002</v>
      </c>
      <c r="U33" s="145">
        <f t="shared" si="1"/>
        <v>542640.57624000008</v>
      </c>
      <c r="V33" s="135" t="str">
        <f>VLOOKUP(K33,Sheet1!$B$5:$C$131,2,0)</f>
        <v>DYESTUFF</v>
      </c>
      <c r="W33" s="181">
        <f t="shared" si="2"/>
        <v>9.5340000000000008E-3</v>
      </c>
    </row>
    <row r="34" spans="1:23" s="139" customFormat="1">
      <c r="A34" s="146" t="s">
        <v>465</v>
      </c>
      <c r="B34" s="147" t="s">
        <v>460</v>
      </c>
      <c r="C34" s="146" t="s">
        <v>137</v>
      </c>
      <c r="D34" s="146" t="s">
        <v>138</v>
      </c>
      <c r="E34" s="146" t="s">
        <v>139</v>
      </c>
      <c r="F34" s="146" t="s">
        <v>140</v>
      </c>
      <c r="G34" s="148" t="s">
        <v>303</v>
      </c>
      <c r="H34" s="146">
        <v>0</v>
      </c>
      <c r="I34" s="146">
        <v>4</v>
      </c>
      <c r="J34" s="146" t="s">
        <v>143</v>
      </c>
      <c r="K34" s="146" t="s">
        <v>90</v>
      </c>
      <c r="L34" s="148" t="s">
        <v>3</v>
      </c>
      <c r="M34" s="146" t="s">
        <v>142</v>
      </c>
      <c r="N34" s="149">
        <v>1000</v>
      </c>
      <c r="O34" s="152">
        <f>SUMIF('GUDANG BESAR'!C:C,K:K,'GUDANG BESAR'!I:I)</f>
        <v>194556</v>
      </c>
      <c r="P34" s="153">
        <f>SUMIF('GUDANG BESAR'!C:C,K:K,'GUDANG BESAR'!K:K)</f>
        <v>215957.16</v>
      </c>
      <c r="Q34" s="150">
        <v>0.56699999999999995</v>
      </c>
      <c r="R34" s="149">
        <v>0</v>
      </c>
      <c r="S34" s="149">
        <v>567</v>
      </c>
      <c r="T34" s="145">
        <f t="shared" si="0"/>
        <v>110313.25199999999</v>
      </c>
      <c r="U34" s="145">
        <f t="shared" si="1"/>
        <v>122447.70971999998</v>
      </c>
      <c r="V34" s="135" t="str">
        <f>VLOOKUP(K34,Sheet1!$B$5:$C$131,2,0)</f>
        <v>DYESTUFF</v>
      </c>
      <c r="W34" s="181">
        <f t="shared" si="2"/>
        <v>5.669999999999999E-4</v>
      </c>
    </row>
    <row r="35" spans="1:23" s="139" customFormat="1">
      <c r="A35" s="146" t="s">
        <v>465</v>
      </c>
      <c r="B35" s="147" t="s">
        <v>460</v>
      </c>
      <c r="C35" s="146" t="s">
        <v>137</v>
      </c>
      <c r="D35" s="146" t="s">
        <v>138</v>
      </c>
      <c r="E35" s="146" t="s">
        <v>139</v>
      </c>
      <c r="F35" s="146" t="s">
        <v>140</v>
      </c>
      <c r="G35" s="148" t="s">
        <v>303</v>
      </c>
      <c r="H35" s="146">
        <v>0</v>
      </c>
      <c r="I35" s="146">
        <v>2</v>
      </c>
      <c r="J35" s="146" t="s">
        <v>346</v>
      </c>
      <c r="K35" s="146" t="s">
        <v>343</v>
      </c>
      <c r="L35" s="148" t="s">
        <v>3</v>
      </c>
      <c r="M35" s="146" t="s">
        <v>142</v>
      </c>
      <c r="N35" s="149">
        <v>1000</v>
      </c>
      <c r="O35" s="152">
        <f>SUMIF('GUDANG BESAR'!C:C,K:K,'GUDANG BESAR'!I:I)</f>
        <v>60680</v>
      </c>
      <c r="P35" s="153">
        <f>SUMIF('GUDANG BESAR'!C:C,K:K,'GUDANG BESAR'!K:K)</f>
        <v>67354.8</v>
      </c>
      <c r="Q35" s="150">
        <v>18.456</v>
      </c>
      <c r="R35" s="149">
        <v>18</v>
      </c>
      <c r="S35" s="149">
        <v>456</v>
      </c>
      <c r="T35" s="145">
        <f t="shared" si="0"/>
        <v>1119910.08</v>
      </c>
      <c r="U35" s="145">
        <f t="shared" si="1"/>
        <v>1243100.1888000001</v>
      </c>
      <c r="V35" s="135" t="str">
        <f>VLOOKUP(K35,Sheet1!$B$5:$C$131,2,0)</f>
        <v>DYESTUFF</v>
      </c>
      <c r="W35" s="181">
        <f t="shared" si="2"/>
        <v>1.8456E-2</v>
      </c>
    </row>
    <row r="36" spans="1:23" s="139" customFormat="1">
      <c r="A36" s="146" t="s">
        <v>465</v>
      </c>
      <c r="B36" s="147" t="s">
        <v>460</v>
      </c>
      <c r="C36" s="146" t="s">
        <v>137</v>
      </c>
      <c r="D36" s="146" t="s">
        <v>138</v>
      </c>
      <c r="E36" s="146" t="s">
        <v>139</v>
      </c>
      <c r="F36" s="146" t="s">
        <v>140</v>
      </c>
      <c r="G36" s="148" t="s">
        <v>303</v>
      </c>
      <c r="H36" s="146">
        <v>0</v>
      </c>
      <c r="I36" s="146">
        <v>10</v>
      </c>
      <c r="J36" s="146" t="s">
        <v>151</v>
      </c>
      <c r="K36" s="146" t="s">
        <v>28</v>
      </c>
      <c r="L36" s="148" t="s">
        <v>3</v>
      </c>
      <c r="M36" s="146" t="s">
        <v>142</v>
      </c>
      <c r="N36" s="149">
        <v>1000</v>
      </c>
      <c r="O36" s="152">
        <f>SUMIF('GUDANG BESAR'!C:C,K:K,'GUDANG BESAR'!I:I)</f>
        <v>413967</v>
      </c>
      <c r="P36" s="153">
        <f>SUMIF('GUDANG BESAR'!C:C,K:K,'GUDANG BESAR'!K:K)</f>
        <v>459503.37</v>
      </c>
      <c r="Q36" s="150">
        <v>7.6999999999999999E-2</v>
      </c>
      <c r="R36" s="149">
        <v>0</v>
      </c>
      <c r="S36" s="149">
        <v>77</v>
      </c>
      <c r="T36" s="145">
        <f t="shared" si="0"/>
        <v>31875.458999999999</v>
      </c>
      <c r="U36" s="145">
        <f t="shared" si="1"/>
        <v>35381.759489999997</v>
      </c>
      <c r="V36" s="135" t="str">
        <f>VLOOKUP(K36,Sheet1!$B$5:$C$131,2,0)</f>
        <v>DYESTUFF</v>
      </c>
      <c r="W36" s="181">
        <f t="shared" si="2"/>
        <v>7.7000000000000001E-5</v>
      </c>
    </row>
    <row r="37" spans="1:23" s="139" customFormat="1">
      <c r="A37" s="146" t="s">
        <v>465</v>
      </c>
      <c r="B37" s="147" t="s">
        <v>460</v>
      </c>
      <c r="C37" s="146" t="s">
        <v>137</v>
      </c>
      <c r="D37" s="146" t="s">
        <v>138</v>
      </c>
      <c r="E37" s="146" t="s">
        <v>139</v>
      </c>
      <c r="F37" s="146" t="s">
        <v>140</v>
      </c>
      <c r="G37" s="148" t="s">
        <v>303</v>
      </c>
      <c r="H37" s="146">
        <v>0</v>
      </c>
      <c r="I37" s="146">
        <v>3</v>
      </c>
      <c r="J37" s="146" t="s">
        <v>169</v>
      </c>
      <c r="K37" s="146" t="s">
        <v>64</v>
      </c>
      <c r="L37" s="148" t="s">
        <v>3</v>
      </c>
      <c r="M37" s="146" t="s">
        <v>142</v>
      </c>
      <c r="N37" s="149">
        <v>1000</v>
      </c>
      <c r="O37" s="152">
        <f>SUMIF('GUDANG BESAR'!C:C,K:K,'GUDANG BESAR'!I:I)</f>
        <v>506080</v>
      </c>
      <c r="P37" s="153">
        <f>SUMIF('GUDANG BESAR'!C:C,K:K,'GUDANG BESAR'!K:K)</f>
        <v>561748.80000000005</v>
      </c>
      <c r="Q37" s="150">
        <v>0.19600000000000001</v>
      </c>
      <c r="R37" s="149">
        <v>0</v>
      </c>
      <c r="S37" s="149">
        <v>196</v>
      </c>
      <c r="T37" s="145">
        <f t="shared" si="0"/>
        <v>99191.680000000008</v>
      </c>
      <c r="U37" s="145">
        <f t="shared" si="1"/>
        <v>110102.76480000002</v>
      </c>
      <c r="V37" s="135" t="str">
        <f>VLOOKUP(K37,Sheet1!$B$5:$C$131,2,0)</f>
        <v>DYESTUFF</v>
      </c>
      <c r="W37" s="181">
        <f t="shared" si="2"/>
        <v>1.9600000000000002E-4</v>
      </c>
    </row>
    <row r="38" spans="1:23" s="139" customFormat="1">
      <c r="A38" s="146" t="s">
        <v>465</v>
      </c>
      <c r="B38" s="147" t="s">
        <v>460</v>
      </c>
      <c r="C38" s="146" t="s">
        <v>137</v>
      </c>
      <c r="D38" s="146" t="s">
        <v>138</v>
      </c>
      <c r="E38" s="146" t="s">
        <v>139</v>
      </c>
      <c r="F38" s="146" t="s">
        <v>140</v>
      </c>
      <c r="G38" s="148" t="s">
        <v>303</v>
      </c>
      <c r="H38" s="146">
        <v>0</v>
      </c>
      <c r="I38" s="146">
        <v>5</v>
      </c>
      <c r="J38" s="146" t="s">
        <v>250</v>
      </c>
      <c r="K38" s="146" t="s">
        <v>38</v>
      </c>
      <c r="L38" s="148" t="s">
        <v>3</v>
      </c>
      <c r="M38" s="146" t="s">
        <v>142</v>
      </c>
      <c r="N38" s="149">
        <v>1000</v>
      </c>
      <c r="O38" s="152">
        <f>SUMIF('GUDANG BESAR'!C:C,K:K,'GUDANG BESAR'!I:I)</f>
        <v>366255</v>
      </c>
      <c r="P38" s="153">
        <f>SUMIF('GUDANG BESAR'!C:C,K:K,'GUDANG BESAR'!K:K)</f>
        <v>406543.05</v>
      </c>
      <c r="Q38" s="150">
        <v>0.13600000000000001</v>
      </c>
      <c r="R38" s="149">
        <v>0</v>
      </c>
      <c r="S38" s="149">
        <v>136</v>
      </c>
      <c r="T38" s="145">
        <f t="shared" si="0"/>
        <v>49810.68</v>
      </c>
      <c r="U38" s="145">
        <f t="shared" si="1"/>
        <v>55289.854800000001</v>
      </c>
      <c r="V38" s="135" t="str">
        <f>VLOOKUP(K38,Sheet1!$B$5:$C$131,2,0)</f>
        <v>DYESTUFF</v>
      </c>
      <c r="W38" s="181">
        <f t="shared" si="2"/>
        <v>1.36E-4</v>
      </c>
    </row>
    <row r="39" spans="1:23" s="139" customFormat="1">
      <c r="A39" s="146" t="s">
        <v>465</v>
      </c>
      <c r="B39" s="147" t="s">
        <v>460</v>
      </c>
      <c r="C39" s="146" t="s">
        <v>137</v>
      </c>
      <c r="D39" s="146" t="s">
        <v>138</v>
      </c>
      <c r="E39" s="146" t="s">
        <v>139</v>
      </c>
      <c r="F39" s="146" t="s">
        <v>140</v>
      </c>
      <c r="G39" s="148" t="s">
        <v>303</v>
      </c>
      <c r="H39" s="146">
        <v>0</v>
      </c>
      <c r="I39" s="146">
        <v>6</v>
      </c>
      <c r="J39" s="146" t="s">
        <v>144</v>
      </c>
      <c r="K39" s="146" t="s">
        <v>26</v>
      </c>
      <c r="L39" s="148" t="s">
        <v>3</v>
      </c>
      <c r="M39" s="146" t="s">
        <v>142</v>
      </c>
      <c r="N39" s="149">
        <v>1000</v>
      </c>
      <c r="O39" s="152">
        <f>SUMIF('GUDANG BESAR'!C:C,K:K,'GUDANG BESAR'!I:I)</f>
        <v>52016</v>
      </c>
      <c r="P39" s="153">
        <f>SUMIF('GUDANG BESAR'!C:C,K:K,'GUDANG BESAR'!K:K)</f>
        <v>57737.760000000002</v>
      </c>
      <c r="Q39" s="150">
        <v>5.5060000000000002</v>
      </c>
      <c r="R39" s="149">
        <v>5</v>
      </c>
      <c r="S39" s="149">
        <v>506</v>
      </c>
      <c r="T39" s="145">
        <f t="shared" si="0"/>
        <v>286400.09600000002</v>
      </c>
      <c r="U39" s="145">
        <f t="shared" si="1"/>
        <v>317904.10656000004</v>
      </c>
      <c r="V39" s="135" t="str">
        <f>VLOOKUP(K39,Sheet1!$B$5:$C$131,2,0)</f>
        <v>DYESTUFF</v>
      </c>
      <c r="W39" s="181">
        <f t="shared" si="2"/>
        <v>5.5060000000000005E-3</v>
      </c>
    </row>
    <row r="40" spans="1:23" s="139" customFormat="1">
      <c r="A40" s="146" t="s">
        <v>465</v>
      </c>
      <c r="B40" s="147" t="s">
        <v>460</v>
      </c>
      <c r="C40" s="146" t="s">
        <v>137</v>
      </c>
      <c r="D40" s="146" t="s">
        <v>138</v>
      </c>
      <c r="E40" s="146" t="s">
        <v>139</v>
      </c>
      <c r="F40" s="146" t="s">
        <v>140</v>
      </c>
      <c r="G40" s="148" t="s">
        <v>303</v>
      </c>
      <c r="H40" s="146">
        <v>0</v>
      </c>
      <c r="I40" s="146">
        <v>7</v>
      </c>
      <c r="J40" s="146" t="s">
        <v>145</v>
      </c>
      <c r="K40" s="146" t="s">
        <v>27</v>
      </c>
      <c r="L40" s="148" t="s">
        <v>3</v>
      </c>
      <c r="M40" s="146" t="s">
        <v>142</v>
      </c>
      <c r="N40" s="149">
        <v>1000</v>
      </c>
      <c r="O40" s="152">
        <f>SUMIF('GUDANG BESAR'!C:C,K:K,'GUDANG BESAR'!I:I)</f>
        <v>71148</v>
      </c>
      <c r="P40" s="153">
        <f>SUMIF('GUDANG BESAR'!C:C,K:K,'GUDANG BESAR'!K:K)</f>
        <v>78974.28</v>
      </c>
      <c r="Q40" s="150">
        <v>4.782</v>
      </c>
      <c r="R40" s="149">
        <v>4</v>
      </c>
      <c r="S40" s="149">
        <v>782</v>
      </c>
      <c r="T40" s="145">
        <f t="shared" si="0"/>
        <v>340229.73599999998</v>
      </c>
      <c r="U40" s="145">
        <f t="shared" si="1"/>
        <v>377655.00695999997</v>
      </c>
      <c r="V40" s="135" t="str">
        <f>VLOOKUP(K40,Sheet1!$B$5:$C$131,2,0)</f>
        <v>DYESTUFF</v>
      </c>
      <c r="W40" s="181">
        <f t="shared" si="2"/>
        <v>4.7819999999999998E-3</v>
      </c>
    </row>
    <row r="41" spans="1:23" s="139" customFormat="1">
      <c r="A41" s="146" t="s">
        <v>465</v>
      </c>
      <c r="B41" s="147" t="s">
        <v>460</v>
      </c>
      <c r="C41" s="146" t="s">
        <v>137</v>
      </c>
      <c r="D41" s="146" t="s">
        <v>138</v>
      </c>
      <c r="E41" s="146" t="s">
        <v>139</v>
      </c>
      <c r="F41" s="146" t="s">
        <v>140</v>
      </c>
      <c r="G41" s="148" t="s">
        <v>303</v>
      </c>
      <c r="H41" s="146">
        <v>0</v>
      </c>
      <c r="I41" s="146">
        <v>8</v>
      </c>
      <c r="J41" s="146" t="s">
        <v>146</v>
      </c>
      <c r="K41" s="146" t="s">
        <v>46</v>
      </c>
      <c r="L41" s="148" t="s">
        <v>3</v>
      </c>
      <c r="M41" s="146" t="s">
        <v>142</v>
      </c>
      <c r="N41" s="149">
        <v>1000</v>
      </c>
      <c r="O41" s="152">
        <f>SUMIF('GUDANG BESAR'!C:C,K:K,'GUDANG BESAR'!I:I)</f>
        <v>100812</v>
      </c>
      <c r="P41" s="153">
        <f>SUMIF('GUDANG BESAR'!C:C,K:K,'GUDANG BESAR'!K:K)</f>
        <v>111901.32</v>
      </c>
      <c r="Q41" s="150">
        <v>2.5990000000000002</v>
      </c>
      <c r="R41" s="149">
        <v>2</v>
      </c>
      <c r="S41" s="149">
        <v>599</v>
      </c>
      <c r="T41" s="145">
        <f t="shared" si="0"/>
        <v>262010.38800000001</v>
      </c>
      <c r="U41" s="145">
        <f t="shared" si="1"/>
        <v>290831.53068000003</v>
      </c>
      <c r="V41" s="135" t="str">
        <f>VLOOKUP(K41,Sheet1!$B$5:$C$131,2,0)</f>
        <v>DYESTUFF</v>
      </c>
      <c r="W41" s="181">
        <f t="shared" si="2"/>
        <v>2.5990000000000002E-3</v>
      </c>
    </row>
    <row r="42" spans="1:23" s="139" customFormat="1">
      <c r="A42" s="146" t="s">
        <v>465</v>
      </c>
      <c r="B42" s="147" t="s">
        <v>460</v>
      </c>
      <c r="C42" s="146" t="s">
        <v>137</v>
      </c>
      <c r="D42" s="146" t="s">
        <v>138</v>
      </c>
      <c r="E42" s="146" t="s">
        <v>139</v>
      </c>
      <c r="F42" s="146" t="s">
        <v>140</v>
      </c>
      <c r="G42" s="148" t="s">
        <v>303</v>
      </c>
      <c r="H42" s="146">
        <v>0</v>
      </c>
      <c r="I42" s="146">
        <v>9</v>
      </c>
      <c r="J42" s="146" t="s">
        <v>147</v>
      </c>
      <c r="K42" s="146" t="s">
        <v>41</v>
      </c>
      <c r="L42" s="148" t="s">
        <v>3</v>
      </c>
      <c r="M42" s="146" t="s">
        <v>142</v>
      </c>
      <c r="N42" s="149">
        <v>1000</v>
      </c>
      <c r="O42" s="152">
        <f>SUMIF('GUDANG BESAR'!C:C,K:K,'GUDANG BESAR'!I:I)</f>
        <v>54071</v>
      </c>
      <c r="P42" s="153">
        <f>SUMIF('GUDANG BESAR'!C:C,K:K,'GUDANG BESAR'!K:K)</f>
        <v>60018.81</v>
      </c>
      <c r="Q42" s="150">
        <v>12.928000000000001</v>
      </c>
      <c r="R42" s="149">
        <v>12</v>
      </c>
      <c r="S42" s="149">
        <v>928</v>
      </c>
      <c r="T42" s="145">
        <f t="shared" si="0"/>
        <v>699029.88800000004</v>
      </c>
      <c r="U42" s="145">
        <f t="shared" si="1"/>
        <v>775923.17567999999</v>
      </c>
      <c r="V42" s="135" t="str">
        <f>VLOOKUP(K42,Sheet1!$B$5:$C$131,2,0)</f>
        <v>DYESTUFF</v>
      </c>
      <c r="W42" s="181">
        <f t="shared" si="2"/>
        <v>1.2928E-2</v>
      </c>
    </row>
    <row r="43" spans="1:23" s="139" customFormat="1">
      <c r="A43" s="146" t="s">
        <v>465</v>
      </c>
      <c r="B43" s="147" t="s">
        <v>460</v>
      </c>
      <c r="C43" s="146" t="s">
        <v>137</v>
      </c>
      <c r="D43" s="146" t="s">
        <v>138</v>
      </c>
      <c r="E43" s="146" t="s">
        <v>139</v>
      </c>
      <c r="F43" s="146" t="s">
        <v>140</v>
      </c>
      <c r="G43" s="148" t="s">
        <v>303</v>
      </c>
      <c r="H43" s="146">
        <v>0</v>
      </c>
      <c r="I43" s="146">
        <v>11</v>
      </c>
      <c r="J43" s="146" t="s">
        <v>148</v>
      </c>
      <c r="K43" s="146" t="s">
        <v>30</v>
      </c>
      <c r="L43" s="148" t="s">
        <v>3</v>
      </c>
      <c r="M43" s="146" t="s">
        <v>142</v>
      </c>
      <c r="N43" s="149">
        <v>1000</v>
      </c>
      <c r="O43" s="152">
        <f>SUMIF('GUDANG BESAR'!C:C,K:K,'GUDANG BESAR'!I:I)</f>
        <v>77089.399999999994</v>
      </c>
      <c r="P43" s="153">
        <f>SUMIF('GUDANG BESAR'!C:C,K:K,'GUDANG BESAR'!K:K)</f>
        <v>85569.233999999997</v>
      </c>
      <c r="Q43" s="150">
        <v>16.899000000000001</v>
      </c>
      <c r="R43" s="149">
        <v>16</v>
      </c>
      <c r="S43" s="149">
        <v>899</v>
      </c>
      <c r="T43" s="145">
        <f t="shared" si="0"/>
        <v>1302733.7705999999</v>
      </c>
      <c r="U43" s="145">
        <f t="shared" si="1"/>
        <v>1446034.4853660001</v>
      </c>
      <c r="V43" s="135" t="str">
        <f>VLOOKUP(K43,Sheet1!$B$5:$C$131,2,0)</f>
        <v>DYESTUFF</v>
      </c>
      <c r="W43" s="181">
        <f t="shared" si="2"/>
        <v>1.6899000000000001E-2</v>
      </c>
    </row>
    <row r="44" spans="1:23" s="139" customFormat="1">
      <c r="A44" s="146" t="s">
        <v>465</v>
      </c>
      <c r="B44" s="147" t="s">
        <v>460</v>
      </c>
      <c r="C44" s="146" t="s">
        <v>137</v>
      </c>
      <c r="D44" s="146" t="s">
        <v>138</v>
      </c>
      <c r="E44" s="146" t="s">
        <v>139</v>
      </c>
      <c r="F44" s="146" t="s">
        <v>162</v>
      </c>
      <c r="G44" s="148" t="s">
        <v>214</v>
      </c>
      <c r="H44" s="146">
        <v>0</v>
      </c>
      <c r="I44" s="146">
        <v>24</v>
      </c>
      <c r="J44" s="146" t="s">
        <v>163</v>
      </c>
      <c r="K44" s="146" t="s">
        <v>14</v>
      </c>
      <c r="L44" s="148" t="s">
        <v>3</v>
      </c>
      <c r="M44" s="146" t="s">
        <v>142</v>
      </c>
      <c r="N44" s="149">
        <v>1000</v>
      </c>
      <c r="O44" s="152">
        <f>SUMIF('GUDANG BESAR'!C:C,K:K,'GUDANG BESAR'!I:I)</f>
        <v>30500</v>
      </c>
      <c r="P44" s="153">
        <f>SUMIF('GUDANG BESAR'!C:C,K:K,'GUDANG BESAR'!K:K)</f>
        <v>33855</v>
      </c>
      <c r="Q44" s="150">
        <v>30</v>
      </c>
      <c r="R44" s="149">
        <v>30</v>
      </c>
      <c r="S44" s="149">
        <v>0</v>
      </c>
      <c r="T44" s="145">
        <f t="shared" si="0"/>
        <v>915000</v>
      </c>
      <c r="U44" s="145">
        <f t="shared" si="1"/>
        <v>1015650</v>
      </c>
      <c r="V44" s="135" t="str">
        <f>VLOOKUP(K44,Sheet1!$B$5:$C$131,2,0)</f>
        <v>LIMBAH</v>
      </c>
      <c r="W44" s="181">
        <f t="shared" si="2"/>
        <v>0.03</v>
      </c>
    </row>
    <row r="45" spans="1:23" s="139" customFormat="1">
      <c r="A45" s="146" t="s">
        <v>465</v>
      </c>
      <c r="B45" s="147" t="s">
        <v>460</v>
      </c>
      <c r="C45" s="146" t="s">
        <v>137</v>
      </c>
      <c r="D45" s="146" t="s">
        <v>138</v>
      </c>
      <c r="E45" s="146" t="s">
        <v>139</v>
      </c>
      <c r="F45" s="146" t="s">
        <v>167</v>
      </c>
      <c r="G45" s="148" t="s">
        <v>298</v>
      </c>
      <c r="H45" s="146">
        <v>0</v>
      </c>
      <c r="I45" s="146">
        <v>18</v>
      </c>
      <c r="J45" s="146" t="s">
        <v>467</v>
      </c>
      <c r="K45" s="146" t="s">
        <v>68</v>
      </c>
      <c r="L45" s="148" t="s">
        <v>3</v>
      </c>
      <c r="M45" s="146" t="s">
        <v>142</v>
      </c>
      <c r="N45" s="149">
        <v>1000</v>
      </c>
      <c r="O45" s="152">
        <f>SUMIF('GUDANG BESAR'!C:C,K:K,'GUDANG BESAR'!I:I)</f>
        <v>58302</v>
      </c>
      <c r="P45" s="153">
        <f>SUMIF('GUDANG BESAR'!C:C,K:K,'GUDANG BESAR'!K:K)</f>
        <v>64715.22</v>
      </c>
      <c r="Q45" s="150">
        <v>0.5</v>
      </c>
      <c r="R45" s="149">
        <v>0</v>
      </c>
      <c r="S45" s="149">
        <v>500</v>
      </c>
      <c r="T45" s="145">
        <f t="shared" si="0"/>
        <v>29151</v>
      </c>
      <c r="U45" s="145">
        <f t="shared" si="1"/>
        <v>32357.61</v>
      </c>
      <c r="V45" s="135" t="str">
        <f>VLOOKUP(K45,Sheet1!$B$5:$C$131,2,0)</f>
        <v>FINISHING</v>
      </c>
      <c r="W45" s="181">
        <f t="shared" si="2"/>
        <v>5.0000000000000001E-4</v>
      </c>
    </row>
    <row r="46" spans="1:23" s="139" customFormat="1">
      <c r="A46" s="146" t="s">
        <v>465</v>
      </c>
      <c r="B46" s="147" t="s">
        <v>460</v>
      </c>
      <c r="C46" s="146" t="s">
        <v>137</v>
      </c>
      <c r="D46" s="146" t="s">
        <v>138</v>
      </c>
      <c r="E46" s="146" t="s">
        <v>139</v>
      </c>
      <c r="F46" s="146" t="s">
        <v>153</v>
      </c>
      <c r="G46" s="148" t="s">
        <v>301</v>
      </c>
      <c r="H46" s="146">
        <v>0</v>
      </c>
      <c r="I46" s="146">
        <v>16</v>
      </c>
      <c r="J46" s="146" t="s">
        <v>344</v>
      </c>
      <c r="K46" s="146" t="s">
        <v>15</v>
      </c>
      <c r="L46" s="148" t="s">
        <v>3</v>
      </c>
      <c r="M46" s="146" t="s">
        <v>142</v>
      </c>
      <c r="N46" s="149">
        <v>1000</v>
      </c>
      <c r="O46" s="152">
        <f>SUMIF('GUDANG BESAR'!C:C,K:K,'GUDANG BESAR'!I:I)</f>
        <v>33646</v>
      </c>
      <c r="P46" s="153">
        <f>SUMIF('GUDANG BESAR'!C:C,K:K,'GUDANG BESAR'!K:K)</f>
        <v>37347.06</v>
      </c>
      <c r="Q46" s="150">
        <v>60</v>
      </c>
      <c r="R46" s="149">
        <v>60</v>
      </c>
      <c r="S46" s="149">
        <v>0</v>
      </c>
      <c r="T46" s="145">
        <f t="shared" si="0"/>
        <v>2018760</v>
      </c>
      <c r="U46" s="145">
        <f t="shared" si="1"/>
        <v>2240823.5999999996</v>
      </c>
      <c r="V46" s="135" t="str">
        <f>VLOOKUP(K46,Sheet1!$B$5:$C$131,2,0)</f>
        <v>DYEING</v>
      </c>
      <c r="W46" s="181">
        <f t="shared" si="2"/>
        <v>0.06</v>
      </c>
    </row>
    <row r="47" spans="1:23" s="139" customFormat="1">
      <c r="A47" s="146" t="s">
        <v>465</v>
      </c>
      <c r="B47" s="147" t="s">
        <v>460</v>
      </c>
      <c r="C47" s="146" t="s">
        <v>137</v>
      </c>
      <c r="D47" s="146" t="s">
        <v>138</v>
      </c>
      <c r="E47" s="146" t="s">
        <v>139</v>
      </c>
      <c r="F47" s="146" t="s">
        <v>140</v>
      </c>
      <c r="G47" s="148" t="s">
        <v>300</v>
      </c>
      <c r="H47" s="146">
        <v>0</v>
      </c>
      <c r="I47" s="146">
        <v>12</v>
      </c>
      <c r="J47" s="146" t="s">
        <v>314</v>
      </c>
      <c r="K47" s="146" t="s">
        <v>281</v>
      </c>
      <c r="L47" s="148" t="s">
        <v>3</v>
      </c>
      <c r="M47" s="146" t="s">
        <v>142</v>
      </c>
      <c r="N47" s="149">
        <v>1000</v>
      </c>
      <c r="O47" s="152">
        <f>SUMIF('GUDANG BESAR'!C:C,K:K,'GUDANG BESAR'!I:I)</f>
        <v>23590.51</v>
      </c>
      <c r="P47" s="153">
        <f>SUMIF('GUDANG BESAR'!C:C,K:K,'GUDANG BESAR'!K:K)</f>
        <v>26185.466099999998</v>
      </c>
      <c r="Q47" s="150">
        <v>180</v>
      </c>
      <c r="R47" s="149">
        <v>180</v>
      </c>
      <c r="S47" s="149">
        <v>0</v>
      </c>
      <c r="T47" s="145">
        <f t="shared" si="0"/>
        <v>4246291.8</v>
      </c>
      <c r="U47" s="145">
        <f t="shared" si="1"/>
        <v>4713383.898</v>
      </c>
      <c r="V47" s="135" t="str">
        <f>VLOOKUP(K47,Sheet1!$B$5:$C$131,2,0)</f>
        <v>CK</v>
      </c>
      <c r="W47" s="181">
        <f t="shared" si="2"/>
        <v>0.18</v>
      </c>
    </row>
    <row r="48" spans="1:23" s="139" customFormat="1">
      <c r="A48" s="146" t="s">
        <v>465</v>
      </c>
      <c r="B48" s="147" t="s">
        <v>460</v>
      </c>
      <c r="C48" s="146" t="s">
        <v>137</v>
      </c>
      <c r="D48" s="146" t="s">
        <v>138</v>
      </c>
      <c r="E48" s="146" t="s">
        <v>139</v>
      </c>
      <c r="F48" s="146" t="s">
        <v>162</v>
      </c>
      <c r="G48" s="148" t="s">
        <v>214</v>
      </c>
      <c r="H48" s="146">
        <v>0</v>
      </c>
      <c r="I48" s="146">
        <v>21</v>
      </c>
      <c r="J48" s="146" t="s">
        <v>377</v>
      </c>
      <c r="K48" s="146" t="s">
        <v>372</v>
      </c>
      <c r="L48" s="148" t="s">
        <v>3</v>
      </c>
      <c r="M48" s="146" t="s">
        <v>142</v>
      </c>
      <c r="N48" s="149">
        <v>1000</v>
      </c>
      <c r="O48" s="152">
        <f>SUMIF('GUDANG BESAR'!C:C,K:K,'GUDANG BESAR'!I:I)</f>
        <v>5500</v>
      </c>
      <c r="P48" s="153">
        <f>SUMIF('GUDANG BESAR'!C:C,K:K,'GUDANG BESAR'!K:K)</f>
        <v>6105</v>
      </c>
      <c r="Q48" s="150">
        <v>600</v>
      </c>
      <c r="R48" s="149">
        <v>600</v>
      </c>
      <c r="S48" s="149">
        <v>0</v>
      </c>
      <c r="T48" s="145">
        <f t="shared" si="0"/>
        <v>3300000</v>
      </c>
      <c r="U48" s="145">
        <f t="shared" si="1"/>
        <v>3663000</v>
      </c>
      <c r="V48" s="135" t="str">
        <f>VLOOKUP(K48,Sheet1!$B$5:$C$131,2,0)</f>
        <v>LIMBAH</v>
      </c>
      <c r="W48" s="181">
        <f t="shared" si="2"/>
        <v>0.6</v>
      </c>
    </row>
    <row r="49" spans="1:23" s="139" customFormat="1">
      <c r="A49" s="146" t="s">
        <v>465</v>
      </c>
      <c r="B49" s="147" t="s">
        <v>460</v>
      </c>
      <c r="C49" s="146" t="s">
        <v>137</v>
      </c>
      <c r="D49" s="146" t="s">
        <v>138</v>
      </c>
      <c r="E49" s="146" t="s">
        <v>139</v>
      </c>
      <c r="F49" s="146" t="s">
        <v>153</v>
      </c>
      <c r="G49" s="148" t="s">
        <v>301</v>
      </c>
      <c r="H49" s="146">
        <v>0</v>
      </c>
      <c r="I49" s="146">
        <v>15</v>
      </c>
      <c r="J49" s="146" t="s">
        <v>251</v>
      </c>
      <c r="K49" s="146" t="s">
        <v>249</v>
      </c>
      <c r="L49" s="148" t="s">
        <v>3</v>
      </c>
      <c r="M49" s="146" t="s">
        <v>142</v>
      </c>
      <c r="N49" s="149">
        <v>1000</v>
      </c>
      <c r="O49" s="152">
        <f>SUMIF('GUDANG BESAR'!C:C,K:K,'GUDANG BESAR'!I:I)</f>
        <v>9119.6</v>
      </c>
      <c r="P49" s="153">
        <f>SUMIF('GUDANG BESAR'!C:C,K:K,'GUDANG BESAR'!K:K)</f>
        <v>10122.756000000001</v>
      </c>
      <c r="Q49" s="150">
        <v>25</v>
      </c>
      <c r="R49" s="149">
        <v>25</v>
      </c>
      <c r="S49" s="149">
        <v>0</v>
      </c>
      <c r="T49" s="145">
        <f t="shared" si="0"/>
        <v>227990</v>
      </c>
      <c r="U49" s="145">
        <f t="shared" si="1"/>
        <v>253068.90000000002</v>
      </c>
      <c r="V49" s="135" t="str">
        <f>VLOOKUP(K49,Sheet1!$B$5:$C$131,2,0)</f>
        <v>DYEING</v>
      </c>
      <c r="W49" s="181">
        <f t="shared" si="2"/>
        <v>2.5000000000000001E-2</v>
      </c>
    </row>
    <row r="50" spans="1:23" s="139" customFormat="1">
      <c r="A50" s="146" t="s">
        <v>465</v>
      </c>
      <c r="B50" s="147" t="s">
        <v>460</v>
      </c>
      <c r="C50" s="146" t="s">
        <v>137</v>
      </c>
      <c r="D50" s="146" t="s">
        <v>138</v>
      </c>
      <c r="E50" s="146" t="s">
        <v>139</v>
      </c>
      <c r="F50" s="146" t="s">
        <v>162</v>
      </c>
      <c r="G50" s="148" t="s">
        <v>214</v>
      </c>
      <c r="H50" s="146">
        <v>0</v>
      </c>
      <c r="I50" s="146">
        <v>25</v>
      </c>
      <c r="J50" s="146" t="s">
        <v>164</v>
      </c>
      <c r="K50" s="146" t="s">
        <v>74</v>
      </c>
      <c r="L50" s="148" t="s">
        <v>5</v>
      </c>
      <c r="M50" s="146" t="s">
        <v>142</v>
      </c>
      <c r="N50" s="149">
        <v>1000</v>
      </c>
      <c r="O50" s="152">
        <f>SUMIF('GUDANG BESAR'!C:C,K:K,'GUDANG BESAR'!I:I)</f>
        <v>13180</v>
      </c>
      <c r="P50" s="153">
        <f>SUMIF('GUDANG BESAR'!C:C,K:K,'GUDANG BESAR'!K:K)</f>
        <v>14629.8</v>
      </c>
      <c r="Q50" s="150">
        <v>15</v>
      </c>
      <c r="R50" s="149">
        <v>15</v>
      </c>
      <c r="S50" s="149">
        <v>0</v>
      </c>
      <c r="T50" s="145">
        <f t="shared" si="0"/>
        <v>197700</v>
      </c>
      <c r="U50" s="145">
        <f t="shared" si="1"/>
        <v>219447</v>
      </c>
      <c r="V50" s="135" t="str">
        <f>VLOOKUP(K50,Sheet1!$B$5:$C$131,2,0)</f>
        <v>LIMBAH</v>
      </c>
      <c r="W50" s="181">
        <f t="shared" si="2"/>
        <v>1.4999999999999999E-2</v>
      </c>
    </row>
    <row r="51" spans="1:23" s="139" customFormat="1">
      <c r="A51" s="146" t="s">
        <v>465</v>
      </c>
      <c r="B51" s="147" t="s">
        <v>460</v>
      </c>
      <c r="C51" s="146" t="s">
        <v>137</v>
      </c>
      <c r="D51" s="146" t="s">
        <v>138</v>
      </c>
      <c r="E51" s="146" t="s">
        <v>139</v>
      </c>
      <c r="F51" s="146" t="s">
        <v>162</v>
      </c>
      <c r="G51" s="148" t="s">
        <v>214</v>
      </c>
      <c r="H51" s="146">
        <v>0</v>
      </c>
      <c r="I51" s="146">
        <v>22</v>
      </c>
      <c r="J51" s="146" t="s">
        <v>262</v>
      </c>
      <c r="K51" s="146" t="s">
        <v>258</v>
      </c>
      <c r="L51" s="148" t="s">
        <v>3</v>
      </c>
      <c r="M51" s="146" t="s">
        <v>142</v>
      </c>
      <c r="N51" s="149">
        <v>1000</v>
      </c>
      <c r="O51" s="152">
        <f>SUMIF('GUDANG BESAR'!C:C,K:K,'GUDANG BESAR'!I:I)</f>
        <v>33000</v>
      </c>
      <c r="P51" s="153">
        <f>SUMIF('GUDANG BESAR'!C:C,K:K,'GUDANG BESAR'!K:K)</f>
        <v>36630</v>
      </c>
      <c r="Q51" s="150">
        <v>16</v>
      </c>
      <c r="R51" s="149">
        <v>16</v>
      </c>
      <c r="S51" s="149">
        <v>0</v>
      </c>
      <c r="T51" s="145">
        <f t="shared" si="0"/>
        <v>528000</v>
      </c>
      <c r="U51" s="145">
        <f t="shared" si="1"/>
        <v>586080</v>
      </c>
      <c r="V51" s="135" t="str">
        <f>VLOOKUP(K51,Sheet1!$B$5:$C$131,2,0)</f>
        <v>LIMBAH</v>
      </c>
      <c r="W51" s="181">
        <f t="shared" si="2"/>
        <v>1.6E-2</v>
      </c>
    </row>
    <row r="52" spans="1:23" s="139" customFormat="1">
      <c r="A52" s="146" t="s">
        <v>465</v>
      </c>
      <c r="B52" s="147" t="s">
        <v>460</v>
      </c>
      <c r="C52" s="146" t="s">
        <v>137</v>
      </c>
      <c r="D52" s="146" t="s">
        <v>138</v>
      </c>
      <c r="E52" s="146" t="s">
        <v>139</v>
      </c>
      <c r="F52" s="146" t="s">
        <v>162</v>
      </c>
      <c r="G52" s="148" t="s">
        <v>214</v>
      </c>
      <c r="H52" s="146">
        <v>0</v>
      </c>
      <c r="I52" s="146">
        <v>23</v>
      </c>
      <c r="J52" s="146" t="s">
        <v>263</v>
      </c>
      <c r="K52" s="146" t="s">
        <v>259</v>
      </c>
      <c r="L52" s="148" t="s">
        <v>3</v>
      </c>
      <c r="M52" s="146" t="s">
        <v>142</v>
      </c>
      <c r="N52" s="149">
        <v>1000</v>
      </c>
      <c r="O52" s="152">
        <f>SUMIF('GUDANG BESAR'!C:C,K:K,'GUDANG BESAR'!I:I)</f>
        <v>47500</v>
      </c>
      <c r="P52" s="153">
        <f>SUMIF('GUDANG BESAR'!C:C,K:K,'GUDANG BESAR'!K:K)</f>
        <v>52725</v>
      </c>
      <c r="Q52" s="150">
        <v>17</v>
      </c>
      <c r="R52" s="149">
        <v>17</v>
      </c>
      <c r="S52" s="149">
        <v>0</v>
      </c>
      <c r="T52" s="145">
        <f t="shared" si="0"/>
        <v>807500</v>
      </c>
      <c r="U52" s="145">
        <f t="shared" si="1"/>
        <v>896325</v>
      </c>
      <c r="V52" s="135" t="str">
        <f>VLOOKUP(K52,Sheet1!$B$5:$C$131,2,0)</f>
        <v>LIMBAH</v>
      </c>
      <c r="W52" s="181">
        <f t="shared" si="2"/>
        <v>1.7000000000000001E-2</v>
      </c>
    </row>
    <row r="53" spans="1:23" s="139" customFormat="1">
      <c r="A53" s="146" t="s">
        <v>468</v>
      </c>
      <c r="B53" s="147" t="s">
        <v>469</v>
      </c>
      <c r="C53" s="146" t="s">
        <v>137</v>
      </c>
      <c r="D53" s="146" t="s">
        <v>138</v>
      </c>
      <c r="E53" s="146" t="s">
        <v>139</v>
      </c>
      <c r="F53" s="146" t="s">
        <v>166</v>
      </c>
      <c r="G53" s="148" t="s">
        <v>336</v>
      </c>
      <c r="H53" s="146">
        <v>0</v>
      </c>
      <c r="I53" s="146">
        <v>15</v>
      </c>
      <c r="J53" s="146" t="s">
        <v>157</v>
      </c>
      <c r="K53" s="146" t="s">
        <v>48</v>
      </c>
      <c r="L53" s="148" t="s">
        <v>93</v>
      </c>
      <c r="M53" s="146" t="s">
        <v>158</v>
      </c>
      <c r="N53" s="149">
        <v>1000</v>
      </c>
      <c r="O53" s="152">
        <f>SUMIF('GUDANG BESAR'!C:C,K:K,'GUDANG BESAR'!I:I)</f>
        <v>18500</v>
      </c>
      <c r="P53" s="153">
        <f>SUMIF('GUDANG BESAR'!C:C,K:K,'GUDANG BESAR'!K:K)</f>
        <v>20535</v>
      </c>
      <c r="Q53" s="150">
        <v>20</v>
      </c>
      <c r="R53" s="149">
        <v>20</v>
      </c>
      <c r="S53" s="149">
        <v>0</v>
      </c>
      <c r="T53" s="145">
        <f t="shared" si="0"/>
        <v>370000</v>
      </c>
      <c r="U53" s="145">
        <f t="shared" si="1"/>
        <v>410700</v>
      </c>
      <c r="V53" s="135" t="str">
        <f>VLOOKUP(K53,Sheet1!$B$5:$C$131,2,0)</f>
        <v>ENGGRAVING</v>
      </c>
      <c r="W53" s="181">
        <f t="shared" si="2"/>
        <v>0.02</v>
      </c>
    </row>
    <row r="54" spans="1:23" s="139" customFormat="1">
      <c r="A54" s="146" t="s">
        <v>468</v>
      </c>
      <c r="B54" s="147" t="s">
        <v>469</v>
      </c>
      <c r="C54" s="146" t="s">
        <v>137</v>
      </c>
      <c r="D54" s="146" t="s">
        <v>138</v>
      </c>
      <c r="E54" s="146" t="s">
        <v>139</v>
      </c>
      <c r="F54" s="146" t="s">
        <v>166</v>
      </c>
      <c r="G54" s="148" t="s">
        <v>336</v>
      </c>
      <c r="H54" s="146">
        <v>0</v>
      </c>
      <c r="I54" s="146">
        <v>16</v>
      </c>
      <c r="J54" s="146" t="s">
        <v>319</v>
      </c>
      <c r="K54" s="146" t="s">
        <v>72</v>
      </c>
      <c r="L54" s="148" t="s">
        <v>3</v>
      </c>
      <c r="M54" s="146" t="s">
        <v>142</v>
      </c>
      <c r="N54" s="149">
        <v>1000</v>
      </c>
      <c r="O54" s="152">
        <f>SUMIF('GUDANG BESAR'!C:C,K:K,'GUDANG BESAR'!I:I)</f>
        <v>113890</v>
      </c>
      <c r="P54" s="153">
        <f>SUMIF('GUDANG BESAR'!C:C,K:K,'GUDANG BESAR'!K:K)</f>
        <v>126417.9</v>
      </c>
      <c r="Q54" s="150">
        <v>50</v>
      </c>
      <c r="R54" s="149">
        <v>50</v>
      </c>
      <c r="S54" s="149">
        <v>0</v>
      </c>
      <c r="T54" s="145">
        <f t="shared" si="0"/>
        <v>5694500</v>
      </c>
      <c r="U54" s="145">
        <f t="shared" si="1"/>
        <v>6320895</v>
      </c>
      <c r="V54" s="135" t="str">
        <f>VLOOKUP(K54,Sheet1!$B$5:$C$131,2,0)</f>
        <v>ENGGRAVING</v>
      </c>
      <c r="W54" s="181">
        <f t="shared" si="2"/>
        <v>0.05</v>
      </c>
    </row>
    <row r="55" spans="1:23" s="139" customFormat="1">
      <c r="A55" s="146" t="s">
        <v>468</v>
      </c>
      <c r="B55" s="147" t="s">
        <v>469</v>
      </c>
      <c r="C55" s="146" t="s">
        <v>137</v>
      </c>
      <c r="D55" s="146" t="s">
        <v>138</v>
      </c>
      <c r="E55" s="146" t="s">
        <v>139</v>
      </c>
      <c r="F55" s="146" t="s">
        <v>140</v>
      </c>
      <c r="G55" s="148" t="s">
        <v>303</v>
      </c>
      <c r="H55" s="146">
        <v>0</v>
      </c>
      <c r="I55" s="146">
        <v>1</v>
      </c>
      <c r="J55" s="146" t="s">
        <v>141</v>
      </c>
      <c r="K55" s="146" t="s">
        <v>37</v>
      </c>
      <c r="L55" s="148" t="s">
        <v>3</v>
      </c>
      <c r="M55" s="146" t="s">
        <v>142</v>
      </c>
      <c r="N55" s="149">
        <v>1000</v>
      </c>
      <c r="O55" s="152">
        <f>SUMIF('GUDANG BESAR'!C:C,K:K,'GUDANG BESAR'!I:I)</f>
        <v>51276</v>
      </c>
      <c r="P55" s="153">
        <f>SUMIF('GUDANG BESAR'!C:C,K:K,'GUDANG BESAR'!K:K)</f>
        <v>56916.36</v>
      </c>
      <c r="Q55" s="150">
        <v>1.111</v>
      </c>
      <c r="R55" s="149">
        <v>1</v>
      </c>
      <c r="S55" s="149">
        <v>111</v>
      </c>
      <c r="T55" s="145">
        <f t="shared" si="0"/>
        <v>56967.635999999999</v>
      </c>
      <c r="U55" s="145">
        <f t="shared" si="1"/>
        <v>63234.075960000002</v>
      </c>
      <c r="V55" s="135" t="str">
        <f>VLOOKUP(K55,Sheet1!$B$5:$C$131,2,0)</f>
        <v>DYESTUFF</v>
      </c>
      <c r="W55" s="181">
        <f t="shared" si="2"/>
        <v>1.111E-3</v>
      </c>
    </row>
    <row r="56" spans="1:23" s="139" customFormat="1">
      <c r="A56" s="146" t="s">
        <v>468</v>
      </c>
      <c r="B56" s="147" t="s">
        <v>469</v>
      </c>
      <c r="C56" s="146" t="s">
        <v>137</v>
      </c>
      <c r="D56" s="146" t="s">
        <v>138</v>
      </c>
      <c r="E56" s="146" t="s">
        <v>139</v>
      </c>
      <c r="F56" s="146" t="s">
        <v>140</v>
      </c>
      <c r="G56" s="148" t="s">
        <v>303</v>
      </c>
      <c r="H56" s="146">
        <v>0</v>
      </c>
      <c r="I56" s="146">
        <v>4</v>
      </c>
      <c r="J56" s="146" t="s">
        <v>143</v>
      </c>
      <c r="K56" s="146" t="s">
        <v>90</v>
      </c>
      <c r="L56" s="148" t="s">
        <v>3</v>
      </c>
      <c r="M56" s="146" t="s">
        <v>142</v>
      </c>
      <c r="N56" s="149">
        <v>1000</v>
      </c>
      <c r="O56" s="152">
        <f>SUMIF('GUDANG BESAR'!C:C,K:K,'GUDANG BESAR'!I:I)</f>
        <v>194556</v>
      </c>
      <c r="P56" s="153">
        <f>SUMIF('GUDANG BESAR'!C:C,K:K,'GUDANG BESAR'!K:K)</f>
        <v>215957.16</v>
      </c>
      <c r="Q56" s="150">
        <v>0.80400000000000005</v>
      </c>
      <c r="R56" s="149">
        <v>0</v>
      </c>
      <c r="S56" s="149">
        <v>804</v>
      </c>
      <c r="T56" s="145">
        <f t="shared" si="0"/>
        <v>156423.024</v>
      </c>
      <c r="U56" s="145">
        <f t="shared" si="1"/>
        <v>173629.55664000002</v>
      </c>
      <c r="V56" s="135" t="str">
        <f>VLOOKUP(K56,Sheet1!$B$5:$C$131,2,0)</f>
        <v>DYESTUFF</v>
      </c>
      <c r="W56" s="181">
        <f t="shared" si="2"/>
        <v>8.0400000000000003E-4</v>
      </c>
    </row>
    <row r="57" spans="1:23" s="139" customFormat="1">
      <c r="A57" s="146" t="s">
        <v>468</v>
      </c>
      <c r="B57" s="147" t="s">
        <v>469</v>
      </c>
      <c r="C57" s="146" t="s">
        <v>137</v>
      </c>
      <c r="D57" s="146" t="s">
        <v>138</v>
      </c>
      <c r="E57" s="146" t="s">
        <v>139</v>
      </c>
      <c r="F57" s="146" t="s">
        <v>140</v>
      </c>
      <c r="G57" s="148" t="s">
        <v>303</v>
      </c>
      <c r="H57" s="146">
        <v>0</v>
      </c>
      <c r="I57" s="146">
        <v>2</v>
      </c>
      <c r="J57" s="146" t="s">
        <v>346</v>
      </c>
      <c r="K57" s="146" t="s">
        <v>343</v>
      </c>
      <c r="L57" s="148" t="s">
        <v>3</v>
      </c>
      <c r="M57" s="146" t="s">
        <v>142</v>
      </c>
      <c r="N57" s="149">
        <v>1000</v>
      </c>
      <c r="O57" s="152">
        <f>SUMIF('GUDANG BESAR'!C:C,K:K,'GUDANG BESAR'!I:I)</f>
        <v>60680</v>
      </c>
      <c r="P57" s="153">
        <f>SUMIF('GUDANG BESAR'!C:C,K:K,'GUDANG BESAR'!K:K)</f>
        <v>67354.8</v>
      </c>
      <c r="Q57" s="150">
        <v>7.2279999999999998</v>
      </c>
      <c r="R57" s="149">
        <v>7</v>
      </c>
      <c r="S57" s="149">
        <v>228</v>
      </c>
      <c r="T57" s="145">
        <f t="shared" si="0"/>
        <v>438595.04</v>
      </c>
      <c r="U57" s="145">
        <f t="shared" si="1"/>
        <v>486840.49440000003</v>
      </c>
      <c r="V57" s="135" t="str">
        <f>VLOOKUP(K57,Sheet1!$B$5:$C$131,2,0)</f>
        <v>DYESTUFF</v>
      </c>
      <c r="W57" s="181">
        <f t="shared" si="2"/>
        <v>7.228E-3</v>
      </c>
    </row>
    <row r="58" spans="1:23" s="139" customFormat="1">
      <c r="A58" s="146" t="s">
        <v>468</v>
      </c>
      <c r="B58" s="147" t="s">
        <v>469</v>
      </c>
      <c r="C58" s="146" t="s">
        <v>137</v>
      </c>
      <c r="D58" s="146" t="s">
        <v>138</v>
      </c>
      <c r="E58" s="146" t="s">
        <v>139</v>
      </c>
      <c r="F58" s="146" t="s">
        <v>140</v>
      </c>
      <c r="G58" s="148" t="s">
        <v>303</v>
      </c>
      <c r="H58" s="146">
        <v>0</v>
      </c>
      <c r="I58" s="146">
        <v>10</v>
      </c>
      <c r="J58" s="146" t="s">
        <v>151</v>
      </c>
      <c r="K58" s="146" t="s">
        <v>28</v>
      </c>
      <c r="L58" s="148" t="s">
        <v>3</v>
      </c>
      <c r="M58" s="146" t="s">
        <v>142</v>
      </c>
      <c r="N58" s="149">
        <v>1000</v>
      </c>
      <c r="O58" s="152">
        <f>SUMIF('GUDANG BESAR'!C:C,K:K,'GUDANG BESAR'!I:I)</f>
        <v>413967</v>
      </c>
      <c r="P58" s="153">
        <f>SUMIF('GUDANG BESAR'!C:C,K:K,'GUDANG BESAR'!K:K)</f>
        <v>459503.37</v>
      </c>
      <c r="Q58" s="150">
        <v>4.2999999999999997E-2</v>
      </c>
      <c r="R58" s="149">
        <v>0</v>
      </c>
      <c r="S58" s="149">
        <v>43</v>
      </c>
      <c r="T58" s="145">
        <f t="shared" si="0"/>
        <v>17800.580999999998</v>
      </c>
      <c r="U58" s="145">
        <f t="shared" si="1"/>
        <v>19758.644909999999</v>
      </c>
      <c r="V58" s="135" t="str">
        <f>VLOOKUP(K58,Sheet1!$B$5:$C$131,2,0)</f>
        <v>DYESTUFF</v>
      </c>
      <c r="W58" s="181">
        <f t="shared" si="2"/>
        <v>4.2999999999999995E-5</v>
      </c>
    </row>
    <row r="59" spans="1:23" s="139" customFormat="1">
      <c r="A59" s="146" t="s">
        <v>468</v>
      </c>
      <c r="B59" s="147" t="s">
        <v>469</v>
      </c>
      <c r="C59" s="146" t="s">
        <v>137</v>
      </c>
      <c r="D59" s="146" t="s">
        <v>138</v>
      </c>
      <c r="E59" s="146" t="s">
        <v>139</v>
      </c>
      <c r="F59" s="146" t="s">
        <v>140</v>
      </c>
      <c r="G59" s="148" t="s">
        <v>303</v>
      </c>
      <c r="H59" s="146">
        <v>0</v>
      </c>
      <c r="I59" s="146">
        <v>3</v>
      </c>
      <c r="J59" s="146" t="s">
        <v>169</v>
      </c>
      <c r="K59" s="146" t="s">
        <v>64</v>
      </c>
      <c r="L59" s="148" t="s">
        <v>3</v>
      </c>
      <c r="M59" s="146" t="s">
        <v>142</v>
      </c>
      <c r="N59" s="149">
        <v>1000</v>
      </c>
      <c r="O59" s="152">
        <f>SUMIF('GUDANG BESAR'!C:C,K:K,'GUDANG BESAR'!I:I)</f>
        <v>506080</v>
      </c>
      <c r="P59" s="153">
        <f>SUMIF('GUDANG BESAR'!C:C,K:K,'GUDANG BESAR'!K:K)</f>
        <v>561748.80000000005</v>
      </c>
      <c r="Q59" s="150">
        <v>8.9999999999999993E-3</v>
      </c>
      <c r="R59" s="149">
        <v>0</v>
      </c>
      <c r="S59" s="149">
        <v>9</v>
      </c>
      <c r="T59" s="145">
        <f t="shared" si="0"/>
        <v>4554.7199999999993</v>
      </c>
      <c r="U59" s="145">
        <f t="shared" si="1"/>
        <v>5055.7392</v>
      </c>
      <c r="V59" s="135" t="str">
        <f>VLOOKUP(K59,Sheet1!$B$5:$C$131,2,0)</f>
        <v>DYESTUFF</v>
      </c>
      <c r="W59" s="181">
        <f t="shared" si="2"/>
        <v>8.9999999999999985E-6</v>
      </c>
    </row>
    <row r="60" spans="1:23" s="139" customFormat="1">
      <c r="A60" s="146" t="s">
        <v>468</v>
      </c>
      <c r="B60" s="147" t="s">
        <v>469</v>
      </c>
      <c r="C60" s="146" t="s">
        <v>137</v>
      </c>
      <c r="D60" s="146" t="s">
        <v>138</v>
      </c>
      <c r="E60" s="146" t="s">
        <v>139</v>
      </c>
      <c r="F60" s="146" t="s">
        <v>140</v>
      </c>
      <c r="G60" s="148" t="s">
        <v>303</v>
      </c>
      <c r="H60" s="146">
        <v>0</v>
      </c>
      <c r="I60" s="146">
        <v>5</v>
      </c>
      <c r="J60" s="146" t="s">
        <v>250</v>
      </c>
      <c r="K60" s="146" t="s">
        <v>38</v>
      </c>
      <c r="L60" s="148" t="s">
        <v>3</v>
      </c>
      <c r="M60" s="146" t="s">
        <v>142</v>
      </c>
      <c r="N60" s="149">
        <v>1000</v>
      </c>
      <c r="O60" s="152">
        <f>SUMIF('GUDANG BESAR'!C:C,K:K,'GUDANG BESAR'!I:I)</f>
        <v>366255</v>
      </c>
      <c r="P60" s="153">
        <f>SUMIF('GUDANG BESAR'!C:C,K:K,'GUDANG BESAR'!K:K)</f>
        <v>406543.05</v>
      </c>
      <c r="Q60" s="150">
        <v>0.81899999999999995</v>
      </c>
      <c r="R60" s="149">
        <v>0</v>
      </c>
      <c r="S60" s="149">
        <v>819</v>
      </c>
      <c r="T60" s="145">
        <f t="shared" si="0"/>
        <v>299962.84499999997</v>
      </c>
      <c r="U60" s="145">
        <f t="shared" si="1"/>
        <v>332958.75795</v>
      </c>
      <c r="V60" s="135" t="str">
        <f>VLOOKUP(K60,Sheet1!$B$5:$C$131,2,0)</f>
        <v>DYESTUFF</v>
      </c>
      <c r="W60" s="181">
        <f t="shared" si="2"/>
        <v>8.1899999999999996E-4</v>
      </c>
    </row>
    <row r="61" spans="1:23" s="139" customFormat="1">
      <c r="A61" s="146" t="s">
        <v>468</v>
      </c>
      <c r="B61" s="147" t="s">
        <v>469</v>
      </c>
      <c r="C61" s="146" t="s">
        <v>137</v>
      </c>
      <c r="D61" s="146" t="s">
        <v>138</v>
      </c>
      <c r="E61" s="146" t="s">
        <v>139</v>
      </c>
      <c r="F61" s="146" t="s">
        <v>140</v>
      </c>
      <c r="G61" s="148" t="s">
        <v>303</v>
      </c>
      <c r="H61" s="146">
        <v>0</v>
      </c>
      <c r="I61" s="146">
        <v>6</v>
      </c>
      <c r="J61" s="146" t="s">
        <v>144</v>
      </c>
      <c r="K61" s="146" t="s">
        <v>26</v>
      </c>
      <c r="L61" s="148" t="s">
        <v>3</v>
      </c>
      <c r="M61" s="146" t="s">
        <v>142</v>
      </c>
      <c r="N61" s="149">
        <v>1000</v>
      </c>
      <c r="O61" s="152">
        <f>SUMIF('GUDANG BESAR'!C:C,K:K,'GUDANG BESAR'!I:I)</f>
        <v>52016</v>
      </c>
      <c r="P61" s="153">
        <f>SUMIF('GUDANG BESAR'!C:C,K:K,'GUDANG BESAR'!K:K)</f>
        <v>57737.760000000002</v>
      </c>
      <c r="Q61" s="150">
        <v>3.3010000000000002</v>
      </c>
      <c r="R61" s="149">
        <v>3</v>
      </c>
      <c r="S61" s="149">
        <v>301</v>
      </c>
      <c r="T61" s="145">
        <f t="shared" si="0"/>
        <v>171704.81600000002</v>
      </c>
      <c r="U61" s="145">
        <f t="shared" si="1"/>
        <v>190592.34576000003</v>
      </c>
      <c r="V61" s="135" t="str">
        <f>VLOOKUP(K61,Sheet1!$B$5:$C$131,2,0)</f>
        <v>DYESTUFF</v>
      </c>
      <c r="W61" s="181">
        <f t="shared" si="2"/>
        <v>3.3010000000000001E-3</v>
      </c>
    </row>
    <row r="62" spans="1:23" s="139" customFormat="1">
      <c r="A62" s="146" t="s">
        <v>468</v>
      </c>
      <c r="B62" s="147" t="s">
        <v>469</v>
      </c>
      <c r="C62" s="146" t="s">
        <v>137</v>
      </c>
      <c r="D62" s="146" t="s">
        <v>138</v>
      </c>
      <c r="E62" s="146" t="s">
        <v>139</v>
      </c>
      <c r="F62" s="146" t="s">
        <v>140</v>
      </c>
      <c r="G62" s="148" t="s">
        <v>303</v>
      </c>
      <c r="H62" s="146">
        <v>0</v>
      </c>
      <c r="I62" s="146">
        <v>7</v>
      </c>
      <c r="J62" s="146" t="s">
        <v>145</v>
      </c>
      <c r="K62" s="146" t="s">
        <v>27</v>
      </c>
      <c r="L62" s="148" t="s">
        <v>3</v>
      </c>
      <c r="M62" s="146" t="s">
        <v>142</v>
      </c>
      <c r="N62" s="149">
        <v>1000</v>
      </c>
      <c r="O62" s="152">
        <f>SUMIF('GUDANG BESAR'!C:C,K:K,'GUDANG BESAR'!I:I)</f>
        <v>71148</v>
      </c>
      <c r="P62" s="153">
        <f>SUMIF('GUDANG BESAR'!C:C,K:K,'GUDANG BESAR'!K:K)</f>
        <v>78974.28</v>
      </c>
      <c r="Q62" s="150">
        <v>2.0529999999999999</v>
      </c>
      <c r="R62" s="149">
        <v>2</v>
      </c>
      <c r="S62" s="149">
        <v>53</v>
      </c>
      <c r="T62" s="145">
        <f t="shared" si="0"/>
        <v>146066.84399999998</v>
      </c>
      <c r="U62" s="145">
        <f t="shared" si="1"/>
        <v>162134.19683999999</v>
      </c>
      <c r="V62" s="135" t="str">
        <f>VLOOKUP(K62,Sheet1!$B$5:$C$131,2,0)</f>
        <v>DYESTUFF</v>
      </c>
      <c r="W62" s="181">
        <f t="shared" si="2"/>
        <v>2.0530000000000001E-3</v>
      </c>
    </row>
    <row r="63" spans="1:23" s="139" customFormat="1">
      <c r="A63" s="146" t="s">
        <v>468</v>
      </c>
      <c r="B63" s="147" t="s">
        <v>469</v>
      </c>
      <c r="C63" s="146" t="s">
        <v>137</v>
      </c>
      <c r="D63" s="146" t="s">
        <v>138</v>
      </c>
      <c r="E63" s="146" t="s">
        <v>139</v>
      </c>
      <c r="F63" s="146" t="s">
        <v>140</v>
      </c>
      <c r="G63" s="148" t="s">
        <v>303</v>
      </c>
      <c r="H63" s="146">
        <v>0</v>
      </c>
      <c r="I63" s="146">
        <v>8</v>
      </c>
      <c r="J63" s="146" t="s">
        <v>146</v>
      </c>
      <c r="K63" s="146" t="s">
        <v>46</v>
      </c>
      <c r="L63" s="148" t="s">
        <v>3</v>
      </c>
      <c r="M63" s="146" t="s">
        <v>142</v>
      </c>
      <c r="N63" s="149">
        <v>1000</v>
      </c>
      <c r="O63" s="152">
        <f>SUMIF('GUDANG BESAR'!C:C,K:K,'GUDANG BESAR'!I:I)</f>
        <v>100812</v>
      </c>
      <c r="P63" s="153">
        <f>SUMIF('GUDANG BESAR'!C:C,K:K,'GUDANG BESAR'!K:K)</f>
        <v>111901.32</v>
      </c>
      <c r="Q63" s="150">
        <v>0.94299999999999995</v>
      </c>
      <c r="R63" s="149">
        <v>0</v>
      </c>
      <c r="S63" s="149">
        <v>943</v>
      </c>
      <c r="T63" s="145">
        <f t="shared" si="0"/>
        <v>95065.716</v>
      </c>
      <c r="U63" s="145">
        <f t="shared" si="1"/>
        <v>105522.94476</v>
      </c>
      <c r="V63" s="135" t="str">
        <f>VLOOKUP(K63,Sheet1!$B$5:$C$131,2,0)</f>
        <v>DYESTUFF</v>
      </c>
      <c r="W63" s="181">
        <f t="shared" si="2"/>
        <v>9.4299999999999994E-4</v>
      </c>
    </row>
    <row r="64" spans="1:23" s="139" customFormat="1">
      <c r="A64" s="146" t="s">
        <v>468</v>
      </c>
      <c r="B64" s="147" t="s">
        <v>469</v>
      </c>
      <c r="C64" s="146" t="s">
        <v>137</v>
      </c>
      <c r="D64" s="146" t="s">
        <v>138</v>
      </c>
      <c r="E64" s="146" t="s">
        <v>139</v>
      </c>
      <c r="F64" s="146" t="s">
        <v>140</v>
      </c>
      <c r="G64" s="148" t="s">
        <v>303</v>
      </c>
      <c r="H64" s="146">
        <v>0</v>
      </c>
      <c r="I64" s="146">
        <v>9</v>
      </c>
      <c r="J64" s="146" t="s">
        <v>147</v>
      </c>
      <c r="K64" s="146" t="s">
        <v>41</v>
      </c>
      <c r="L64" s="148" t="s">
        <v>3</v>
      </c>
      <c r="M64" s="146" t="s">
        <v>142</v>
      </c>
      <c r="N64" s="149">
        <v>1000</v>
      </c>
      <c r="O64" s="152">
        <f>SUMIF('GUDANG BESAR'!C:C,K:K,'GUDANG BESAR'!I:I)</f>
        <v>54071</v>
      </c>
      <c r="P64" s="153">
        <f>SUMIF('GUDANG BESAR'!C:C,K:K,'GUDANG BESAR'!K:K)</f>
        <v>60018.81</v>
      </c>
      <c r="Q64" s="150">
        <v>0.32200000000000001</v>
      </c>
      <c r="R64" s="149">
        <v>0</v>
      </c>
      <c r="S64" s="149">
        <v>322</v>
      </c>
      <c r="T64" s="145">
        <f t="shared" si="0"/>
        <v>17410.862000000001</v>
      </c>
      <c r="U64" s="145">
        <f t="shared" si="1"/>
        <v>19326.056819999998</v>
      </c>
      <c r="V64" s="135" t="str">
        <f>VLOOKUP(K64,Sheet1!$B$5:$C$131,2,0)</f>
        <v>DYESTUFF</v>
      </c>
      <c r="W64" s="181">
        <f t="shared" si="2"/>
        <v>3.2200000000000002E-4</v>
      </c>
    </row>
    <row r="65" spans="1:23" s="139" customFormat="1">
      <c r="A65" s="146" t="s">
        <v>468</v>
      </c>
      <c r="B65" s="147" t="s">
        <v>469</v>
      </c>
      <c r="C65" s="146" t="s">
        <v>137</v>
      </c>
      <c r="D65" s="146" t="s">
        <v>138</v>
      </c>
      <c r="E65" s="146" t="s">
        <v>139</v>
      </c>
      <c r="F65" s="146" t="s">
        <v>140</v>
      </c>
      <c r="G65" s="148" t="s">
        <v>303</v>
      </c>
      <c r="H65" s="146">
        <v>0</v>
      </c>
      <c r="I65" s="146">
        <v>11</v>
      </c>
      <c r="J65" s="146" t="s">
        <v>148</v>
      </c>
      <c r="K65" s="146" t="s">
        <v>30</v>
      </c>
      <c r="L65" s="148" t="s">
        <v>3</v>
      </c>
      <c r="M65" s="146" t="s">
        <v>142</v>
      </c>
      <c r="N65" s="149">
        <v>1000</v>
      </c>
      <c r="O65" s="152">
        <f>SUMIF('GUDANG BESAR'!C:C,K:K,'GUDANG BESAR'!I:I)</f>
        <v>77089.399999999994</v>
      </c>
      <c r="P65" s="153">
        <f>SUMIF('GUDANG BESAR'!C:C,K:K,'GUDANG BESAR'!K:K)</f>
        <v>85569.233999999997</v>
      </c>
      <c r="Q65" s="150">
        <v>5.2850000000000001</v>
      </c>
      <c r="R65" s="149">
        <v>5</v>
      </c>
      <c r="S65" s="149">
        <v>285</v>
      </c>
      <c r="T65" s="145">
        <f t="shared" si="0"/>
        <v>407417.47899999999</v>
      </c>
      <c r="U65" s="145">
        <f t="shared" si="1"/>
        <v>452233.40168999997</v>
      </c>
      <c r="V65" s="135" t="str">
        <f>VLOOKUP(K65,Sheet1!$B$5:$C$131,2,0)</f>
        <v>DYESTUFF</v>
      </c>
      <c r="W65" s="181">
        <f t="shared" si="2"/>
        <v>5.2849999999999998E-3</v>
      </c>
    </row>
    <row r="66" spans="1:23" s="139" customFormat="1">
      <c r="A66" s="146" t="s">
        <v>468</v>
      </c>
      <c r="B66" s="147" t="s">
        <v>469</v>
      </c>
      <c r="C66" s="146" t="s">
        <v>137</v>
      </c>
      <c r="D66" s="146" t="s">
        <v>138</v>
      </c>
      <c r="E66" s="146" t="s">
        <v>139</v>
      </c>
      <c r="F66" s="146" t="s">
        <v>167</v>
      </c>
      <c r="G66" s="148" t="s">
        <v>298</v>
      </c>
      <c r="H66" s="146">
        <v>0</v>
      </c>
      <c r="I66" s="146">
        <v>12</v>
      </c>
      <c r="J66" s="146" t="s">
        <v>270</v>
      </c>
      <c r="K66" s="146" t="s">
        <v>31</v>
      </c>
      <c r="L66" s="148" t="s">
        <v>3</v>
      </c>
      <c r="M66" s="146" t="s">
        <v>142</v>
      </c>
      <c r="N66" s="149">
        <v>1000</v>
      </c>
      <c r="O66" s="152">
        <f>SUMIF('GUDANG BESAR'!C:C,K:K,'GUDANG BESAR'!I:I)</f>
        <v>12160</v>
      </c>
      <c r="P66" s="153">
        <f>SUMIF('GUDANG BESAR'!C:C,K:K,'GUDANG BESAR'!K:K)</f>
        <v>13497.6</v>
      </c>
      <c r="Q66" s="150">
        <v>6</v>
      </c>
      <c r="R66" s="149">
        <v>6</v>
      </c>
      <c r="S66" s="149">
        <v>0</v>
      </c>
      <c r="T66" s="145">
        <f t="shared" si="0"/>
        <v>72960</v>
      </c>
      <c r="U66" s="145">
        <f t="shared" si="1"/>
        <v>80985.600000000006</v>
      </c>
      <c r="V66" s="135" t="str">
        <f>VLOOKUP(K66,Sheet1!$B$5:$C$131,2,0)</f>
        <v>FINISHING</v>
      </c>
      <c r="W66" s="181">
        <f t="shared" si="2"/>
        <v>6.0000000000000001E-3</v>
      </c>
    </row>
    <row r="67" spans="1:23" s="139" customFormat="1">
      <c r="A67" s="146" t="s">
        <v>468</v>
      </c>
      <c r="B67" s="147" t="s">
        <v>469</v>
      </c>
      <c r="C67" s="146" t="s">
        <v>137</v>
      </c>
      <c r="D67" s="146" t="s">
        <v>138</v>
      </c>
      <c r="E67" s="146" t="s">
        <v>139</v>
      </c>
      <c r="F67" s="146" t="s">
        <v>162</v>
      </c>
      <c r="G67" s="148" t="s">
        <v>214</v>
      </c>
      <c r="H67" s="146">
        <v>0</v>
      </c>
      <c r="I67" s="146">
        <v>17</v>
      </c>
      <c r="J67" s="146" t="s">
        <v>377</v>
      </c>
      <c r="K67" s="146" t="s">
        <v>372</v>
      </c>
      <c r="L67" s="148" t="s">
        <v>3</v>
      </c>
      <c r="M67" s="146" t="s">
        <v>142</v>
      </c>
      <c r="N67" s="149">
        <v>1000</v>
      </c>
      <c r="O67" s="152">
        <f>SUMIF('GUDANG BESAR'!C:C,K:K,'GUDANG BESAR'!I:I)</f>
        <v>5500</v>
      </c>
      <c r="P67" s="153">
        <f>SUMIF('GUDANG BESAR'!C:C,K:K,'GUDANG BESAR'!K:K)</f>
        <v>6105</v>
      </c>
      <c r="Q67" s="150">
        <v>150</v>
      </c>
      <c r="R67" s="149">
        <v>150</v>
      </c>
      <c r="S67" s="149">
        <v>0</v>
      </c>
      <c r="T67" s="145">
        <f t="shared" si="0"/>
        <v>825000</v>
      </c>
      <c r="U67" s="145">
        <f t="shared" si="1"/>
        <v>915750</v>
      </c>
      <c r="V67" s="135" t="str">
        <f>VLOOKUP(K67,Sheet1!$B$5:$C$131,2,0)</f>
        <v>LIMBAH</v>
      </c>
      <c r="W67" s="181">
        <f t="shared" si="2"/>
        <v>0.15</v>
      </c>
    </row>
    <row r="68" spans="1:23" s="139" customFormat="1">
      <c r="A68" s="146" t="s">
        <v>468</v>
      </c>
      <c r="B68" s="147" t="s">
        <v>469</v>
      </c>
      <c r="C68" s="146" t="s">
        <v>137</v>
      </c>
      <c r="D68" s="146" t="s">
        <v>138</v>
      </c>
      <c r="E68" s="146" t="s">
        <v>139</v>
      </c>
      <c r="F68" s="146" t="s">
        <v>167</v>
      </c>
      <c r="G68" s="148" t="s">
        <v>298</v>
      </c>
      <c r="H68" s="146">
        <v>0</v>
      </c>
      <c r="I68" s="146">
        <v>13</v>
      </c>
      <c r="J68" s="146" t="s">
        <v>183</v>
      </c>
      <c r="K68" s="146" t="s">
        <v>20</v>
      </c>
      <c r="L68" s="148" t="s">
        <v>3</v>
      </c>
      <c r="M68" s="146" t="s">
        <v>142</v>
      </c>
      <c r="N68" s="149">
        <v>1000</v>
      </c>
      <c r="O68" s="152">
        <f>SUMIF('GUDANG BESAR'!C:C,K:K,'GUDANG BESAR'!I:I)</f>
        <v>39120</v>
      </c>
      <c r="P68" s="153">
        <f>SUMIF('GUDANG BESAR'!C:C,K:K,'GUDANG BESAR'!K:K)</f>
        <v>43423.199999999997</v>
      </c>
      <c r="Q68" s="150">
        <v>5</v>
      </c>
      <c r="R68" s="149">
        <v>5</v>
      </c>
      <c r="S68" s="149">
        <v>0</v>
      </c>
      <c r="T68" s="145">
        <f t="shared" si="0"/>
        <v>195600</v>
      </c>
      <c r="U68" s="145">
        <f t="shared" si="1"/>
        <v>217116</v>
      </c>
      <c r="V68" s="135" t="str">
        <f>VLOOKUP(K68,Sheet1!$B$5:$C$131,2,0)</f>
        <v>FINISHING</v>
      </c>
      <c r="W68" s="181">
        <f t="shared" si="2"/>
        <v>5.0000000000000001E-3</v>
      </c>
    </row>
    <row r="69" spans="1:23" s="139" customFormat="1">
      <c r="A69" s="146" t="s">
        <v>468</v>
      </c>
      <c r="B69" s="147" t="s">
        <v>469</v>
      </c>
      <c r="C69" s="146" t="s">
        <v>137</v>
      </c>
      <c r="D69" s="146" t="s">
        <v>138</v>
      </c>
      <c r="E69" s="146" t="s">
        <v>139</v>
      </c>
      <c r="F69" s="146" t="s">
        <v>167</v>
      </c>
      <c r="G69" s="148" t="s">
        <v>301</v>
      </c>
      <c r="H69" s="146">
        <v>0</v>
      </c>
      <c r="I69" s="146">
        <v>14</v>
      </c>
      <c r="J69" s="146" t="s">
        <v>168</v>
      </c>
      <c r="K69" s="146" t="s">
        <v>34</v>
      </c>
      <c r="L69" s="148" t="s">
        <v>3</v>
      </c>
      <c r="M69" s="146" t="s">
        <v>142</v>
      </c>
      <c r="N69" s="149">
        <v>1000</v>
      </c>
      <c r="O69" s="152">
        <f>SUMIF('GUDANG BESAR'!C:C,K:K,'GUDANG BESAR'!I:I)</f>
        <v>68397</v>
      </c>
      <c r="P69" s="153">
        <f>SUMIF('GUDANG BESAR'!C:C,K:K,'GUDANG BESAR'!K:K)</f>
        <v>75920.67</v>
      </c>
      <c r="Q69" s="150">
        <v>3</v>
      </c>
      <c r="R69" s="149">
        <v>3</v>
      </c>
      <c r="S69" s="149">
        <v>0</v>
      </c>
      <c r="T69" s="145">
        <f t="shared" si="0"/>
        <v>205191</v>
      </c>
      <c r="U69" s="145">
        <f t="shared" si="1"/>
        <v>227762.01</v>
      </c>
      <c r="V69" s="135" t="str">
        <f>VLOOKUP(K69,Sheet1!$B$5:$C$131,2,0)</f>
        <v>DYEING</v>
      </c>
      <c r="W69" s="181">
        <f t="shared" si="2"/>
        <v>3.0000000000000001E-3</v>
      </c>
    </row>
    <row r="70" spans="1:23" s="139" customFormat="1">
      <c r="A70" s="146" t="s">
        <v>468</v>
      </c>
      <c r="B70" s="147" t="s">
        <v>469</v>
      </c>
      <c r="C70" s="146" t="s">
        <v>137</v>
      </c>
      <c r="D70" s="146" t="s">
        <v>138</v>
      </c>
      <c r="E70" s="146" t="s">
        <v>139</v>
      </c>
      <c r="F70" s="146" t="s">
        <v>162</v>
      </c>
      <c r="G70" s="148" t="s">
        <v>214</v>
      </c>
      <c r="H70" s="146">
        <v>0</v>
      </c>
      <c r="I70" s="146">
        <v>20</v>
      </c>
      <c r="J70" s="146" t="s">
        <v>164</v>
      </c>
      <c r="K70" s="146" t="s">
        <v>74</v>
      </c>
      <c r="L70" s="148" t="s">
        <v>5</v>
      </c>
      <c r="M70" s="146" t="s">
        <v>142</v>
      </c>
      <c r="N70" s="149">
        <v>1000</v>
      </c>
      <c r="O70" s="152">
        <f>SUMIF('GUDANG BESAR'!C:C,K:K,'GUDANG BESAR'!I:I)</f>
        <v>13180</v>
      </c>
      <c r="P70" s="153">
        <f>SUMIF('GUDANG BESAR'!C:C,K:K,'GUDANG BESAR'!K:K)</f>
        <v>14629.8</v>
      </c>
      <c r="Q70" s="150">
        <v>15</v>
      </c>
      <c r="R70" s="149">
        <v>15</v>
      </c>
      <c r="S70" s="149">
        <v>0</v>
      </c>
      <c r="T70" s="145">
        <f t="shared" ref="T70:T133" si="3">O70*Q70</f>
        <v>197700</v>
      </c>
      <c r="U70" s="145">
        <f t="shared" ref="U70:U133" si="4">P70*Q70</f>
        <v>219447</v>
      </c>
      <c r="V70" s="135" t="str">
        <f>VLOOKUP(K70,Sheet1!$B$5:$C$131,2,0)</f>
        <v>LIMBAH</v>
      </c>
      <c r="W70" s="181">
        <f t="shared" ref="W70:W133" si="5">Q70/$W$5</f>
        <v>1.4999999999999999E-2</v>
      </c>
    </row>
    <row r="71" spans="1:23" s="139" customFormat="1">
      <c r="A71" s="146" t="s">
        <v>468</v>
      </c>
      <c r="B71" s="147" t="s">
        <v>469</v>
      </c>
      <c r="C71" s="146" t="s">
        <v>137</v>
      </c>
      <c r="D71" s="146" t="s">
        <v>138</v>
      </c>
      <c r="E71" s="146" t="s">
        <v>139</v>
      </c>
      <c r="F71" s="146" t="s">
        <v>162</v>
      </c>
      <c r="G71" s="148" t="s">
        <v>214</v>
      </c>
      <c r="H71" s="146">
        <v>0</v>
      </c>
      <c r="I71" s="146">
        <v>18</v>
      </c>
      <c r="J71" s="146" t="s">
        <v>262</v>
      </c>
      <c r="K71" s="146" t="s">
        <v>258</v>
      </c>
      <c r="L71" s="148" t="s">
        <v>3</v>
      </c>
      <c r="M71" s="146" t="s">
        <v>142</v>
      </c>
      <c r="N71" s="149">
        <v>1000</v>
      </c>
      <c r="O71" s="152">
        <f>SUMIF('GUDANG BESAR'!C:C,K:K,'GUDANG BESAR'!I:I)</f>
        <v>33000</v>
      </c>
      <c r="P71" s="153">
        <f>SUMIF('GUDANG BESAR'!C:C,K:K,'GUDANG BESAR'!K:K)</f>
        <v>36630</v>
      </c>
      <c r="Q71" s="150">
        <v>7</v>
      </c>
      <c r="R71" s="149">
        <v>7</v>
      </c>
      <c r="S71" s="149">
        <v>0</v>
      </c>
      <c r="T71" s="145">
        <f t="shared" si="3"/>
        <v>231000</v>
      </c>
      <c r="U71" s="145">
        <f t="shared" si="4"/>
        <v>256410</v>
      </c>
      <c r="V71" s="135" t="str">
        <f>VLOOKUP(K71,Sheet1!$B$5:$C$131,2,0)</f>
        <v>LIMBAH</v>
      </c>
      <c r="W71" s="181">
        <f t="shared" si="5"/>
        <v>7.0000000000000001E-3</v>
      </c>
    </row>
    <row r="72" spans="1:23" s="139" customFormat="1">
      <c r="A72" s="146" t="s">
        <v>468</v>
      </c>
      <c r="B72" s="147" t="s">
        <v>469</v>
      </c>
      <c r="C72" s="146" t="s">
        <v>137</v>
      </c>
      <c r="D72" s="146" t="s">
        <v>138</v>
      </c>
      <c r="E72" s="146" t="s">
        <v>139</v>
      </c>
      <c r="F72" s="146" t="s">
        <v>162</v>
      </c>
      <c r="G72" s="148" t="s">
        <v>214</v>
      </c>
      <c r="H72" s="146">
        <v>0</v>
      </c>
      <c r="I72" s="146">
        <v>19</v>
      </c>
      <c r="J72" s="146" t="s">
        <v>263</v>
      </c>
      <c r="K72" s="146" t="s">
        <v>259</v>
      </c>
      <c r="L72" s="148" t="s">
        <v>3</v>
      </c>
      <c r="M72" s="146" t="s">
        <v>142</v>
      </c>
      <c r="N72" s="149">
        <v>1000</v>
      </c>
      <c r="O72" s="152">
        <f>SUMIF('GUDANG BESAR'!C:C,K:K,'GUDANG BESAR'!I:I)</f>
        <v>47500</v>
      </c>
      <c r="P72" s="153">
        <f>SUMIF('GUDANG BESAR'!C:C,K:K,'GUDANG BESAR'!K:K)</f>
        <v>52725</v>
      </c>
      <c r="Q72" s="150">
        <v>4</v>
      </c>
      <c r="R72" s="149">
        <v>4</v>
      </c>
      <c r="S72" s="149">
        <v>0</v>
      </c>
      <c r="T72" s="145">
        <f t="shared" si="3"/>
        <v>190000</v>
      </c>
      <c r="U72" s="145">
        <f t="shared" si="4"/>
        <v>210900</v>
      </c>
      <c r="V72" s="135" t="str">
        <f>VLOOKUP(K72,Sheet1!$B$5:$C$131,2,0)</f>
        <v>LIMBAH</v>
      </c>
      <c r="W72" s="181">
        <f t="shared" si="5"/>
        <v>4.0000000000000001E-3</v>
      </c>
    </row>
    <row r="73" spans="1:23" s="139" customFormat="1">
      <c r="A73" s="146" t="s">
        <v>470</v>
      </c>
      <c r="B73" s="147" t="s">
        <v>471</v>
      </c>
      <c r="C73" s="146" t="s">
        <v>137</v>
      </c>
      <c r="D73" s="146" t="s">
        <v>138</v>
      </c>
      <c r="E73" s="146" t="s">
        <v>139</v>
      </c>
      <c r="F73" s="146" t="s">
        <v>153</v>
      </c>
      <c r="G73" s="148" t="s">
        <v>299</v>
      </c>
      <c r="H73" s="146">
        <v>0</v>
      </c>
      <c r="I73" s="146">
        <v>13</v>
      </c>
      <c r="J73" s="146" t="s">
        <v>154</v>
      </c>
      <c r="K73" s="146" t="s">
        <v>23</v>
      </c>
      <c r="L73" s="148" t="s">
        <v>3</v>
      </c>
      <c r="M73" s="146" t="s">
        <v>142</v>
      </c>
      <c r="N73" s="149">
        <v>1000</v>
      </c>
      <c r="O73" s="152">
        <f>SUMIF('GUDANG BESAR'!C:C,K:K,'GUDANG BESAR'!I:I)</f>
        <v>28844</v>
      </c>
      <c r="P73" s="153">
        <f>SUMIF('GUDANG BESAR'!C:C,K:K,'GUDANG BESAR'!K:K)</f>
        <v>32016.84</v>
      </c>
      <c r="Q73" s="150">
        <v>150</v>
      </c>
      <c r="R73" s="149">
        <v>150</v>
      </c>
      <c r="S73" s="149">
        <v>0</v>
      </c>
      <c r="T73" s="145">
        <f t="shared" si="3"/>
        <v>4326600</v>
      </c>
      <c r="U73" s="145">
        <f t="shared" si="4"/>
        <v>4802526</v>
      </c>
      <c r="V73" s="135" t="str">
        <f>VLOOKUP(K73,Sheet1!$B$5:$C$131,2,0)</f>
        <v>RC</v>
      </c>
      <c r="W73" s="181">
        <f t="shared" si="5"/>
        <v>0.15</v>
      </c>
    </row>
    <row r="74" spans="1:23" s="139" customFormat="1">
      <c r="A74" s="146" t="s">
        <v>470</v>
      </c>
      <c r="B74" s="147" t="s">
        <v>471</v>
      </c>
      <c r="C74" s="146" t="s">
        <v>137</v>
      </c>
      <c r="D74" s="146" t="s">
        <v>138</v>
      </c>
      <c r="E74" s="146" t="s">
        <v>139</v>
      </c>
      <c r="F74" s="146" t="s">
        <v>159</v>
      </c>
      <c r="G74" s="148" t="s">
        <v>302</v>
      </c>
      <c r="H74" s="146">
        <v>0</v>
      </c>
      <c r="I74" s="146">
        <v>18</v>
      </c>
      <c r="J74" s="146" t="s">
        <v>160</v>
      </c>
      <c r="K74" s="146" t="s">
        <v>62</v>
      </c>
      <c r="L74" s="148" t="s">
        <v>3</v>
      </c>
      <c r="M74" s="146" t="s">
        <v>142</v>
      </c>
      <c r="N74" s="149">
        <v>1000</v>
      </c>
      <c r="O74" s="152">
        <f>SUMIF('GUDANG BESAR'!C:C,K:K,'GUDANG BESAR'!I:I)</f>
        <v>24000</v>
      </c>
      <c r="P74" s="153">
        <f>SUMIF('GUDANG BESAR'!C:C,K:K,'GUDANG BESAR'!K:K)</f>
        <v>26640</v>
      </c>
      <c r="Q74" s="150">
        <v>60</v>
      </c>
      <c r="R74" s="149">
        <v>60</v>
      </c>
      <c r="S74" s="149">
        <v>0</v>
      </c>
      <c r="T74" s="145">
        <f t="shared" si="3"/>
        <v>1440000</v>
      </c>
      <c r="U74" s="145">
        <f t="shared" si="4"/>
        <v>1598400</v>
      </c>
      <c r="V74" s="135" t="str">
        <f>VLOOKUP(K74,Sheet1!$B$5:$C$131,2,0)</f>
        <v>BOILER</v>
      </c>
      <c r="W74" s="181">
        <f t="shared" si="5"/>
        <v>0.06</v>
      </c>
    </row>
    <row r="75" spans="1:23" s="139" customFormat="1">
      <c r="A75" s="146" t="s">
        <v>470</v>
      </c>
      <c r="B75" s="147" t="s">
        <v>471</v>
      </c>
      <c r="C75" s="146" t="s">
        <v>137</v>
      </c>
      <c r="D75" s="146" t="s">
        <v>138</v>
      </c>
      <c r="E75" s="146" t="s">
        <v>139</v>
      </c>
      <c r="F75" s="146" t="s">
        <v>159</v>
      </c>
      <c r="G75" s="148" t="s">
        <v>302</v>
      </c>
      <c r="H75" s="146">
        <v>0</v>
      </c>
      <c r="I75" s="146">
        <v>19</v>
      </c>
      <c r="J75" s="146" t="s">
        <v>161</v>
      </c>
      <c r="K75" s="146" t="s">
        <v>63</v>
      </c>
      <c r="L75" s="148" t="s">
        <v>3</v>
      </c>
      <c r="M75" s="146" t="s">
        <v>142</v>
      </c>
      <c r="N75" s="149">
        <v>1000</v>
      </c>
      <c r="O75" s="152">
        <f>SUMIF('GUDANG BESAR'!C:C,K:K,'GUDANG BESAR'!I:I)</f>
        <v>23000</v>
      </c>
      <c r="P75" s="153">
        <f>SUMIF('GUDANG BESAR'!C:C,K:K,'GUDANG BESAR'!K:K)</f>
        <v>25530</v>
      </c>
      <c r="Q75" s="150">
        <v>60</v>
      </c>
      <c r="R75" s="149">
        <v>60</v>
      </c>
      <c r="S75" s="149">
        <v>0</v>
      </c>
      <c r="T75" s="145">
        <f t="shared" si="3"/>
        <v>1380000</v>
      </c>
      <c r="U75" s="145">
        <f t="shared" si="4"/>
        <v>1531800</v>
      </c>
      <c r="V75" s="135" t="str">
        <f>VLOOKUP(K75,Sheet1!$B$5:$C$131,2,0)</f>
        <v>BOILER</v>
      </c>
      <c r="W75" s="181">
        <f t="shared" si="5"/>
        <v>0.06</v>
      </c>
    </row>
    <row r="76" spans="1:23" s="139" customFormat="1">
      <c r="A76" s="146" t="s">
        <v>470</v>
      </c>
      <c r="B76" s="147" t="s">
        <v>471</v>
      </c>
      <c r="C76" s="146" t="s">
        <v>137</v>
      </c>
      <c r="D76" s="146" t="s">
        <v>138</v>
      </c>
      <c r="E76" s="146" t="s">
        <v>139</v>
      </c>
      <c r="F76" s="146" t="s">
        <v>153</v>
      </c>
      <c r="G76" s="148" t="s">
        <v>299</v>
      </c>
      <c r="H76" s="146">
        <v>0</v>
      </c>
      <c r="I76" s="146">
        <v>14</v>
      </c>
      <c r="J76" s="146" t="s">
        <v>155</v>
      </c>
      <c r="K76" s="146" t="s">
        <v>33</v>
      </c>
      <c r="L76" s="148" t="s">
        <v>3</v>
      </c>
      <c r="M76" s="146" t="s">
        <v>142</v>
      </c>
      <c r="N76" s="149">
        <v>1000</v>
      </c>
      <c r="O76" s="152">
        <f>SUMIF('GUDANG BESAR'!C:C,K:K,'GUDANG BESAR'!I:I)</f>
        <v>11087.5</v>
      </c>
      <c r="P76" s="153">
        <f>SUMIF('GUDANG BESAR'!C:C,K:K,'GUDANG BESAR'!K:K)</f>
        <v>12307.125</v>
      </c>
      <c r="Q76" s="150">
        <v>150</v>
      </c>
      <c r="R76" s="149">
        <v>150</v>
      </c>
      <c r="S76" s="149">
        <v>0</v>
      </c>
      <c r="T76" s="145">
        <f t="shared" si="3"/>
        <v>1663125</v>
      </c>
      <c r="U76" s="145">
        <f t="shared" si="4"/>
        <v>1846068.75</v>
      </c>
      <c r="V76" s="135" t="str">
        <f>VLOOKUP(K76,Sheet1!$B$5:$C$131,2,0)</f>
        <v>RC</v>
      </c>
      <c r="W76" s="181">
        <f t="shared" si="5"/>
        <v>0.15</v>
      </c>
    </row>
    <row r="77" spans="1:23" s="139" customFormat="1">
      <c r="A77" s="146" t="s">
        <v>470</v>
      </c>
      <c r="B77" s="147" t="s">
        <v>471</v>
      </c>
      <c r="C77" s="146" t="s">
        <v>137</v>
      </c>
      <c r="D77" s="146" t="s">
        <v>138</v>
      </c>
      <c r="E77" s="146" t="s">
        <v>139</v>
      </c>
      <c r="F77" s="146" t="s">
        <v>140</v>
      </c>
      <c r="G77" s="148" t="s">
        <v>303</v>
      </c>
      <c r="H77" s="146">
        <v>0</v>
      </c>
      <c r="I77" s="146">
        <v>1</v>
      </c>
      <c r="J77" s="146" t="s">
        <v>141</v>
      </c>
      <c r="K77" s="146" t="s">
        <v>37</v>
      </c>
      <c r="L77" s="148" t="s">
        <v>3</v>
      </c>
      <c r="M77" s="146" t="s">
        <v>142</v>
      </c>
      <c r="N77" s="149">
        <v>1000</v>
      </c>
      <c r="O77" s="152">
        <f>SUMIF('GUDANG BESAR'!C:C,K:K,'GUDANG BESAR'!I:I)</f>
        <v>51276</v>
      </c>
      <c r="P77" s="153">
        <f>SUMIF('GUDANG BESAR'!C:C,K:K,'GUDANG BESAR'!K:K)</f>
        <v>56916.36</v>
      </c>
      <c r="Q77" s="150">
        <v>10.224</v>
      </c>
      <c r="R77" s="149">
        <v>10</v>
      </c>
      <c r="S77" s="149">
        <v>224</v>
      </c>
      <c r="T77" s="145">
        <f t="shared" si="3"/>
        <v>524245.82400000002</v>
      </c>
      <c r="U77" s="145">
        <f t="shared" si="4"/>
        <v>581912.86464000004</v>
      </c>
      <c r="V77" s="135" t="str">
        <f>VLOOKUP(K77,Sheet1!$B$5:$C$131,2,0)</f>
        <v>DYESTUFF</v>
      </c>
      <c r="W77" s="181">
        <f t="shared" si="5"/>
        <v>1.0224E-2</v>
      </c>
    </row>
    <row r="78" spans="1:23" s="139" customFormat="1">
      <c r="A78" s="146" t="s">
        <v>470</v>
      </c>
      <c r="B78" s="147" t="s">
        <v>471</v>
      </c>
      <c r="C78" s="146" t="s">
        <v>137</v>
      </c>
      <c r="D78" s="146" t="s">
        <v>138</v>
      </c>
      <c r="E78" s="146" t="s">
        <v>139</v>
      </c>
      <c r="F78" s="146" t="s">
        <v>140</v>
      </c>
      <c r="G78" s="148" t="s">
        <v>303</v>
      </c>
      <c r="H78" s="146">
        <v>0</v>
      </c>
      <c r="I78" s="146">
        <v>4</v>
      </c>
      <c r="J78" s="146" t="s">
        <v>143</v>
      </c>
      <c r="K78" s="146" t="s">
        <v>90</v>
      </c>
      <c r="L78" s="148" t="s">
        <v>3</v>
      </c>
      <c r="M78" s="146" t="s">
        <v>142</v>
      </c>
      <c r="N78" s="149">
        <v>1000</v>
      </c>
      <c r="O78" s="152">
        <f>SUMIF('GUDANG BESAR'!C:C,K:K,'GUDANG BESAR'!I:I)</f>
        <v>194556</v>
      </c>
      <c r="P78" s="153">
        <f>SUMIF('GUDANG BESAR'!C:C,K:K,'GUDANG BESAR'!K:K)</f>
        <v>215957.16</v>
      </c>
      <c r="Q78" s="150">
        <v>0.86399999999999999</v>
      </c>
      <c r="R78" s="149">
        <v>0</v>
      </c>
      <c r="S78" s="149">
        <v>864</v>
      </c>
      <c r="T78" s="145">
        <f t="shared" si="3"/>
        <v>168096.38399999999</v>
      </c>
      <c r="U78" s="145">
        <f t="shared" si="4"/>
        <v>186586.98624</v>
      </c>
      <c r="V78" s="135" t="str">
        <f>VLOOKUP(K78,Sheet1!$B$5:$C$131,2,0)</f>
        <v>DYESTUFF</v>
      </c>
      <c r="W78" s="181">
        <f t="shared" si="5"/>
        <v>8.6399999999999997E-4</v>
      </c>
    </row>
    <row r="79" spans="1:23" s="139" customFormat="1">
      <c r="A79" s="146" t="s">
        <v>470</v>
      </c>
      <c r="B79" s="147" t="s">
        <v>471</v>
      </c>
      <c r="C79" s="146" t="s">
        <v>137</v>
      </c>
      <c r="D79" s="146" t="s">
        <v>138</v>
      </c>
      <c r="E79" s="146" t="s">
        <v>139</v>
      </c>
      <c r="F79" s="146" t="s">
        <v>140</v>
      </c>
      <c r="G79" s="148" t="s">
        <v>303</v>
      </c>
      <c r="H79" s="146">
        <v>0</v>
      </c>
      <c r="I79" s="146">
        <v>2</v>
      </c>
      <c r="J79" s="146" t="s">
        <v>346</v>
      </c>
      <c r="K79" s="146" t="s">
        <v>343</v>
      </c>
      <c r="L79" s="148" t="s">
        <v>3</v>
      </c>
      <c r="M79" s="146" t="s">
        <v>142</v>
      </c>
      <c r="N79" s="149">
        <v>1000</v>
      </c>
      <c r="O79" s="152">
        <f>SUMIF('GUDANG BESAR'!C:C,K:K,'GUDANG BESAR'!I:I)</f>
        <v>60680</v>
      </c>
      <c r="P79" s="153">
        <f>SUMIF('GUDANG BESAR'!C:C,K:K,'GUDANG BESAR'!K:K)</f>
        <v>67354.8</v>
      </c>
      <c r="Q79" s="150">
        <v>29.175999999999998</v>
      </c>
      <c r="R79" s="149">
        <v>29</v>
      </c>
      <c r="S79" s="149">
        <v>176</v>
      </c>
      <c r="T79" s="145">
        <f t="shared" si="3"/>
        <v>1770399.68</v>
      </c>
      <c r="U79" s="145">
        <f t="shared" si="4"/>
        <v>1965143.6447999999</v>
      </c>
      <c r="V79" s="135" t="str">
        <f>VLOOKUP(K79,Sheet1!$B$5:$C$131,2,0)</f>
        <v>DYESTUFF</v>
      </c>
      <c r="W79" s="181">
        <f t="shared" si="5"/>
        <v>2.9175999999999997E-2</v>
      </c>
    </row>
    <row r="80" spans="1:23" s="139" customFormat="1">
      <c r="A80" s="146" t="s">
        <v>470</v>
      </c>
      <c r="B80" s="147" t="s">
        <v>471</v>
      </c>
      <c r="C80" s="146" t="s">
        <v>137</v>
      </c>
      <c r="D80" s="146" t="s">
        <v>138</v>
      </c>
      <c r="E80" s="146" t="s">
        <v>139</v>
      </c>
      <c r="F80" s="146" t="s">
        <v>140</v>
      </c>
      <c r="G80" s="148" t="s">
        <v>303</v>
      </c>
      <c r="H80" s="146">
        <v>0</v>
      </c>
      <c r="I80" s="146">
        <v>10</v>
      </c>
      <c r="J80" s="146" t="s">
        <v>151</v>
      </c>
      <c r="K80" s="146" t="s">
        <v>28</v>
      </c>
      <c r="L80" s="148" t="s">
        <v>3</v>
      </c>
      <c r="M80" s="146" t="s">
        <v>142</v>
      </c>
      <c r="N80" s="149">
        <v>1000</v>
      </c>
      <c r="O80" s="152">
        <f>SUMIF('GUDANG BESAR'!C:C,K:K,'GUDANG BESAR'!I:I)</f>
        <v>413967</v>
      </c>
      <c r="P80" s="153">
        <f>SUMIF('GUDANG BESAR'!C:C,K:K,'GUDANG BESAR'!K:K)</f>
        <v>459503.37</v>
      </c>
      <c r="Q80" s="150">
        <v>3.6999999999999998E-2</v>
      </c>
      <c r="R80" s="149">
        <v>0</v>
      </c>
      <c r="S80" s="149">
        <v>37</v>
      </c>
      <c r="T80" s="145">
        <f t="shared" si="3"/>
        <v>15316.778999999999</v>
      </c>
      <c r="U80" s="145">
        <f t="shared" si="4"/>
        <v>17001.624690000001</v>
      </c>
      <c r="V80" s="135" t="str">
        <f>VLOOKUP(K80,Sheet1!$B$5:$C$131,2,0)</f>
        <v>DYESTUFF</v>
      </c>
      <c r="W80" s="181">
        <f t="shared" si="5"/>
        <v>3.6999999999999998E-5</v>
      </c>
    </row>
    <row r="81" spans="1:23" s="139" customFormat="1">
      <c r="A81" s="146" t="s">
        <v>470</v>
      </c>
      <c r="B81" s="147" t="s">
        <v>471</v>
      </c>
      <c r="C81" s="146" t="s">
        <v>137</v>
      </c>
      <c r="D81" s="146" t="s">
        <v>138</v>
      </c>
      <c r="E81" s="146" t="s">
        <v>139</v>
      </c>
      <c r="F81" s="146" t="s">
        <v>140</v>
      </c>
      <c r="G81" s="148" t="s">
        <v>303</v>
      </c>
      <c r="H81" s="146">
        <v>0</v>
      </c>
      <c r="I81" s="146">
        <v>3</v>
      </c>
      <c r="J81" s="146" t="s">
        <v>169</v>
      </c>
      <c r="K81" s="146" t="s">
        <v>64</v>
      </c>
      <c r="L81" s="148" t="s">
        <v>3</v>
      </c>
      <c r="M81" s="146" t="s">
        <v>142</v>
      </c>
      <c r="N81" s="149">
        <v>1000</v>
      </c>
      <c r="O81" s="152">
        <f>SUMIF('GUDANG BESAR'!C:C,K:K,'GUDANG BESAR'!I:I)</f>
        <v>506080</v>
      </c>
      <c r="P81" s="153">
        <f>SUMIF('GUDANG BESAR'!C:C,K:K,'GUDANG BESAR'!K:K)</f>
        <v>561748.80000000005</v>
      </c>
      <c r="Q81" s="150">
        <v>2E-3</v>
      </c>
      <c r="R81" s="149">
        <v>0</v>
      </c>
      <c r="S81" s="149">
        <v>2</v>
      </c>
      <c r="T81" s="145">
        <f t="shared" si="3"/>
        <v>1012.16</v>
      </c>
      <c r="U81" s="145">
        <f t="shared" si="4"/>
        <v>1123.4976000000001</v>
      </c>
      <c r="V81" s="135" t="str">
        <f>VLOOKUP(K81,Sheet1!$B$5:$C$131,2,0)</f>
        <v>DYESTUFF</v>
      </c>
      <c r="W81" s="181">
        <f t="shared" si="5"/>
        <v>1.9999999999999999E-6</v>
      </c>
    </row>
    <row r="82" spans="1:23" s="139" customFormat="1">
      <c r="A82" s="146" t="s">
        <v>470</v>
      </c>
      <c r="B82" s="147" t="s">
        <v>471</v>
      </c>
      <c r="C82" s="146" t="s">
        <v>137</v>
      </c>
      <c r="D82" s="146" t="s">
        <v>138</v>
      </c>
      <c r="E82" s="146" t="s">
        <v>139</v>
      </c>
      <c r="F82" s="146" t="s">
        <v>140</v>
      </c>
      <c r="G82" s="148" t="s">
        <v>303</v>
      </c>
      <c r="H82" s="146">
        <v>0</v>
      </c>
      <c r="I82" s="146">
        <v>5</v>
      </c>
      <c r="J82" s="146" t="s">
        <v>144</v>
      </c>
      <c r="K82" s="146" t="s">
        <v>26</v>
      </c>
      <c r="L82" s="148" t="s">
        <v>3</v>
      </c>
      <c r="M82" s="146" t="s">
        <v>142</v>
      </c>
      <c r="N82" s="149">
        <v>1000</v>
      </c>
      <c r="O82" s="152">
        <f>SUMIF('GUDANG BESAR'!C:C,K:K,'GUDANG BESAR'!I:I)</f>
        <v>52016</v>
      </c>
      <c r="P82" s="153">
        <f>SUMIF('GUDANG BESAR'!C:C,K:K,'GUDANG BESAR'!K:K)</f>
        <v>57737.760000000002</v>
      </c>
      <c r="Q82" s="150">
        <v>11.664999999999999</v>
      </c>
      <c r="R82" s="149">
        <v>11</v>
      </c>
      <c r="S82" s="149">
        <v>665</v>
      </c>
      <c r="T82" s="145">
        <f t="shared" si="3"/>
        <v>606766.6399999999</v>
      </c>
      <c r="U82" s="145">
        <f t="shared" si="4"/>
        <v>673510.97039999999</v>
      </c>
      <c r="V82" s="135" t="str">
        <f>VLOOKUP(K82,Sheet1!$B$5:$C$131,2,0)</f>
        <v>DYESTUFF</v>
      </c>
      <c r="W82" s="181">
        <f t="shared" si="5"/>
        <v>1.1664999999999998E-2</v>
      </c>
    </row>
    <row r="83" spans="1:23" s="139" customFormat="1">
      <c r="A83" s="146" t="s">
        <v>470</v>
      </c>
      <c r="B83" s="147" t="s">
        <v>471</v>
      </c>
      <c r="C83" s="146" t="s">
        <v>137</v>
      </c>
      <c r="D83" s="146" t="s">
        <v>138</v>
      </c>
      <c r="E83" s="146" t="s">
        <v>139</v>
      </c>
      <c r="F83" s="146" t="s">
        <v>140</v>
      </c>
      <c r="G83" s="148" t="s">
        <v>303</v>
      </c>
      <c r="H83" s="146">
        <v>0</v>
      </c>
      <c r="I83" s="146">
        <v>6</v>
      </c>
      <c r="J83" s="146" t="s">
        <v>145</v>
      </c>
      <c r="K83" s="146" t="s">
        <v>27</v>
      </c>
      <c r="L83" s="148" t="s">
        <v>3</v>
      </c>
      <c r="M83" s="146" t="s">
        <v>142</v>
      </c>
      <c r="N83" s="149">
        <v>1000</v>
      </c>
      <c r="O83" s="152">
        <f>SUMIF('GUDANG BESAR'!C:C,K:K,'GUDANG BESAR'!I:I)</f>
        <v>71148</v>
      </c>
      <c r="P83" s="153">
        <f>SUMIF('GUDANG BESAR'!C:C,K:K,'GUDANG BESAR'!K:K)</f>
        <v>78974.28</v>
      </c>
      <c r="Q83" s="150">
        <v>0.90800000000000003</v>
      </c>
      <c r="R83" s="149">
        <v>0</v>
      </c>
      <c r="S83" s="149">
        <v>908</v>
      </c>
      <c r="T83" s="145">
        <f t="shared" si="3"/>
        <v>64602.384000000005</v>
      </c>
      <c r="U83" s="145">
        <f t="shared" si="4"/>
        <v>71708.646240000002</v>
      </c>
      <c r="V83" s="135" t="str">
        <f>VLOOKUP(K83,Sheet1!$B$5:$C$131,2,0)</f>
        <v>DYESTUFF</v>
      </c>
      <c r="W83" s="181">
        <f t="shared" si="5"/>
        <v>9.0800000000000006E-4</v>
      </c>
    </row>
    <row r="84" spans="1:23" s="139" customFormat="1">
      <c r="A84" s="146" t="s">
        <v>470</v>
      </c>
      <c r="B84" s="147" t="s">
        <v>471</v>
      </c>
      <c r="C84" s="146" t="s">
        <v>137</v>
      </c>
      <c r="D84" s="146" t="s">
        <v>138</v>
      </c>
      <c r="E84" s="146" t="s">
        <v>139</v>
      </c>
      <c r="F84" s="146" t="s">
        <v>140</v>
      </c>
      <c r="G84" s="148" t="s">
        <v>303</v>
      </c>
      <c r="H84" s="146">
        <v>0</v>
      </c>
      <c r="I84" s="146">
        <v>7</v>
      </c>
      <c r="J84" s="146" t="s">
        <v>376</v>
      </c>
      <c r="K84" s="146" t="s">
        <v>11</v>
      </c>
      <c r="L84" s="148" t="s">
        <v>3</v>
      </c>
      <c r="M84" s="146" t="s">
        <v>142</v>
      </c>
      <c r="N84" s="149">
        <v>1000</v>
      </c>
      <c r="O84" s="152">
        <f>SUMIF('GUDANG BESAR'!C:C,K:K,'GUDANG BESAR'!I:I)</f>
        <v>270075</v>
      </c>
      <c r="P84" s="153">
        <f>SUMIF('GUDANG BESAR'!C:C,K:K,'GUDANG BESAR'!K:K)</f>
        <v>299783.25</v>
      </c>
      <c r="Q84" s="150">
        <v>2E-3</v>
      </c>
      <c r="R84" s="149">
        <v>0</v>
      </c>
      <c r="S84" s="149">
        <v>2</v>
      </c>
      <c r="T84" s="145">
        <f t="shared" si="3"/>
        <v>540.15</v>
      </c>
      <c r="U84" s="145">
        <f t="shared" si="4"/>
        <v>599.56650000000002</v>
      </c>
      <c r="V84" s="135" t="str">
        <f>VLOOKUP(K84,Sheet1!$B$5:$C$131,2,0)</f>
        <v>DYESTUFF</v>
      </c>
      <c r="W84" s="181">
        <f t="shared" si="5"/>
        <v>1.9999999999999999E-6</v>
      </c>
    </row>
    <row r="85" spans="1:23" s="139" customFormat="1">
      <c r="A85" s="146" t="s">
        <v>470</v>
      </c>
      <c r="B85" s="147" t="s">
        <v>471</v>
      </c>
      <c r="C85" s="146" t="s">
        <v>137</v>
      </c>
      <c r="D85" s="146" t="s">
        <v>138</v>
      </c>
      <c r="E85" s="146" t="s">
        <v>139</v>
      </c>
      <c r="F85" s="146" t="s">
        <v>140</v>
      </c>
      <c r="G85" s="148" t="s">
        <v>303</v>
      </c>
      <c r="H85" s="146">
        <v>0</v>
      </c>
      <c r="I85" s="146">
        <v>8</v>
      </c>
      <c r="J85" s="146" t="s">
        <v>146</v>
      </c>
      <c r="K85" s="146" t="s">
        <v>46</v>
      </c>
      <c r="L85" s="148" t="s">
        <v>3</v>
      </c>
      <c r="M85" s="146" t="s">
        <v>142</v>
      </c>
      <c r="N85" s="149">
        <v>1000</v>
      </c>
      <c r="O85" s="152">
        <f>SUMIF('GUDANG BESAR'!C:C,K:K,'GUDANG BESAR'!I:I)</f>
        <v>100812</v>
      </c>
      <c r="P85" s="153">
        <f>SUMIF('GUDANG BESAR'!C:C,K:K,'GUDANG BESAR'!K:K)</f>
        <v>111901.32</v>
      </c>
      <c r="Q85" s="150">
        <v>1.091</v>
      </c>
      <c r="R85" s="149">
        <v>1</v>
      </c>
      <c r="S85" s="149">
        <v>91</v>
      </c>
      <c r="T85" s="145">
        <f t="shared" si="3"/>
        <v>109985.89199999999</v>
      </c>
      <c r="U85" s="145">
        <f t="shared" si="4"/>
        <v>122084.34012000001</v>
      </c>
      <c r="V85" s="135" t="str">
        <f>VLOOKUP(K85,Sheet1!$B$5:$C$131,2,0)</f>
        <v>DYESTUFF</v>
      </c>
      <c r="W85" s="181">
        <f t="shared" si="5"/>
        <v>1.091E-3</v>
      </c>
    </row>
    <row r="86" spans="1:23" s="139" customFormat="1">
      <c r="A86" s="146" t="s">
        <v>470</v>
      </c>
      <c r="B86" s="147" t="s">
        <v>471</v>
      </c>
      <c r="C86" s="146" t="s">
        <v>137</v>
      </c>
      <c r="D86" s="146" t="s">
        <v>138</v>
      </c>
      <c r="E86" s="146" t="s">
        <v>139</v>
      </c>
      <c r="F86" s="146" t="s">
        <v>140</v>
      </c>
      <c r="G86" s="148" t="s">
        <v>303</v>
      </c>
      <c r="H86" s="146">
        <v>0</v>
      </c>
      <c r="I86" s="146">
        <v>9</v>
      </c>
      <c r="J86" s="146" t="s">
        <v>147</v>
      </c>
      <c r="K86" s="146" t="s">
        <v>41</v>
      </c>
      <c r="L86" s="148" t="s">
        <v>3</v>
      </c>
      <c r="M86" s="146" t="s">
        <v>142</v>
      </c>
      <c r="N86" s="149">
        <v>1000</v>
      </c>
      <c r="O86" s="152">
        <f>SUMIF('GUDANG BESAR'!C:C,K:K,'GUDANG BESAR'!I:I)</f>
        <v>54071</v>
      </c>
      <c r="P86" s="153">
        <f>SUMIF('GUDANG BESAR'!C:C,K:K,'GUDANG BESAR'!K:K)</f>
        <v>60018.81</v>
      </c>
      <c r="Q86" s="150">
        <v>5.4569999999999999</v>
      </c>
      <c r="R86" s="149">
        <v>5</v>
      </c>
      <c r="S86" s="149">
        <v>457</v>
      </c>
      <c r="T86" s="145">
        <f t="shared" si="3"/>
        <v>295065.44699999999</v>
      </c>
      <c r="U86" s="145">
        <f t="shared" si="4"/>
        <v>327522.64616999996</v>
      </c>
      <c r="V86" s="135" t="str">
        <f>VLOOKUP(K86,Sheet1!$B$5:$C$131,2,0)</f>
        <v>DYESTUFF</v>
      </c>
      <c r="W86" s="181">
        <f t="shared" si="5"/>
        <v>5.457E-3</v>
      </c>
    </row>
    <row r="87" spans="1:23" s="139" customFormat="1">
      <c r="A87" s="146" t="s">
        <v>470</v>
      </c>
      <c r="B87" s="147" t="s">
        <v>471</v>
      </c>
      <c r="C87" s="146" t="s">
        <v>137</v>
      </c>
      <c r="D87" s="146" t="s">
        <v>138</v>
      </c>
      <c r="E87" s="146" t="s">
        <v>139</v>
      </c>
      <c r="F87" s="146" t="s">
        <v>140</v>
      </c>
      <c r="G87" s="148" t="s">
        <v>303</v>
      </c>
      <c r="H87" s="146">
        <v>0</v>
      </c>
      <c r="I87" s="146">
        <v>11</v>
      </c>
      <c r="J87" s="146" t="s">
        <v>148</v>
      </c>
      <c r="K87" s="146" t="s">
        <v>30</v>
      </c>
      <c r="L87" s="148" t="s">
        <v>3</v>
      </c>
      <c r="M87" s="146" t="s">
        <v>142</v>
      </c>
      <c r="N87" s="149">
        <v>1000</v>
      </c>
      <c r="O87" s="152">
        <f>SUMIF('GUDANG BESAR'!C:C,K:K,'GUDANG BESAR'!I:I)</f>
        <v>77089.399999999994</v>
      </c>
      <c r="P87" s="153">
        <f>SUMIF('GUDANG BESAR'!C:C,K:K,'GUDANG BESAR'!K:K)</f>
        <v>85569.233999999997</v>
      </c>
      <c r="Q87" s="150">
        <v>1.78</v>
      </c>
      <c r="R87" s="149">
        <v>1</v>
      </c>
      <c r="S87" s="149">
        <v>780</v>
      </c>
      <c r="T87" s="145">
        <f t="shared" si="3"/>
        <v>137219.13199999998</v>
      </c>
      <c r="U87" s="145">
        <f t="shared" si="4"/>
        <v>152313.23652000001</v>
      </c>
      <c r="V87" s="135" t="str">
        <f>VLOOKUP(K87,Sheet1!$B$5:$C$131,2,0)</f>
        <v>DYESTUFF</v>
      </c>
      <c r="W87" s="181">
        <f t="shared" si="5"/>
        <v>1.7800000000000001E-3</v>
      </c>
    </row>
    <row r="88" spans="1:23" s="139" customFormat="1">
      <c r="A88" s="146" t="s">
        <v>470</v>
      </c>
      <c r="B88" s="147" t="s">
        <v>471</v>
      </c>
      <c r="C88" s="146" t="s">
        <v>137</v>
      </c>
      <c r="D88" s="146" t="s">
        <v>138</v>
      </c>
      <c r="E88" s="146" t="s">
        <v>139</v>
      </c>
      <c r="F88" s="146" t="s">
        <v>162</v>
      </c>
      <c r="G88" s="148" t="s">
        <v>214</v>
      </c>
      <c r="H88" s="146">
        <v>0</v>
      </c>
      <c r="I88" s="146">
        <v>23</v>
      </c>
      <c r="J88" s="146" t="s">
        <v>163</v>
      </c>
      <c r="K88" s="146" t="s">
        <v>14</v>
      </c>
      <c r="L88" s="148" t="s">
        <v>3</v>
      </c>
      <c r="M88" s="146" t="s">
        <v>142</v>
      </c>
      <c r="N88" s="149">
        <v>1000</v>
      </c>
      <c r="O88" s="152">
        <f>SUMIF('GUDANG BESAR'!C:C,K:K,'GUDANG BESAR'!I:I)</f>
        <v>30500</v>
      </c>
      <c r="P88" s="153">
        <f>SUMIF('GUDANG BESAR'!C:C,K:K,'GUDANG BESAR'!K:K)</f>
        <v>33855</v>
      </c>
      <c r="Q88" s="150">
        <v>20</v>
      </c>
      <c r="R88" s="149">
        <v>20</v>
      </c>
      <c r="S88" s="149">
        <v>0</v>
      </c>
      <c r="T88" s="145">
        <f t="shared" si="3"/>
        <v>610000</v>
      </c>
      <c r="U88" s="145">
        <f t="shared" si="4"/>
        <v>677100</v>
      </c>
      <c r="V88" s="135" t="str">
        <f>VLOOKUP(K88,Sheet1!$B$5:$C$131,2,0)</f>
        <v>LIMBAH</v>
      </c>
      <c r="W88" s="181">
        <f t="shared" si="5"/>
        <v>0.02</v>
      </c>
    </row>
    <row r="89" spans="1:23" s="139" customFormat="1">
      <c r="A89" s="146" t="s">
        <v>470</v>
      </c>
      <c r="B89" s="147" t="s">
        <v>471</v>
      </c>
      <c r="C89" s="146" t="s">
        <v>137</v>
      </c>
      <c r="D89" s="146" t="s">
        <v>138</v>
      </c>
      <c r="E89" s="146" t="s">
        <v>139</v>
      </c>
      <c r="F89" s="146" t="s">
        <v>153</v>
      </c>
      <c r="G89" s="148" t="s">
        <v>301</v>
      </c>
      <c r="H89" s="146">
        <v>0</v>
      </c>
      <c r="I89" s="146">
        <v>16</v>
      </c>
      <c r="J89" s="146" t="s">
        <v>472</v>
      </c>
      <c r="K89" s="146" t="s">
        <v>370</v>
      </c>
      <c r="L89" s="148" t="s">
        <v>3</v>
      </c>
      <c r="M89" s="146" t="s">
        <v>142</v>
      </c>
      <c r="N89" s="149">
        <v>1000</v>
      </c>
      <c r="O89" s="152">
        <f>SUMIF('GUDANG BESAR'!C:C,K:K,'GUDANG BESAR'!I:I)</f>
        <v>14691</v>
      </c>
      <c r="P89" s="153">
        <f>SUMIF('GUDANG BESAR'!C:C,K:K,'GUDANG BESAR'!K:K)</f>
        <v>16307.01</v>
      </c>
      <c r="Q89" s="150">
        <v>20</v>
      </c>
      <c r="R89" s="149">
        <v>20</v>
      </c>
      <c r="S89" s="149">
        <v>0</v>
      </c>
      <c r="T89" s="145">
        <f t="shared" si="3"/>
        <v>293820</v>
      </c>
      <c r="U89" s="145">
        <f t="shared" si="4"/>
        <v>326140.2</v>
      </c>
      <c r="V89" s="135" t="str">
        <f>VLOOKUP(K89,Sheet1!$B$5:$C$131,2,0)</f>
        <v>DYEING</v>
      </c>
      <c r="W89" s="181">
        <f t="shared" si="5"/>
        <v>0.02</v>
      </c>
    </row>
    <row r="90" spans="1:23" s="139" customFormat="1">
      <c r="A90" s="146" t="s">
        <v>470</v>
      </c>
      <c r="B90" s="147" t="s">
        <v>471</v>
      </c>
      <c r="C90" s="146" t="s">
        <v>137</v>
      </c>
      <c r="D90" s="146" t="s">
        <v>138</v>
      </c>
      <c r="E90" s="146" t="s">
        <v>139</v>
      </c>
      <c r="F90" s="146" t="s">
        <v>140</v>
      </c>
      <c r="G90" s="148" t="s">
        <v>300</v>
      </c>
      <c r="H90" s="146">
        <v>0</v>
      </c>
      <c r="I90" s="146">
        <v>12</v>
      </c>
      <c r="J90" s="146" t="s">
        <v>314</v>
      </c>
      <c r="K90" s="146" t="s">
        <v>281</v>
      </c>
      <c r="L90" s="148" t="s">
        <v>3</v>
      </c>
      <c r="M90" s="146" t="s">
        <v>142</v>
      </c>
      <c r="N90" s="149">
        <v>1000</v>
      </c>
      <c r="O90" s="152">
        <f>SUMIF('GUDANG BESAR'!C:C,K:K,'GUDANG BESAR'!I:I)</f>
        <v>23590.51</v>
      </c>
      <c r="P90" s="153">
        <f>SUMIF('GUDANG BESAR'!C:C,K:K,'GUDANG BESAR'!K:K)</f>
        <v>26185.466099999998</v>
      </c>
      <c r="Q90" s="150">
        <v>420</v>
      </c>
      <c r="R90" s="149">
        <v>420</v>
      </c>
      <c r="S90" s="149">
        <v>0</v>
      </c>
      <c r="T90" s="145">
        <f t="shared" si="3"/>
        <v>9908014.1999999993</v>
      </c>
      <c r="U90" s="145">
        <f t="shared" si="4"/>
        <v>10997895.761999998</v>
      </c>
      <c r="V90" s="135" t="str">
        <f>VLOOKUP(K90,Sheet1!$B$5:$C$131,2,0)</f>
        <v>CK</v>
      </c>
      <c r="W90" s="181">
        <f t="shared" si="5"/>
        <v>0.42</v>
      </c>
    </row>
    <row r="91" spans="1:23" s="139" customFormat="1">
      <c r="A91" s="146" t="s">
        <v>470</v>
      </c>
      <c r="B91" s="147" t="s">
        <v>471</v>
      </c>
      <c r="C91" s="146" t="s">
        <v>137</v>
      </c>
      <c r="D91" s="146" t="s">
        <v>138</v>
      </c>
      <c r="E91" s="146" t="s">
        <v>139</v>
      </c>
      <c r="F91" s="146" t="s">
        <v>162</v>
      </c>
      <c r="G91" s="148" t="s">
        <v>214</v>
      </c>
      <c r="H91" s="146">
        <v>0</v>
      </c>
      <c r="I91" s="146">
        <v>20</v>
      </c>
      <c r="J91" s="146" t="s">
        <v>377</v>
      </c>
      <c r="K91" s="146" t="s">
        <v>372</v>
      </c>
      <c r="L91" s="148" t="s">
        <v>3</v>
      </c>
      <c r="M91" s="146" t="s">
        <v>142</v>
      </c>
      <c r="N91" s="149">
        <v>1000</v>
      </c>
      <c r="O91" s="152">
        <f>SUMIF('GUDANG BESAR'!C:C,K:K,'GUDANG BESAR'!I:I)</f>
        <v>5500</v>
      </c>
      <c r="P91" s="153">
        <f>SUMIF('GUDANG BESAR'!C:C,K:K,'GUDANG BESAR'!K:K)</f>
        <v>6105</v>
      </c>
      <c r="Q91" s="150">
        <v>525</v>
      </c>
      <c r="R91" s="149">
        <v>525</v>
      </c>
      <c r="S91" s="149">
        <v>0</v>
      </c>
      <c r="T91" s="145">
        <f t="shared" si="3"/>
        <v>2887500</v>
      </c>
      <c r="U91" s="145">
        <f t="shared" si="4"/>
        <v>3205125</v>
      </c>
      <c r="V91" s="135" t="str">
        <f>VLOOKUP(K91,Sheet1!$B$5:$C$131,2,0)</f>
        <v>LIMBAH</v>
      </c>
      <c r="W91" s="181">
        <f t="shared" si="5"/>
        <v>0.52500000000000002</v>
      </c>
    </row>
    <row r="92" spans="1:23" s="139" customFormat="1">
      <c r="A92" s="146" t="s">
        <v>470</v>
      </c>
      <c r="B92" s="147" t="s">
        <v>471</v>
      </c>
      <c r="C92" s="146" t="s">
        <v>137</v>
      </c>
      <c r="D92" s="146" t="s">
        <v>138</v>
      </c>
      <c r="E92" s="146" t="s">
        <v>139</v>
      </c>
      <c r="F92" s="146" t="s">
        <v>153</v>
      </c>
      <c r="G92" s="148" t="s">
        <v>301</v>
      </c>
      <c r="H92" s="146">
        <v>0</v>
      </c>
      <c r="I92" s="146">
        <v>15</v>
      </c>
      <c r="J92" s="146" t="s">
        <v>251</v>
      </c>
      <c r="K92" s="146" t="s">
        <v>249</v>
      </c>
      <c r="L92" s="148" t="s">
        <v>3</v>
      </c>
      <c r="M92" s="146" t="s">
        <v>142</v>
      </c>
      <c r="N92" s="149">
        <v>1000</v>
      </c>
      <c r="O92" s="152">
        <f>SUMIF('GUDANG BESAR'!C:C,K:K,'GUDANG BESAR'!I:I)</f>
        <v>9119.6</v>
      </c>
      <c r="P92" s="153">
        <f>SUMIF('GUDANG BESAR'!C:C,K:K,'GUDANG BESAR'!K:K)</f>
        <v>10122.756000000001</v>
      </c>
      <c r="Q92" s="150">
        <v>25</v>
      </c>
      <c r="R92" s="149">
        <v>25</v>
      </c>
      <c r="S92" s="149">
        <v>0</v>
      </c>
      <c r="T92" s="145">
        <f t="shared" si="3"/>
        <v>227990</v>
      </c>
      <c r="U92" s="145">
        <f t="shared" si="4"/>
        <v>253068.90000000002</v>
      </c>
      <c r="V92" s="135" t="str">
        <f>VLOOKUP(K92,Sheet1!$B$5:$C$131,2,0)</f>
        <v>DYEING</v>
      </c>
      <c r="W92" s="181">
        <f t="shared" si="5"/>
        <v>2.5000000000000001E-2</v>
      </c>
    </row>
    <row r="93" spans="1:23" s="139" customFormat="1">
      <c r="A93" s="146" t="s">
        <v>470</v>
      </c>
      <c r="B93" s="147" t="s">
        <v>471</v>
      </c>
      <c r="C93" s="146" t="s">
        <v>137</v>
      </c>
      <c r="D93" s="146" t="s">
        <v>138</v>
      </c>
      <c r="E93" s="146" t="s">
        <v>139</v>
      </c>
      <c r="F93" s="146" t="s">
        <v>153</v>
      </c>
      <c r="G93" s="148" t="s">
        <v>301</v>
      </c>
      <c r="H93" s="146">
        <v>0</v>
      </c>
      <c r="I93" s="146">
        <v>17</v>
      </c>
      <c r="J93" s="146" t="s">
        <v>168</v>
      </c>
      <c r="K93" s="146" t="s">
        <v>34</v>
      </c>
      <c r="L93" s="148" t="s">
        <v>3</v>
      </c>
      <c r="M93" s="146" t="s">
        <v>142</v>
      </c>
      <c r="N93" s="149">
        <v>1000</v>
      </c>
      <c r="O93" s="152">
        <f>SUMIF('GUDANG BESAR'!C:C,K:K,'GUDANG BESAR'!I:I)</f>
        <v>68397</v>
      </c>
      <c r="P93" s="153">
        <f>SUMIF('GUDANG BESAR'!C:C,K:K,'GUDANG BESAR'!K:K)</f>
        <v>75920.67</v>
      </c>
      <c r="Q93" s="150">
        <v>2.4</v>
      </c>
      <c r="R93" s="149">
        <v>2</v>
      </c>
      <c r="S93" s="149">
        <v>400</v>
      </c>
      <c r="T93" s="145">
        <f t="shared" si="3"/>
        <v>164152.79999999999</v>
      </c>
      <c r="U93" s="145">
        <f t="shared" si="4"/>
        <v>182209.60799999998</v>
      </c>
      <c r="V93" s="135" t="str">
        <f>VLOOKUP(K93,Sheet1!$B$5:$C$131,2,0)</f>
        <v>DYEING</v>
      </c>
      <c r="W93" s="181">
        <f t="shared" si="5"/>
        <v>2.3999999999999998E-3</v>
      </c>
    </row>
    <row r="94" spans="1:23" s="139" customFormat="1">
      <c r="A94" s="146" t="s">
        <v>470</v>
      </c>
      <c r="B94" s="147" t="s">
        <v>471</v>
      </c>
      <c r="C94" s="146" t="s">
        <v>137</v>
      </c>
      <c r="D94" s="146" t="s">
        <v>138</v>
      </c>
      <c r="E94" s="146" t="s">
        <v>139</v>
      </c>
      <c r="F94" s="146" t="s">
        <v>162</v>
      </c>
      <c r="G94" s="148" t="s">
        <v>214</v>
      </c>
      <c r="H94" s="146">
        <v>0</v>
      </c>
      <c r="I94" s="146">
        <v>25</v>
      </c>
      <c r="J94" s="146" t="s">
        <v>165</v>
      </c>
      <c r="K94" s="146" t="s">
        <v>80</v>
      </c>
      <c r="L94" s="148" t="s">
        <v>3</v>
      </c>
      <c r="M94" s="146" t="s">
        <v>142</v>
      </c>
      <c r="N94" s="149">
        <v>1000</v>
      </c>
      <c r="O94" s="152">
        <f>SUMIF('GUDANG BESAR'!C:C,K:K,'GUDANG BESAR'!I:I)</f>
        <v>1550000</v>
      </c>
      <c r="P94" s="153">
        <f>SUMIF('GUDANG BESAR'!C:C,K:K,'GUDANG BESAR'!K:K)</f>
        <v>1720500</v>
      </c>
      <c r="Q94" s="150">
        <v>0.05</v>
      </c>
      <c r="R94" s="149">
        <v>0</v>
      </c>
      <c r="S94" s="149">
        <v>50</v>
      </c>
      <c r="T94" s="145">
        <f t="shared" si="3"/>
        <v>77500</v>
      </c>
      <c r="U94" s="145">
        <f t="shared" si="4"/>
        <v>86025</v>
      </c>
      <c r="V94" s="135" t="str">
        <f>VLOOKUP(K94,Sheet1!$B$5:$C$131,2,0)</f>
        <v>LIMBAH</v>
      </c>
      <c r="W94" s="181">
        <f t="shared" si="5"/>
        <v>5.0000000000000002E-5</v>
      </c>
    </row>
    <row r="95" spans="1:23" s="139" customFormat="1">
      <c r="A95" s="146" t="s">
        <v>470</v>
      </c>
      <c r="B95" s="147" t="s">
        <v>471</v>
      </c>
      <c r="C95" s="146" t="s">
        <v>137</v>
      </c>
      <c r="D95" s="146" t="s">
        <v>138</v>
      </c>
      <c r="E95" s="146" t="s">
        <v>139</v>
      </c>
      <c r="F95" s="146" t="s">
        <v>162</v>
      </c>
      <c r="G95" s="148" t="s">
        <v>214</v>
      </c>
      <c r="H95" s="146">
        <v>0</v>
      </c>
      <c r="I95" s="146">
        <v>24</v>
      </c>
      <c r="J95" s="146" t="s">
        <v>164</v>
      </c>
      <c r="K95" s="146" t="s">
        <v>74</v>
      </c>
      <c r="L95" s="148" t="s">
        <v>5</v>
      </c>
      <c r="M95" s="146" t="s">
        <v>142</v>
      </c>
      <c r="N95" s="149">
        <v>1000</v>
      </c>
      <c r="O95" s="152">
        <f>SUMIF('GUDANG BESAR'!C:C,K:K,'GUDANG BESAR'!I:I)</f>
        <v>13180</v>
      </c>
      <c r="P95" s="153">
        <f>SUMIF('GUDANG BESAR'!C:C,K:K,'GUDANG BESAR'!K:K)</f>
        <v>14629.8</v>
      </c>
      <c r="Q95" s="150">
        <v>15</v>
      </c>
      <c r="R95" s="149">
        <v>15</v>
      </c>
      <c r="S95" s="149">
        <v>0</v>
      </c>
      <c r="T95" s="145">
        <f t="shared" si="3"/>
        <v>197700</v>
      </c>
      <c r="U95" s="145">
        <f t="shared" si="4"/>
        <v>219447</v>
      </c>
      <c r="V95" s="135" t="str">
        <f>VLOOKUP(K95,Sheet1!$B$5:$C$131,2,0)</f>
        <v>LIMBAH</v>
      </c>
      <c r="W95" s="181">
        <f t="shared" si="5"/>
        <v>1.4999999999999999E-2</v>
      </c>
    </row>
    <row r="96" spans="1:23" s="139" customFormat="1">
      <c r="A96" s="146" t="s">
        <v>470</v>
      </c>
      <c r="B96" s="147" t="s">
        <v>471</v>
      </c>
      <c r="C96" s="146" t="s">
        <v>137</v>
      </c>
      <c r="D96" s="146" t="s">
        <v>138</v>
      </c>
      <c r="E96" s="146" t="s">
        <v>139</v>
      </c>
      <c r="F96" s="146" t="s">
        <v>162</v>
      </c>
      <c r="G96" s="148" t="s">
        <v>214</v>
      </c>
      <c r="H96" s="146">
        <v>0</v>
      </c>
      <c r="I96" s="146">
        <v>21</v>
      </c>
      <c r="J96" s="146" t="s">
        <v>262</v>
      </c>
      <c r="K96" s="146" t="s">
        <v>258</v>
      </c>
      <c r="L96" s="148" t="s">
        <v>3</v>
      </c>
      <c r="M96" s="146" t="s">
        <v>142</v>
      </c>
      <c r="N96" s="149">
        <v>1000</v>
      </c>
      <c r="O96" s="152">
        <f>SUMIF('GUDANG BESAR'!C:C,K:K,'GUDANG BESAR'!I:I)</f>
        <v>33000</v>
      </c>
      <c r="P96" s="153">
        <f>SUMIF('GUDANG BESAR'!C:C,K:K,'GUDANG BESAR'!K:K)</f>
        <v>36630</v>
      </c>
      <c r="Q96" s="150">
        <v>11</v>
      </c>
      <c r="R96" s="149">
        <v>11</v>
      </c>
      <c r="S96" s="149">
        <v>0</v>
      </c>
      <c r="T96" s="145">
        <f t="shared" si="3"/>
        <v>363000</v>
      </c>
      <c r="U96" s="145">
        <f t="shared" si="4"/>
        <v>402930</v>
      </c>
      <c r="V96" s="135" t="str">
        <f>VLOOKUP(K96,Sheet1!$B$5:$C$131,2,0)</f>
        <v>LIMBAH</v>
      </c>
      <c r="W96" s="181">
        <f t="shared" si="5"/>
        <v>1.0999999999999999E-2</v>
      </c>
    </row>
    <row r="97" spans="1:23" s="139" customFormat="1">
      <c r="A97" s="146" t="s">
        <v>470</v>
      </c>
      <c r="B97" s="147" t="s">
        <v>471</v>
      </c>
      <c r="C97" s="146" t="s">
        <v>137</v>
      </c>
      <c r="D97" s="146" t="s">
        <v>138</v>
      </c>
      <c r="E97" s="146" t="s">
        <v>139</v>
      </c>
      <c r="F97" s="146" t="s">
        <v>162</v>
      </c>
      <c r="G97" s="148" t="s">
        <v>214</v>
      </c>
      <c r="H97" s="146">
        <v>0</v>
      </c>
      <c r="I97" s="146">
        <v>22</v>
      </c>
      <c r="J97" s="146" t="s">
        <v>263</v>
      </c>
      <c r="K97" s="146" t="s">
        <v>259</v>
      </c>
      <c r="L97" s="148" t="s">
        <v>3</v>
      </c>
      <c r="M97" s="146" t="s">
        <v>142</v>
      </c>
      <c r="N97" s="149">
        <v>1000</v>
      </c>
      <c r="O97" s="152">
        <f>SUMIF('GUDANG BESAR'!C:C,K:K,'GUDANG BESAR'!I:I)</f>
        <v>47500</v>
      </c>
      <c r="P97" s="153">
        <f>SUMIF('GUDANG BESAR'!C:C,K:K,'GUDANG BESAR'!K:K)</f>
        <v>52725</v>
      </c>
      <c r="Q97" s="150">
        <v>14</v>
      </c>
      <c r="R97" s="149">
        <v>14</v>
      </c>
      <c r="S97" s="149">
        <v>0</v>
      </c>
      <c r="T97" s="145">
        <f t="shared" si="3"/>
        <v>665000</v>
      </c>
      <c r="U97" s="145">
        <f t="shared" si="4"/>
        <v>738150</v>
      </c>
      <c r="V97" s="135" t="str">
        <f>VLOOKUP(K97,Sheet1!$B$5:$C$131,2,0)</f>
        <v>LIMBAH</v>
      </c>
      <c r="W97" s="181">
        <f t="shared" si="5"/>
        <v>1.4E-2</v>
      </c>
    </row>
    <row r="98" spans="1:23" s="139" customFormat="1">
      <c r="A98" s="146" t="s">
        <v>473</v>
      </c>
      <c r="B98" s="147" t="s">
        <v>474</v>
      </c>
      <c r="C98" s="146" t="s">
        <v>137</v>
      </c>
      <c r="D98" s="146" t="s">
        <v>138</v>
      </c>
      <c r="E98" s="146" t="s">
        <v>139</v>
      </c>
      <c r="F98" s="146" t="s">
        <v>153</v>
      </c>
      <c r="G98" s="148" t="s">
        <v>298</v>
      </c>
      <c r="H98" s="146">
        <v>0</v>
      </c>
      <c r="I98" s="146">
        <v>17</v>
      </c>
      <c r="J98" s="146" t="s">
        <v>315</v>
      </c>
      <c r="K98" s="146" t="s">
        <v>47</v>
      </c>
      <c r="L98" s="148" t="s">
        <v>3</v>
      </c>
      <c r="M98" s="146" t="s">
        <v>142</v>
      </c>
      <c r="N98" s="149">
        <v>1000</v>
      </c>
      <c r="O98" s="152">
        <f>SUMIF('GUDANG BESAR'!C:C,K:K,'GUDANG BESAR'!I:I)</f>
        <v>13000</v>
      </c>
      <c r="P98" s="153">
        <f>SUMIF('GUDANG BESAR'!C:C,K:K,'GUDANG BESAR'!K:K)</f>
        <v>14430</v>
      </c>
      <c r="Q98" s="150">
        <v>6</v>
      </c>
      <c r="R98" s="149">
        <v>6</v>
      </c>
      <c r="S98" s="149">
        <v>0</v>
      </c>
      <c r="T98" s="145">
        <f t="shared" si="3"/>
        <v>78000</v>
      </c>
      <c r="U98" s="145">
        <f t="shared" si="4"/>
        <v>86580</v>
      </c>
      <c r="V98" s="135" t="str">
        <f>VLOOKUP(K98,Sheet1!$B$5:$C$131,2,0)</f>
        <v>FINISHING</v>
      </c>
      <c r="W98" s="181">
        <f t="shared" si="5"/>
        <v>6.0000000000000001E-3</v>
      </c>
    </row>
    <row r="99" spans="1:23" s="139" customFormat="1">
      <c r="A99" s="146" t="s">
        <v>473</v>
      </c>
      <c r="B99" s="147" t="s">
        <v>474</v>
      </c>
      <c r="C99" s="146" t="s">
        <v>137</v>
      </c>
      <c r="D99" s="146" t="s">
        <v>138</v>
      </c>
      <c r="E99" s="146" t="s">
        <v>139</v>
      </c>
      <c r="F99" s="146" t="s">
        <v>153</v>
      </c>
      <c r="G99" s="148" t="s">
        <v>299</v>
      </c>
      <c r="H99" s="146">
        <v>0</v>
      </c>
      <c r="I99" s="146">
        <v>30</v>
      </c>
      <c r="J99" s="146" t="s">
        <v>154</v>
      </c>
      <c r="K99" s="146" t="s">
        <v>23</v>
      </c>
      <c r="L99" s="148" t="s">
        <v>3</v>
      </c>
      <c r="M99" s="146" t="s">
        <v>142</v>
      </c>
      <c r="N99" s="149">
        <v>1000</v>
      </c>
      <c r="O99" s="152">
        <f>SUMIF('GUDANG BESAR'!C:C,K:K,'GUDANG BESAR'!I:I)</f>
        <v>28844</v>
      </c>
      <c r="P99" s="153">
        <f>SUMIF('GUDANG BESAR'!C:C,K:K,'GUDANG BESAR'!K:K)</f>
        <v>32016.84</v>
      </c>
      <c r="Q99" s="150">
        <v>100</v>
      </c>
      <c r="R99" s="149">
        <v>100</v>
      </c>
      <c r="S99" s="149">
        <v>0</v>
      </c>
      <c r="T99" s="145">
        <f t="shared" si="3"/>
        <v>2884400</v>
      </c>
      <c r="U99" s="145">
        <f t="shared" si="4"/>
        <v>3201684</v>
      </c>
      <c r="V99" s="135" t="str">
        <f>VLOOKUP(K99,Sheet1!$B$5:$C$131,2,0)</f>
        <v>RC</v>
      </c>
      <c r="W99" s="181">
        <f t="shared" si="5"/>
        <v>0.1</v>
      </c>
    </row>
    <row r="100" spans="1:23" s="139" customFormat="1">
      <c r="A100" s="146" t="s">
        <v>473</v>
      </c>
      <c r="B100" s="147" t="s">
        <v>474</v>
      </c>
      <c r="C100" s="146" t="s">
        <v>137</v>
      </c>
      <c r="D100" s="146" t="s">
        <v>138</v>
      </c>
      <c r="E100" s="146" t="s">
        <v>139</v>
      </c>
      <c r="F100" s="146" t="s">
        <v>153</v>
      </c>
      <c r="G100" s="148" t="s">
        <v>301</v>
      </c>
      <c r="H100" s="146">
        <v>0</v>
      </c>
      <c r="I100" s="146">
        <v>21</v>
      </c>
      <c r="J100" s="146" t="s">
        <v>246</v>
      </c>
      <c r="K100" s="146" t="s">
        <v>7</v>
      </c>
      <c r="L100" s="148" t="s">
        <v>3</v>
      </c>
      <c r="M100" s="146" t="s">
        <v>142</v>
      </c>
      <c r="N100" s="149">
        <v>1000</v>
      </c>
      <c r="O100" s="152">
        <f>SUMIF('GUDANG BESAR'!C:C,K:K,'GUDANG BESAR'!I:I)</f>
        <v>29502</v>
      </c>
      <c r="P100" s="153">
        <f>SUMIF('GUDANG BESAR'!C:C,K:K,'GUDANG BESAR'!K:K)</f>
        <v>32747.22</v>
      </c>
      <c r="Q100" s="150">
        <v>12</v>
      </c>
      <c r="R100" s="149">
        <v>12</v>
      </c>
      <c r="S100" s="149">
        <v>0</v>
      </c>
      <c r="T100" s="145">
        <f t="shared" si="3"/>
        <v>354024</v>
      </c>
      <c r="U100" s="145">
        <f t="shared" si="4"/>
        <v>392966.64</v>
      </c>
      <c r="V100" s="135" t="str">
        <f>VLOOKUP(K100,Sheet1!$B$5:$C$131,2,0)</f>
        <v>DYEING</v>
      </c>
      <c r="W100" s="181">
        <f t="shared" si="5"/>
        <v>1.2E-2</v>
      </c>
    </row>
    <row r="101" spans="1:23" s="139" customFormat="1">
      <c r="A101" s="146" t="s">
        <v>473</v>
      </c>
      <c r="B101" s="147" t="s">
        <v>474</v>
      </c>
      <c r="C101" s="146" t="s">
        <v>137</v>
      </c>
      <c r="D101" s="146" t="s">
        <v>138</v>
      </c>
      <c r="E101" s="146" t="s">
        <v>139</v>
      </c>
      <c r="F101" s="146" t="s">
        <v>162</v>
      </c>
      <c r="G101" s="148" t="s">
        <v>214</v>
      </c>
      <c r="H101" s="146">
        <v>0</v>
      </c>
      <c r="I101" s="146">
        <v>26</v>
      </c>
      <c r="J101" s="146" t="s">
        <v>240</v>
      </c>
      <c r="K101" s="146" t="s">
        <v>237</v>
      </c>
      <c r="L101" s="148" t="s">
        <v>3</v>
      </c>
      <c r="M101" s="146" t="s">
        <v>142</v>
      </c>
      <c r="N101" s="149">
        <v>1000</v>
      </c>
      <c r="O101" s="152">
        <f>SUMIF('GUDANG BESAR'!C:C,K:K,'GUDANG BESAR'!I:I)</f>
        <v>14750</v>
      </c>
      <c r="P101" s="153">
        <f>SUMIF('GUDANG BESAR'!C:C,K:K,'GUDANG BESAR'!K:K)</f>
        <v>16372.5</v>
      </c>
      <c r="Q101" s="150">
        <v>45</v>
      </c>
      <c r="R101" s="149">
        <v>45</v>
      </c>
      <c r="S101" s="149">
        <v>0</v>
      </c>
      <c r="T101" s="145">
        <f t="shared" si="3"/>
        <v>663750</v>
      </c>
      <c r="U101" s="145">
        <f t="shared" si="4"/>
        <v>736762.5</v>
      </c>
      <c r="V101" s="135" t="str">
        <f>VLOOKUP(K101,Sheet1!$B$5:$C$131,2,0)</f>
        <v>LIMBAH</v>
      </c>
      <c r="W101" s="181">
        <f t="shared" si="5"/>
        <v>4.4999999999999998E-2</v>
      </c>
    </row>
    <row r="102" spans="1:23" s="139" customFormat="1">
      <c r="A102" s="146" t="s">
        <v>473</v>
      </c>
      <c r="B102" s="147" t="s">
        <v>474</v>
      </c>
      <c r="C102" s="146" t="s">
        <v>137</v>
      </c>
      <c r="D102" s="146" t="s">
        <v>138</v>
      </c>
      <c r="E102" s="146" t="s">
        <v>139</v>
      </c>
      <c r="F102" s="146" t="s">
        <v>153</v>
      </c>
      <c r="G102" s="148" t="s">
        <v>299</v>
      </c>
      <c r="H102" s="146">
        <v>0</v>
      </c>
      <c r="I102" s="146">
        <v>12</v>
      </c>
      <c r="J102" s="146" t="s">
        <v>155</v>
      </c>
      <c r="K102" s="146" t="s">
        <v>33</v>
      </c>
      <c r="L102" s="148" t="s">
        <v>3</v>
      </c>
      <c r="M102" s="146" t="s">
        <v>142</v>
      </c>
      <c r="N102" s="149">
        <v>1000</v>
      </c>
      <c r="O102" s="152">
        <f>SUMIF('GUDANG BESAR'!C:C,K:K,'GUDANG BESAR'!I:I)</f>
        <v>11087.5</v>
      </c>
      <c r="P102" s="153">
        <f>SUMIF('GUDANG BESAR'!C:C,K:K,'GUDANG BESAR'!K:K)</f>
        <v>12307.125</v>
      </c>
      <c r="Q102" s="150">
        <v>75</v>
      </c>
      <c r="R102" s="149">
        <v>75</v>
      </c>
      <c r="S102" s="149">
        <v>0</v>
      </c>
      <c r="T102" s="145">
        <f t="shared" si="3"/>
        <v>831562.5</v>
      </c>
      <c r="U102" s="145">
        <f t="shared" si="4"/>
        <v>923034.375</v>
      </c>
      <c r="V102" s="135" t="str">
        <f>VLOOKUP(K102,Sheet1!$B$5:$C$131,2,0)</f>
        <v>RC</v>
      </c>
      <c r="W102" s="181">
        <f t="shared" si="5"/>
        <v>7.4999999999999997E-2</v>
      </c>
    </row>
    <row r="103" spans="1:23" s="139" customFormat="1">
      <c r="A103" s="146" t="s">
        <v>473</v>
      </c>
      <c r="B103" s="147" t="s">
        <v>474</v>
      </c>
      <c r="C103" s="146" t="s">
        <v>137</v>
      </c>
      <c r="D103" s="146" t="s">
        <v>138</v>
      </c>
      <c r="E103" s="146" t="s">
        <v>139</v>
      </c>
      <c r="F103" s="146" t="s">
        <v>140</v>
      </c>
      <c r="G103" s="148" t="s">
        <v>303</v>
      </c>
      <c r="H103" s="146">
        <v>0</v>
      </c>
      <c r="I103" s="146">
        <v>1</v>
      </c>
      <c r="J103" s="146" t="s">
        <v>141</v>
      </c>
      <c r="K103" s="146" t="s">
        <v>37</v>
      </c>
      <c r="L103" s="148" t="s">
        <v>3</v>
      </c>
      <c r="M103" s="146" t="s">
        <v>142</v>
      </c>
      <c r="N103" s="149">
        <v>1000</v>
      </c>
      <c r="O103" s="152">
        <f>SUMIF('GUDANG BESAR'!C:C,K:K,'GUDANG BESAR'!I:I)</f>
        <v>51276</v>
      </c>
      <c r="P103" s="153">
        <f>SUMIF('GUDANG BESAR'!C:C,K:K,'GUDANG BESAR'!K:K)</f>
        <v>56916.36</v>
      </c>
      <c r="Q103" s="150">
        <v>12.166</v>
      </c>
      <c r="R103" s="149">
        <v>12</v>
      </c>
      <c r="S103" s="149">
        <v>166</v>
      </c>
      <c r="T103" s="145">
        <f t="shared" si="3"/>
        <v>623823.81599999999</v>
      </c>
      <c r="U103" s="145">
        <f t="shared" si="4"/>
        <v>692444.43576000002</v>
      </c>
      <c r="V103" s="135" t="str">
        <f>VLOOKUP(K103,Sheet1!$B$5:$C$131,2,0)</f>
        <v>DYESTUFF</v>
      </c>
      <c r="W103" s="181">
        <f t="shared" si="5"/>
        <v>1.2166E-2</v>
      </c>
    </row>
    <row r="104" spans="1:23" s="139" customFormat="1">
      <c r="A104" s="146" t="s">
        <v>473</v>
      </c>
      <c r="B104" s="147" t="s">
        <v>474</v>
      </c>
      <c r="C104" s="146" t="s">
        <v>137</v>
      </c>
      <c r="D104" s="146" t="s">
        <v>138</v>
      </c>
      <c r="E104" s="146" t="s">
        <v>139</v>
      </c>
      <c r="F104" s="146" t="s">
        <v>153</v>
      </c>
      <c r="G104" s="148" t="s">
        <v>301</v>
      </c>
      <c r="H104" s="146">
        <v>0</v>
      </c>
      <c r="I104" s="146">
        <v>18</v>
      </c>
      <c r="J104" s="146" t="s">
        <v>172</v>
      </c>
      <c r="K104" s="146" t="s">
        <v>8</v>
      </c>
      <c r="L104" s="148" t="s">
        <v>3</v>
      </c>
      <c r="M104" s="146" t="s">
        <v>142</v>
      </c>
      <c r="N104" s="149">
        <v>1000</v>
      </c>
      <c r="O104" s="152">
        <f>SUMIF('GUDANG BESAR'!C:C,K:K,'GUDANG BESAR'!I:I)</f>
        <v>441045</v>
      </c>
      <c r="P104" s="153">
        <f>SUMIF('GUDANG BESAR'!C:C,K:K,'GUDANG BESAR'!K:K)</f>
        <v>489559.95</v>
      </c>
      <c r="Q104" s="150">
        <v>1.9139999999999999</v>
      </c>
      <c r="R104" s="149">
        <v>1</v>
      </c>
      <c r="S104" s="149">
        <v>914</v>
      </c>
      <c r="T104" s="145">
        <f t="shared" si="3"/>
        <v>844160.13</v>
      </c>
      <c r="U104" s="145">
        <f t="shared" si="4"/>
        <v>937017.74430000002</v>
      </c>
      <c r="V104" s="135" t="str">
        <f>VLOOKUP(K104,Sheet1!$B$5:$C$131,2,0)</f>
        <v>DYEING</v>
      </c>
      <c r="W104" s="181">
        <f t="shared" si="5"/>
        <v>1.9139999999999999E-3</v>
      </c>
    </row>
    <row r="105" spans="1:23" s="139" customFormat="1">
      <c r="A105" s="146" t="s">
        <v>473</v>
      </c>
      <c r="B105" s="147" t="s">
        <v>474</v>
      </c>
      <c r="C105" s="146" t="s">
        <v>137</v>
      </c>
      <c r="D105" s="146" t="s">
        <v>138</v>
      </c>
      <c r="E105" s="146" t="s">
        <v>139</v>
      </c>
      <c r="F105" s="146" t="s">
        <v>140</v>
      </c>
      <c r="G105" s="148" t="s">
        <v>303</v>
      </c>
      <c r="H105" s="146">
        <v>0</v>
      </c>
      <c r="I105" s="146">
        <v>4</v>
      </c>
      <c r="J105" s="146" t="s">
        <v>143</v>
      </c>
      <c r="K105" s="146" t="s">
        <v>90</v>
      </c>
      <c r="L105" s="148" t="s">
        <v>3</v>
      </c>
      <c r="M105" s="146" t="s">
        <v>142</v>
      </c>
      <c r="N105" s="149">
        <v>1000</v>
      </c>
      <c r="O105" s="152">
        <f>SUMIF('GUDANG BESAR'!C:C,K:K,'GUDANG BESAR'!I:I)</f>
        <v>194556</v>
      </c>
      <c r="P105" s="153">
        <f>SUMIF('GUDANG BESAR'!C:C,K:K,'GUDANG BESAR'!K:K)</f>
        <v>215957.16</v>
      </c>
      <c r="Q105" s="150">
        <v>1.4379999999999999</v>
      </c>
      <c r="R105" s="149">
        <v>1</v>
      </c>
      <c r="S105" s="149">
        <v>438</v>
      </c>
      <c r="T105" s="145">
        <f t="shared" si="3"/>
        <v>279771.52799999999</v>
      </c>
      <c r="U105" s="145">
        <f t="shared" si="4"/>
        <v>310546.39607999998</v>
      </c>
      <c r="V105" s="135" t="str">
        <f>VLOOKUP(K105,Sheet1!$B$5:$C$131,2,0)</f>
        <v>DYESTUFF</v>
      </c>
      <c r="W105" s="181">
        <f t="shared" si="5"/>
        <v>1.438E-3</v>
      </c>
    </row>
    <row r="106" spans="1:23" s="139" customFormat="1">
      <c r="A106" s="146" t="s">
        <v>473</v>
      </c>
      <c r="B106" s="147" t="s">
        <v>474</v>
      </c>
      <c r="C106" s="146" t="s">
        <v>137</v>
      </c>
      <c r="D106" s="146" t="s">
        <v>138</v>
      </c>
      <c r="E106" s="146" t="s">
        <v>139</v>
      </c>
      <c r="F106" s="146" t="s">
        <v>140</v>
      </c>
      <c r="G106" s="148" t="s">
        <v>303</v>
      </c>
      <c r="H106" s="146">
        <v>0</v>
      </c>
      <c r="I106" s="146">
        <v>2</v>
      </c>
      <c r="J106" s="146" t="s">
        <v>346</v>
      </c>
      <c r="K106" s="146" t="s">
        <v>343</v>
      </c>
      <c r="L106" s="148" t="s">
        <v>3</v>
      </c>
      <c r="M106" s="146" t="s">
        <v>142</v>
      </c>
      <c r="N106" s="149">
        <v>1000</v>
      </c>
      <c r="O106" s="152">
        <f>SUMIF('GUDANG BESAR'!C:C,K:K,'GUDANG BESAR'!I:I)</f>
        <v>60680</v>
      </c>
      <c r="P106" s="153">
        <f>SUMIF('GUDANG BESAR'!C:C,K:K,'GUDANG BESAR'!K:K)</f>
        <v>67354.8</v>
      </c>
      <c r="Q106" s="150">
        <v>22.562999999999999</v>
      </c>
      <c r="R106" s="149">
        <v>22</v>
      </c>
      <c r="S106" s="149">
        <v>563</v>
      </c>
      <c r="T106" s="145">
        <f t="shared" si="3"/>
        <v>1369122.8399999999</v>
      </c>
      <c r="U106" s="145">
        <f t="shared" si="4"/>
        <v>1519726.3524</v>
      </c>
      <c r="V106" s="135" t="str">
        <f>VLOOKUP(K106,Sheet1!$B$5:$C$131,2,0)</f>
        <v>DYESTUFF</v>
      </c>
      <c r="W106" s="181">
        <f t="shared" si="5"/>
        <v>2.2563E-2</v>
      </c>
    </row>
    <row r="107" spans="1:23" s="139" customFormat="1">
      <c r="A107" s="146" t="s">
        <v>473</v>
      </c>
      <c r="B107" s="147" t="s">
        <v>474</v>
      </c>
      <c r="C107" s="146" t="s">
        <v>137</v>
      </c>
      <c r="D107" s="146" t="s">
        <v>138</v>
      </c>
      <c r="E107" s="146" t="s">
        <v>139</v>
      </c>
      <c r="F107" s="146" t="s">
        <v>140</v>
      </c>
      <c r="G107" s="148" t="s">
        <v>303</v>
      </c>
      <c r="H107" s="146">
        <v>0</v>
      </c>
      <c r="I107" s="146">
        <v>9</v>
      </c>
      <c r="J107" s="146" t="s">
        <v>151</v>
      </c>
      <c r="K107" s="146" t="s">
        <v>28</v>
      </c>
      <c r="L107" s="148" t="s">
        <v>3</v>
      </c>
      <c r="M107" s="146" t="s">
        <v>142</v>
      </c>
      <c r="N107" s="149">
        <v>1000</v>
      </c>
      <c r="O107" s="152">
        <f>SUMIF('GUDANG BESAR'!C:C,K:K,'GUDANG BESAR'!I:I)</f>
        <v>413967</v>
      </c>
      <c r="P107" s="153">
        <f>SUMIF('GUDANG BESAR'!C:C,K:K,'GUDANG BESAR'!K:K)</f>
        <v>459503.37</v>
      </c>
      <c r="Q107" s="150">
        <v>7.4999999999999997E-2</v>
      </c>
      <c r="R107" s="149">
        <v>0</v>
      </c>
      <c r="S107" s="149">
        <v>75</v>
      </c>
      <c r="T107" s="145">
        <f t="shared" si="3"/>
        <v>31047.524999999998</v>
      </c>
      <c r="U107" s="145">
        <f t="shared" si="4"/>
        <v>34462.75275</v>
      </c>
      <c r="V107" s="135" t="str">
        <f>VLOOKUP(K107,Sheet1!$B$5:$C$131,2,0)</f>
        <v>DYESTUFF</v>
      </c>
      <c r="W107" s="181">
        <f t="shared" si="5"/>
        <v>7.4999999999999993E-5</v>
      </c>
    </row>
    <row r="108" spans="1:23" s="139" customFormat="1">
      <c r="A108" s="146" t="s">
        <v>473</v>
      </c>
      <c r="B108" s="147" t="s">
        <v>474</v>
      </c>
      <c r="C108" s="146" t="s">
        <v>137</v>
      </c>
      <c r="D108" s="146" t="s">
        <v>138</v>
      </c>
      <c r="E108" s="146" t="s">
        <v>139</v>
      </c>
      <c r="F108" s="146" t="s">
        <v>140</v>
      </c>
      <c r="G108" s="148" t="s">
        <v>303</v>
      </c>
      <c r="H108" s="146">
        <v>0</v>
      </c>
      <c r="I108" s="146">
        <v>3</v>
      </c>
      <c r="J108" s="146" t="s">
        <v>169</v>
      </c>
      <c r="K108" s="146" t="s">
        <v>64</v>
      </c>
      <c r="L108" s="148" t="s">
        <v>3</v>
      </c>
      <c r="M108" s="146" t="s">
        <v>142</v>
      </c>
      <c r="N108" s="149">
        <v>1000</v>
      </c>
      <c r="O108" s="152">
        <f>SUMIF('GUDANG BESAR'!C:C,K:K,'GUDANG BESAR'!I:I)</f>
        <v>506080</v>
      </c>
      <c r="P108" s="153">
        <f>SUMIF('GUDANG BESAR'!C:C,K:K,'GUDANG BESAR'!K:K)</f>
        <v>561748.80000000005</v>
      </c>
      <c r="Q108" s="150">
        <v>9.0999999999999998E-2</v>
      </c>
      <c r="R108" s="149">
        <v>0</v>
      </c>
      <c r="S108" s="149">
        <v>91</v>
      </c>
      <c r="T108" s="145">
        <f t="shared" si="3"/>
        <v>46053.279999999999</v>
      </c>
      <c r="U108" s="145">
        <f t="shared" si="4"/>
        <v>51119.140800000001</v>
      </c>
      <c r="V108" s="135" t="str">
        <f>VLOOKUP(K108,Sheet1!$B$5:$C$131,2,0)</f>
        <v>DYESTUFF</v>
      </c>
      <c r="W108" s="181">
        <f t="shared" si="5"/>
        <v>9.1000000000000003E-5</v>
      </c>
    </row>
    <row r="109" spans="1:23" s="139" customFormat="1">
      <c r="A109" s="146" t="s">
        <v>473</v>
      </c>
      <c r="B109" s="147" t="s">
        <v>474</v>
      </c>
      <c r="C109" s="146" t="s">
        <v>137</v>
      </c>
      <c r="D109" s="146" t="s">
        <v>138</v>
      </c>
      <c r="E109" s="146" t="s">
        <v>139</v>
      </c>
      <c r="F109" s="146" t="s">
        <v>140</v>
      </c>
      <c r="G109" s="148" t="s">
        <v>303</v>
      </c>
      <c r="H109" s="146">
        <v>0</v>
      </c>
      <c r="I109" s="146">
        <v>5</v>
      </c>
      <c r="J109" s="146" t="s">
        <v>144</v>
      </c>
      <c r="K109" s="146" t="s">
        <v>26</v>
      </c>
      <c r="L109" s="148" t="s">
        <v>3</v>
      </c>
      <c r="M109" s="146" t="s">
        <v>142</v>
      </c>
      <c r="N109" s="149">
        <v>1000</v>
      </c>
      <c r="O109" s="152">
        <f>SUMIF('GUDANG BESAR'!C:C,K:K,'GUDANG BESAR'!I:I)</f>
        <v>52016</v>
      </c>
      <c r="P109" s="153">
        <f>SUMIF('GUDANG BESAR'!C:C,K:K,'GUDANG BESAR'!K:K)</f>
        <v>57737.760000000002</v>
      </c>
      <c r="Q109" s="150">
        <v>9.5990000000000002</v>
      </c>
      <c r="R109" s="149">
        <v>9</v>
      </c>
      <c r="S109" s="149">
        <v>599</v>
      </c>
      <c r="T109" s="145">
        <f t="shared" si="3"/>
        <v>499301.58400000003</v>
      </c>
      <c r="U109" s="145">
        <f t="shared" si="4"/>
        <v>554224.75824</v>
      </c>
      <c r="V109" s="135" t="str">
        <f>VLOOKUP(K109,Sheet1!$B$5:$C$131,2,0)</f>
        <v>DYESTUFF</v>
      </c>
      <c r="W109" s="181">
        <f t="shared" si="5"/>
        <v>9.5989999999999999E-3</v>
      </c>
    </row>
    <row r="110" spans="1:23" s="139" customFormat="1">
      <c r="A110" s="146" t="s">
        <v>473</v>
      </c>
      <c r="B110" s="147" t="s">
        <v>474</v>
      </c>
      <c r="C110" s="146" t="s">
        <v>137</v>
      </c>
      <c r="D110" s="146" t="s">
        <v>138</v>
      </c>
      <c r="E110" s="146" t="s">
        <v>139</v>
      </c>
      <c r="F110" s="146" t="s">
        <v>140</v>
      </c>
      <c r="G110" s="148" t="s">
        <v>303</v>
      </c>
      <c r="H110" s="146">
        <v>0</v>
      </c>
      <c r="I110" s="146">
        <v>6</v>
      </c>
      <c r="J110" s="146" t="s">
        <v>145</v>
      </c>
      <c r="K110" s="146" t="s">
        <v>27</v>
      </c>
      <c r="L110" s="148" t="s">
        <v>3</v>
      </c>
      <c r="M110" s="146" t="s">
        <v>142</v>
      </c>
      <c r="N110" s="149">
        <v>1000</v>
      </c>
      <c r="O110" s="152">
        <f>SUMIF('GUDANG BESAR'!C:C,K:K,'GUDANG BESAR'!I:I)</f>
        <v>71148</v>
      </c>
      <c r="P110" s="153">
        <f>SUMIF('GUDANG BESAR'!C:C,K:K,'GUDANG BESAR'!K:K)</f>
        <v>78974.28</v>
      </c>
      <c r="Q110" s="150">
        <v>4.2110000000000003</v>
      </c>
      <c r="R110" s="149">
        <v>4</v>
      </c>
      <c r="S110" s="149">
        <v>211</v>
      </c>
      <c r="T110" s="145">
        <f t="shared" si="3"/>
        <v>299604.228</v>
      </c>
      <c r="U110" s="145">
        <f t="shared" si="4"/>
        <v>332560.69308</v>
      </c>
      <c r="V110" s="135" t="str">
        <f>VLOOKUP(K110,Sheet1!$B$5:$C$131,2,0)</f>
        <v>DYESTUFF</v>
      </c>
      <c r="W110" s="181">
        <f t="shared" si="5"/>
        <v>4.2110000000000003E-3</v>
      </c>
    </row>
    <row r="111" spans="1:23" s="139" customFormat="1">
      <c r="A111" s="146" t="s">
        <v>473</v>
      </c>
      <c r="B111" s="147" t="s">
        <v>474</v>
      </c>
      <c r="C111" s="146" t="s">
        <v>137</v>
      </c>
      <c r="D111" s="146" t="s">
        <v>138</v>
      </c>
      <c r="E111" s="146" t="s">
        <v>139</v>
      </c>
      <c r="F111" s="146" t="s">
        <v>153</v>
      </c>
      <c r="G111" s="148" t="s">
        <v>301</v>
      </c>
      <c r="H111" s="146">
        <v>0</v>
      </c>
      <c r="I111" s="146">
        <v>19</v>
      </c>
      <c r="J111" s="146" t="s">
        <v>173</v>
      </c>
      <c r="K111" s="146" t="s">
        <v>9</v>
      </c>
      <c r="L111" s="148" t="s">
        <v>3</v>
      </c>
      <c r="M111" s="146" t="s">
        <v>142</v>
      </c>
      <c r="N111" s="149">
        <v>1000</v>
      </c>
      <c r="O111" s="152">
        <f>SUMIF('GUDANG BESAR'!C:C,K:K,'GUDANG BESAR'!I:I)</f>
        <v>294030</v>
      </c>
      <c r="P111" s="153">
        <f>SUMIF('GUDANG BESAR'!C:C,K:K,'GUDANG BESAR'!K:K)</f>
        <v>326373.3</v>
      </c>
      <c r="Q111" s="150">
        <v>1.1579999999999999</v>
      </c>
      <c r="R111" s="149">
        <v>1</v>
      </c>
      <c r="S111" s="149">
        <v>158</v>
      </c>
      <c r="T111" s="145">
        <f t="shared" si="3"/>
        <v>340486.74</v>
      </c>
      <c r="U111" s="145">
        <f t="shared" si="4"/>
        <v>377940.28139999998</v>
      </c>
      <c r="V111" s="135" t="str">
        <f>VLOOKUP(K111,Sheet1!$B$5:$C$131,2,0)</f>
        <v>DYEING</v>
      </c>
      <c r="W111" s="181">
        <f t="shared" si="5"/>
        <v>1.158E-3</v>
      </c>
    </row>
    <row r="112" spans="1:23" s="139" customFormat="1">
      <c r="A112" s="146" t="s">
        <v>473</v>
      </c>
      <c r="B112" s="147" t="s">
        <v>474</v>
      </c>
      <c r="C112" s="146" t="s">
        <v>137</v>
      </c>
      <c r="D112" s="146" t="s">
        <v>138</v>
      </c>
      <c r="E112" s="146" t="s">
        <v>139</v>
      </c>
      <c r="F112" s="146" t="s">
        <v>140</v>
      </c>
      <c r="G112" s="148" t="s">
        <v>303</v>
      </c>
      <c r="H112" s="146">
        <v>0</v>
      </c>
      <c r="I112" s="146">
        <v>7</v>
      </c>
      <c r="J112" s="146" t="s">
        <v>146</v>
      </c>
      <c r="K112" s="146" t="s">
        <v>46</v>
      </c>
      <c r="L112" s="148" t="s">
        <v>3</v>
      </c>
      <c r="M112" s="146" t="s">
        <v>142</v>
      </c>
      <c r="N112" s="149">
        <v>1000</v>
      </c>
      <c r="O112" s="152">
        <f>SUMIF('GUDANG BESAR'!C:C,K:K,'GUDANG BESAR'!I:I)</f>
        <v>100812</v>
      </c>
      <c r="P112" s="153">
        <f>SUMIF('GUDANG BESAR'!C:C,K:K,'GUDANG BESAR'!K:K)</f>
        <v>111901.32</v>
      </c>
      <c r="Q112" s="150">
        <v>0.46600000000000003</v>
      </c>
      <c r="R112" s="149">
        <v>0</v>
      </c>
      <c r="S112" s="149">
        <v>466</v>
      </c>
      <c r="T112" s="145">
        <f t="shared" si="3"/>
        <v>46978.392</v>
      </c>
      <c r="U112" s="145">
        <f t="shared" si="4"/>
        <v>52146.015120000004</v>
      </c>
      <c r="V112" s="135" t="str">
        <f>VLOOKUP(K112,Sheet1!$B$5:$C$131,2,0)</f>
        <v>DYESTUFF</v>
      </c>
      <c r="W112" s="181">
        <f t="shared" si="5"/>
        <v>4.6600000000000005E-4</v>
      </c>
    </row>
    <row r="113" spans="1:23" s="139" customFormat="1">
      <c r="A113" s="146" t="s">
        <v>473</v>
      </c>
      <c r="B113" s="147" t="s">
        <v>474</v>
      </c>
      <c r="C113" s="146" t="s">
        <v>137</v>
      </c>
      <c r="D113" s="146" t="s">
        <v>138</v>
      </c>
      <c r="E113" s="146" t="s">
        <v>139</v>
      </c>
      <c r="F113" s="146" t="s">
        <v>140</v>
      </c>
      <c r="G113" s="148" t="s">
        <v>303</v>
      </c>
      <c r="H113" s="146">
        <v>0</v>
      </c>
      <c r="I113" s="146">
        <v>8</v>
      </c>
      <c r="J113" s="146" t="s">
        <v>147</v>
      </c>
      <c r="K113" s="146" t="s">
        <v>41</v>
      </c>
      <c r="L113" s="148" t="s">
        <v>3</v>
      </c>
      <c r="M113" s="146" t="s">
        <v>142</v>
      </c>
      <c r="N113" s="149">
        <v>1000</v>
      </c>
      <c r="O113" s="152">
        <f>SUMIF('GUDANG BESAR'!C:C,K:K,'GUDANG BESAR'!I:I)</f>
        <v>54071</v>
      </c>
      <c r="P113" s="153">
        <f>SUMIF('GUDANG BESAR'!C:C,K:K,'GUDANG BESAR'!K:K)</f>
        <v>60018.81</v>
      </c>
      <c r="Q113" s="150">
        <v>3.0510000000000002</v>
      </c>
      <c r="R113" s="149">
        <v>3</v>
      </c>
      <c r="S113" s="149">
        <v>51</v>
      </c>
      <c r="T113" s="145">
        <f t="shared" si="3"/>
        <v>164970.62100000001</v>
      </c>
      <c r="U113" s="145">
        <f t="shared" si="4"/>
        <v>183117.38931</v>
      </c>
      <c r="V113" s="135" t="str">
        <f>VLOOKUP(K113,Sheet1!$B$5:$C$131,2,0)</f>
        <v>DYESTUFF</v>
      </c>
      <c r="W113" s="181">
        <f t="shared" si="5"/>
        <v>3.0510000000000003E-3</v>
      </c>
    </row>
    <row r="114" spans="1:23" s="139" customFormat="1">
      <c r="A114" s="146" t="s">
        <v>473</v>
      </c>
      <c r="B114" s="147" t="s">
        <v>474</v>
      </c>
      <c r="C114" s="146" t="s">
        <v>137</v>
      </c>
      <c r="D114" s="146" t="s">
        <v>138</v>
      </c>
      <c r="E114" s="146" t="s">
        <v>139</v>
      </c>
      <c r="F114" s="146" t="s">
        <v>140</v>
      </c>
      <c r="G114" s="148" t="s">
        <v>303</v>
      </c>
      <c r="H114" s="146">
        <v>0</v>
      </c>
      <c r="I114" s="146">
        <v>10</v>
      </c>
      <c r="J114" s="146" t="s">
        <v>148</v>
      </c>
      <c r="K114" s="146" t="s">
        <v>30</v>
      </c>
      <c r="L114" s="148" t="s">
        <v>3</v>
      </c>
      <c r="M114" s="146" t="s">
        <v>142</v>
      </c>
      <c r="N114" s="149">
        <v>1000</v>
      </c>
      <c r="O114" s="152">
        <f>SUMIF('GUDANG BESAR'!C:C,K:K,'GUDANG BESAR'!I:I)</f>
        <v>77089.399999999994</v>
      </c>
      <c r="P114" s="153">
        <f>SUMIF('GUDANG BESAR'!C:C,K:K,'GUDANG BESAR'!K:K)</f>
        <v>85569.233999999997</v>
      </c>
      <c r="Q114" s="150">
        <v>12.529</v>
      </c>
      <c r="R114" s="149">
        <v>12</v>
      </c>
      <c r="S114" s="149">
        <v>529</v>
      </c>
      <c r="T114" s="145">
        <f t="shared" si="3"/>
        <v>965853.09259999997</v>
      </c>
      <c r="U114" s="145">
        <f t="shared" si="4"/>
        <v>1072096.932786</v>
      </c>
      <c r="V114" s="135" t="str">
        <f>VLOOKUP(K114,Sheet1!$B$5:$C$131,2,0)</f>
        <v>DYESTUFF</v>
      </c>
      <c r="W114" s="181">
        <f t="shared" si="5"/>
        <v>1.2529E-2</v>
      </c>
    </row>
    <row r="115" spans="1:23" s="139" customFormat="1">
      <c r="A115" s="146" t="s">
        <v>473</v>
      </c>
      <c r="B115" s="147" t="s">
        <v>474</v>
      </c>
      <c r="C115" s="146" t="s">
        <v>137</v>
      </c>
      <c r="D115" s="146" t="s">
        <v>138</v>
      </c>
      <c r="E115" s="146" t="s">
        <v>139</v>
      </c>
      <c r="F115" s="146" t="s">
        <v>153</v>
      </c>
      <c r="G115" s="148" t="s">
        <v>301</v>
      </c>
      <c r="H115" s="146">
        <v>0</v>
      </c>
      <c r="I115" s="146">
        <v>20</v>
      </c>
      <c r="J115" s="146" t="s">
        <v>174</v>
      </c>
      <c r="K115" s="146" t="s">
        <v>13</v>
      </c>
      <c r="L115" s="148" t="s">
        <v>3</v>
      </c>
      <c r="M115" s="146" t="s">
        <v>142</v>
      </c>
      <c r="N115" s="149">
        <v>1000</v>
      </c>
      <c r="O115" s="152">
        <f>SUMIF('GUDANG BESAR'!C:C,K:K,'GUDANG BESAR'!I:I)</f>
        <v>262320</v>
      </c>
      <c r="P115" s="153">
        <f>SUMIF('GUDANG BESAR'!C:C,K:K,'GUDANG BESAR'!K:K)</f>
        <v>291175.2</v>
      </c>
      <c r="Q115" s="150">
        <v>2.4609999999999999</v>
      </c>
      <c r="R115" s="149">
        <v>2</v>
      </c>
      <c r="S115" s="149">
        <v>461</v>
      </c>
      <c r="T115" s="145">
        <f t="shared" si="3"/>
        <v>645569.52</v>
      </c>
      <c r="U115" s="145">
        <f t="shared" si="4"/>
        <v>716582.16720000003</v>
      </c>
      <c r="V115" s="135" t="str">
        <f>VLOOKUP(K115,Sheet1!$B$5:$C$131,2,0)</f>
        <v>DYEING</v>
      </c>
      <c r="W115" s="181">
        <f t="shared" si="5"/>
        <v>2.4609999999999996E-3</v>
      </c>
    </row>
    <row r="116" spans="1:23" s="139" customFormat="1">
      <c r="A116" s="146" t="s">
        <v>473</v>
      </c>
      <c r="B116" s="147" t="s">
        <v>474</v>
      </c>
      <c r="C116" s="146" t="s">
        <v>137</v>
      </c>
      <c r="D116" s="146" t="s">
        <v>138</v>
      </c>
      <c r="E116" s="146" t="s">
        <v>139</v>
      </c>
      <c r="F116" s="146" t="s">
        <v>162</v>
      </c>
      <c r="G116" s="148" t="s">
        <v>214</v>
      </c>
      <c r="H116" s="146">
        <v>0</v>
      </c>
      <c r="I116" s="146">
        <v>27</v>
      </c>
      <c r="J116" s="146" t="s">
        <v>163</v>
      </c>
      <c r="K116" s="146" t="s">
        <v>14</v>
      </c>
      <c r="L116" s="148" t="s">
        <v>3</v>
      </c>
      <c r="M116" s="146" t="s">
        <v>142</v>
      </c>
      <c r="N116" s="149">
        <v>1000</v>
      </c>
      <c r="O116" s="152">
        <f>SUMIF('GUDANG BESAR'!C:C,K:K,'GUDANG BESAR'!I:I)</f>
        <v>30500</v>
      </c>
      <c r="P116" s="153">
        <f>SUMIF('GUDANG BESAR'!C:C,K:K,'GUDANG BESAR'!K:K)</f>
        <v>33855</v>
      </c>
      <c r="Q116" s="150">
        <v>25</v>
      </c>
      <c r="R116" s="149">
        <v>25</v>
      </c>
      <c r="S116" s="149">
        <v>0</v>
      </c>
      <c r="T116" s="145">
        <f t="shared" si="3"/>
        <v>762500</v>
      </c>
      <c r="U116" s="145">
        <f t="shared" si="4"/>
        <v>846375</v>
      </c>
      <c r="V116" s="135" t="str">
        <f>VLOOKUP(K116,Sheet1!$B$5:$C$131,2,0)</f>
        <v>LIMBAH</v>
      </c>
      <c r="W116" s="181">
        <f t="shared" si="5"/>
        <v>2.5000000000000001E-2</v>
      </c>
    </row>
    <row r="117" spans="1:23" s="139" customFormat="1">
      <c r="A117" s="146" t="s">
        <v>473</v>
      </c>
      <c r="B117" s="147" t="s">
        <v>474</v>
      </c>
      <c r="C117" s="146" t="s">
        <v>137</v>
      </c>
      <c r="D117" s="146" t="s">
        <v>138</v>
      </c>
      <c r="E117" s="146" t="s">
        <v>139</v>
      </c>
      <c r="F117" s="146" t="s">
        <v>153</v>
      </c>
      <c r="G117" s="148" t="s">
        <v>301</v>
      </c>
      <c r="H117" s="146">
        <v>0</v>
      </c>
      <c r="I117" s="146">
        <v>15</v>
      </c>
      <c r="J117" s="146" t="s">
        <v>472</v>
      </c>
      <c r="K117" s="146" t="s">
        <v>370</v>
      </c>
      <c r="L117" s="148" t="s">
        <v>3</v>
      </c>
      <c r="M117" s="146" t="s">
        <v>142</v>
      </c>
      <c r="N117" s="149">
        <v>1000</v>
      </c>
      <c r="O117" s="152">
        <f>SUMIF('GUDANG BESAR'!C:C,K:K,'GUDANG BESAR'!I:I)</f>
        <v>14691</v>
      </c>
      <c r="P117" s="153">
        <f>SUMIF('GUDANG BESAR'!C:C,K:K,'GUDANG BESAR'!K:K)</f>
        <v>16307.01</v>
      </c>
      <c r="Q117" s="150">
        <v>30</v>
      </c>
      <c r="R117" s="149">
        <v>30</v>
      </c>
      <c r="S117" s="149">
        <v>0</v>
      </c>
      <c r="T117" s="145">
        <f t="shared" si="3"/>
        <v>440730</v>
      </c>
      <c r="U117" s="145">
        <f t="shared" si="4"/>
        <v>489210.3</v>
      </c>
      <c r="V117" s="135" t="str">
        <f>VLOOKUP(K117,Sheet1!$B$5:$C$131,2,0)</f>
        <v>DYEING</v>
      </c>
      <c r="W117" s="181">
        <f t="shared" si="5"/>
        <v>0.03</v>
      </c>
    </row>
    <row r="118" spans="1:23" s="139" customFormat="1">
      <c r="A118" s="146" t="s">
        <v>473</v>
      </c>
      <c r="B118" s="147" t="s">
        <v>474</v>
      </c>
      <c r="C118" s="146" t="s">
        <v>137</v>
      </c>
      <c r="D118" s="146" t="s">
        <v>138</v>
      </c>
      <c r="E118" s="146" t="s">
        <v>139</v>
      </c>
      <c r="F118" s="146" t="s">
        <v>162</v>
      </c>
      <c r="G118" s="148" t="s">
        <v>214</v>
      </c>
      <c r="H118" s="146">
        <v>0</v>
      </c>
      <c r="I118" s="146">
        <v>23</v>
      </c>
      <c r="J118" s="146" t="s">
        <v>377</v>
      </c>
      <c r="K118" s="146" t="s">
        <v>372</v>
      </c>
      <c r="L118" s="148" t="s">
        <v>3</v>
      </c>
      <c r="M118" s="146" t="s">
        <v>142</v>
      </c>
      <c r="N118" s="149">
        <v>1000</v>
      </c>
      <c r="O118" s="152">
        <f>SUMIF('GUDANG BESAR'!C:C,K:K,'GUDANG BESAR'!I:I)</f>
        <v>5500</v>
      </c>
      <c r="P118" s="153">
        <f>SUMIF('GUDANG BESAR'!C:C,K:K,'GUDANG BESAR'!K:K)</f>
        <v>6105</v>
      </c>
      <c r="Q118" s="150">
        <v>500</v>
      </c>
      <c r="R118" s="149">
        <v>500</v>
      </c>
      <c r="S118" s="149">
        <v>0</v>
      </c>
      <c r="T118" s="145">
        <f t="shared" si="3"/>
        <v>2750000</v>
      </c>
      <c r="U118" s="145">
        <f t="shared" si="4"/>
        <v>3052500</v>
      </c>
      <c r="V118" s="135" t="str">
        <f>VLOOKUP(K118,Sheet1!$B$5:$C$131,2,0)</f>
        <v>LIMBAH</v>
      </c>
      <c r="W118" s="181">
        <f t="shared" si="5"/>
        <v>0.5</v>
      </c>
    </row>
    <row r="119" spans="1:23" s="139" customFormat="1">
      <c r="A119" s="146" t="s">
        <v>473</v>
      </c>
      <c r="B119" s="147" t="s">
        <v>474</v>
      </c>
      <c r="C119" s="146" t="s">
        <v>137</v>
      </c>
      <c r="D119" s="146" t="s">
        <v>138</v>
      </c>
      <c r="E119" s="146" t="s">
        <v>139</v>
      </c>
      <c r="F119" s="146" t="s">
        <v>153</v>
      </c>
      <c r="G119" s="148" t="s">
        <v>301</v>
      </c>
      <c r="H119" s="146">
        <v>0</v>
      </c>
      <c r="I119" s="146">
        <v>14</v>
      </c>
      <c r="J119" s="146" t="s">
        <v>317</v>
      </c>
      <c r="K119" s="146" t="s">
        <v>17</v>
      </c>
      <c r="L119" s="148" t="s">
        <v>3</v>
      </c>
      <c r="M119" s="146" t="s">
        <v>142</v>
      </c>
      <c r="N119" s="149">
        <v>1000</v>
      </c>
      <c r="O119" s="152">
        <f>SUMIF('GUDANG BESAR'!C:C,K:K,'GUDANG BESAR'!I:I)</f>
        <v>25269.5</v>
      </c>
      <c r="P119" s="153">
        <f>SUMIF('GUDANG BESAR'!C:C,K:K,'GUDANG BESAR'!K:K)</f>
        <v>28049.145</v>
      </c>
      <c r="Q119" s="150">
        <v>18</v>
      </c>
      <c r="R119" s="149">
        <v>18</v>
      </c>
      <c r="S119" s="149">
        <v>0</v>
      </c>
      <c r="T119" s="145">
        <f t="shared" si="3"/>
        <v>454851</v>
      </c>
      <c r="U119" s="145">
        <f t="shared" si="4"/>
        <v>504884.61</v>
      </c>
      <c r="V119" s="135" t="str">
        <f>VLOOKUP(K119,Sheet1!$B$5:$C$131,2,0)</f>
        <v>DYEING</v>
      </c>
      <c r="W119" s="181">
        <f t="shared" si="5"/>
        <v>1.7999999999999999E-2</v>
      </c>
    </row>
    <row r="120" spans="1:23" s="139" customFormat="1">
      <c r="A120" s="146" t="s">
        <v>473</v>
      </c>
      <c r="B120" s="147" t="s">
        <v>474</v>
      </c>
      <c r="C120" s="146" t="s">
        <v>137</v>
      </c>
      <c r="D120" s="146" t="s">
        <v>138</v>
      </c>
      <c r="E120" s="146" t="s">
        <v>139</v>
      </c>
      <c r="F120" s="146" t="s">
        <v>153</v>
      </c>
      <c r="G120" s="148" t="s">
        <v>301</v>
      </c>
      <c r="H120" s="146">
        <v>0</v>
      </c>
      <c r="I120" s="146">
        <v>13</v>
      </c>
      <c r="J120" s="146" t="s">
        <v>251</v>
      </c>
      <c r="K120" s="146" t="s">
        <v>249</v>
      </c>
      <c r="L120" s="148" t="s">
        <v>3</v>
      </c>
      <c r="M120" s="146" t="s">
        <v>142</v>
      </c>
      <c r="N120" s="149">
        <v>1000</v>
      </c>
      <c r="O120" s="152">
        <f>SUMIF('GUDANG BESAR'!C:C,K:K,'GUDANG BESAR'!I:I)</f>
        <v>9119.6</v>
      </c>
      <c r="P120" s="153">
        <f>SUMIF('GUDANG BESAR'!C:C,K:K,'GUDANG BESAR'!K:K)</f>
        <v>10122.756000000001</v>
      </c>
      <c r="Q120" s="150">
        <v>20</v>
      </c>
      <c r="R120" s="149">
        <v>20</v>
      </c>
      <c r="S120" s="149">
        <v>0</v>
      </c>
      <c r="T120" s="145">
        <f t="shared" si="3"/>
        <v>182392</v>
      </c>
      <c r="U120" s="145">
        <f t="shared" si="4"/>
        <v>202455.12000000002</v>
      </c>
      <c r="V120" s="135" t="str">
        <f>VLOOKUP(K120,Sheet1!$B$5:$C$131,2,0)</f>
        <v>DYEING</v>
      </c>
      <c r="W120" s="181">
        <f t="shared" si="5"/>
        <v>0.02</v>
      </c>
    </row>
    <row r="121" spans="1:23" s="139" customFormat="1">
      <c r="A121" s="146" t="s">
        <v>473</v>
      </c>
      <c r="B121" s="147" t="s">
        <v>474</v>
      </c>
      <c r="C121" s="146" t="s">
        <v>137</v>
      </c>
      <c r="D121" s="146" t="s">
        <v>138</v>
      </c>
      <c r="E121" s="146" t="s">
        <v>139</v>
      </c>
      <c r="F121" s="146" t="s">
        <v>153</v>
      </c>
      <c r="G121" s="148" t="s">
        <v>301</v>
      </c>
      <c r="H121" s="146">
        <v>0</v>
      </c>
      <c r="I121" s="146">
        <v>16</v>
      </c>
      <c r="J121" s="146" t="s">
        <v>168</v>
      </c>
      <c r="K121" s="146" t="s">
        <v>34</v>
      </c>
      <c r="L121" s="148" t="s">
        <v>3</v>
      </c>
      <c r="M121" s="146" t="s">
        <v>142</v>
      </c>
      <c r="N121" s="149">
        <v>1000</v>
      </c>
      <c r="O121" s="152">
        <f>SUMIF('GUDANG BESAR'!C:C,K:K,'GUDANG BESAR'!I:I)</f>
        <v>68397</v>
      </c>
      <c r="P121" s="153">
        <f>SUMIF('GUDANG BESAR'!C:C,K:K,'GUDANG BESAR'!K:K)</f>
        <v>75920.67</v>
      </c>
      <c r="Q121" s="150">
        <v>1.4</v>
      </c>
      <c r="R121" s="149">
        <v>1</v>
      </c>
      <c r="S121" s="149">
        <v>400</v>
      </c>
      <c r="T121" s="145">
        <f t="shared" si="3"/>
        <v>95755.799999999988</v>
      </c>
      <c r="U121" s="145">
        <f t="shared" si="4"/>
        <v>106288.93799999999</v>
      </c>
      <c r="V121" s="135" t="str">
        <f>VLOOKUP(K121,Sheet1!$B$5:$C$131,2,0)</f>
        <v>DYEING</v>
      </c>
      <c r="W121" s="181">
        <f t="shared" si="5"/>
        <v>1.4E-3</v>
      </c>
    </row>
    <row r="122" spans="1:23" s="139" customFormat="1">
      <c r="A122" s="146" t="s">
        <v>473</v>
      </c>
      <c r="B122" s="147" t="s">
        <v>474</v>
      </c>
      <c r="C122" s="146" t="s">
        <v>137</v>
      </c>
      <c r="D122" s="146" t="s">
        <v>138</v>
      </c>
      <c r="E122" s="146" t="s">
        <v>139</v>
      </c>
      <c r="F122" s="146" t="s">
        <v>162</v>
      </c>
      <c r="G122" s="148" t="s">
        <v>214</v>
      </c>
      <c r="H122" s="146">
        <v>0</v>
      </c>
      <c r="I122" s="146">
        <v>29</v>
      </c>
      <c r="J122" s="146" t="s">
        <v>165</v>
      </c>
      <c r="K122" s="146" t="s">
        <v>80</v>
      </c>
      <c r="L122" s="148" t="s">
        <v>3</v>
      </c>
      <c r="M122" s="146" t="s">
        <v>142</v>
      </c>
      <c r="N122" s="149">
        <v>1000</v>
      </c>
      <c r="O122" s="152">
        <f>SUMIF('GUDANG BESAR'!C:C,K:K,'GUDANG BESAR'!I:I)</f>
        <v>1550000</v>
      </c>
      <c r="P122" s="153">
        <f>SUMIF('GUDANG BESAR'!C:C,K:K,'GUDANG BESAR'!K:K)</f>
        <v>1720500</v>
      </c>
      <c r="Q122" s="150">
        <v>0.05</v>
      </c>
      <c r="R122" s="149">
        <v>0</v>
      </c>
      <c r="S122" s="149">
        <v>50</v>
      </c>
      <c r="T122" s="145">
        <f t="shared" si="3"/>
        <v>77500</v>
      </c>
      <c r="U122" s="145">
        <f t="shared" si="4"/>
        <v>86025</v>
      </c>
      <c r="V122" s="135" t="str">
        <f>VLOOKUP(K122,Sheet1!$B$5:$C$131,2,0)</f>
        <v>LIMBAH</v>
      </c>
      <c r="W122" s="181">
        <f t="shared" si="5"/>
        <v>5.0000000000000002E-5</v>
      </c>
    </row>
    <row r="123" spans="1:23" s="139" customFormat="1">
      <c r="A123" s="146" t="s">
        <v>473</v>
      </c>
      <c r="B123" s="147" t="s">
        <v>474</v>
      </c>
      <c r="C123" s="146" t="s">
        <v>137</v>
      </c>
      <c r="D123" s="146" t="s">
        <v>138</v>
      </c>
      <c r="E123" s="146" t="s">
        <v>139</v>
      </c>
      <c r="F123" s="146" t="s">
        <v>162</v>
      </c>
      <c r="G123" s="148" t="s">
        <v>214</v>
      </c>
      <c r="H123" s="146">
        <v>0</v>
      </c>
      <c r="I123" s="146">
        <v>28</v>
      </c>
      <c r="J123" s="146" t="s">
        <v>164</v>
      </c>
      <c r="K123" s="146" t="s">
        <v>74</v>
      </c>
      <c r="L123" s="148" t="s">
        <v>5</v>
      </c>
      <c r="M123" s="146" t="s">
        <v>142</v>
      </c>
      <c r="N123" s="149">
        <v>1000</v>
      </c>
      <c r="O123" s="152">
        <f>SUMIF('GUDANG BESAR'!C:C,K:K,'GUDANG BESAR'!I:I)</f>
        <v>13180</v>
      </c>
      <c r="P123" s="153">
        <f>SUMIF('GUDANG BESAR'!C:C,K:K,'GUDANG BESAR'!K:K)</f>
        <v>14629.8</v>
      </c>
      <c r="Q123" s="150">
        <v>15</v>
      </c>
      <c r="R123" s="149">
        <v>15</v>
      </c>
      <c r="S123" s="149">
        <v>0</v>
      </c>
      <c r="T123" s="145">
        <f t="shared" si="3"/>
        <v>197700</v>
      </c>
      <c r="U123" s="145">
        <f t="shared" si="4"/>
        <v>219447</v>
      </c>
      <c r="V123" s="135" t="str">
        <f>VLOOKUP(K123,Sheet1!$B$5:$C$131,2,0)</f>
        <v>LIMBAH</v>
      </c>
      <c r="W123" s="181">
        <f t="shared" si="5"/>
        <v>1.4999999999999999E-2</v>
      </c>
    </row>
    <row r="124" spans="1:23" s="139" customFormat="1">
      <c r="A124" s="146" t="s">
        <v>473</v>
      </c>
      <c r="B124" s="147" t="s">
        <v>474</v>
      </c>
      <c r="C124" s="146" t="s">
        <v>137</v>
      </c>
      <c r="D124" s="146" t="s">
        <v>138</v>
      </c>
      <c r="E124" s="146" t="s">
        <v>139</v>
      </c>
      <c r="F124" s="146" t="s">
        <v>162</v>
      </c>
      <c r="G124" s="148" t="s">
        <v>214</v>
      </c>
      <c r="H124" s="146">
        <v>0</v>
      </c>
      <c r="I124" s="146">
        <v>24</v>
      </c>
      <c r="J124" s="146" t="s">
        <v>262</v>
      </c>
      <c r="K124" s="146" t="s">
        <v>258</v>
      </c>
      <c r="L124" s="148" t="s">
        <v>3</v>
      </c>
      <c r="M124" s="146" t="s">
        <v>142</v>
      </c>
      <c r="N124" s="149">
        <v>1000</v>
      </c>
      <c r="O124" s="152">
        <f>SUMIF('GUDANG BESAR'!C:C,K:K,'GUDANG BESAR'!I:I)</f>
        <v>33000</v>
      </c>
      <c r="P124" s="153">
        <f>SUMIF('GUDANG BESAR'!C:C,K:K,'GUDANG BESAR'!K:K)</f>
        <v>36630</v>
      </c>
      <c r="Q124" s="150">
        <v>15</v>
      </c>
      <c r="R124" s="149">
        <v>15</v>
      </c>
      <c r="S124" s="149">
        <v>0</v>
      </c>
      <c r="T124" s="145">
        <f t="shared" si="3"/>
        <v>495000</v>
      </c>
      <c r="U124" s="145">
        <f t="shared" si="4"/>
        <v>549450</v>
      </c>
      <c r="V124" s="135" t="str">
        <f>VLOOKUP(K124,Sheet1!$B$5:$C$131,2,0)</f>
        <v>LIMBAH</v>
      </c>
      <c r="W124" s="181">
        <f t="shared" si="5"/>
        <v>1.4999999999999999E-2</v>
      </c>
    </row>
    <row r="125" spans="1:23" s="139" customFormat="1">
      <c r="A125" s="146" t="s">
        <v>473</v>
      </c>
      <c r="B125" s="147" t="s">
        <v>474</v>
      </c>
      <c r="C125" s="146" t="s">
        <v>137</v>
      </c>
      <c r="D125" s="146" t="s">
        <v>138</v>
      </c>
      <c r="E125" s="146" t="s">
        <v>139</v>
      </c>
      <c r="F125" s="146" t="s">
        <v>162</v>
      </c>
      <c r="G125" s="148" t="s">
        <v>214</v>
      </c>
      <c r="H125" s="146">
        <v>0</v>
      </c>
      <c r="I125" s="146">
        <v>25</v>
      </c>
      <c r="J125" s="146" t="s">
        <v>263</v>
      </c>
      <c r="K125" s="146" t="s">
        <v>259</v>
      </c>
      <c r="L125" s="148" t="s">
        <v>3</v>
      </c>
      <c r="M125" s="146" t="s">
        <v>142</v>
      </c>
      <c r="N125" s="149">
        <v>1000</v>
      </c>
      <c r="O125" s="152">
        <f>SUMIF('GUDANG BESAR'!C:C,K:K,'GUDANG BESAR'!I:I)</f>
        <v>47500</v>
      </c>
      <c r="P125" s="153">
        <f>SUMIF('GUDANG BESAR'!C:C,K:K,'GUDANG BESAR'!K:K)</f>
        <v>52725</v>
      </c>
      <c r="Q125" s="150">
        <v>15</v>
      </c>
      <c r="R125" s="149">
        <v>15</v>
      </c>
      <c r="S125" s="149">
        <v>0</v>
      </c>
      <c r="T125" s="145">
        <f t="shared" si="3"/>
        <v>712500</v>
      </c>
      <c r="U125" s="145">
        <f t="shared" si="4"/>
        <v>790875</v>
      </c>
      <c r="V125" s="135" t="str">
        <f>VLOOKUP(K125,Sheet1!$B$5:$C$131,2,0)</f>
        <v>LIMBAH</v>
      </c>
      <c r="W125" s="181">
        <f t="shared" si="5"/>
        <v>1.4999999999999999E-2</v>
      </c>
    </row>
    <row r="126" spans="1:23" s="139" customFormat="1">
      <c r="A126" s="146" t="s">
        <v>473</v>
      </c>
      <c r="B126" s="147" t="s">
        <v>474</v>
      </c>
      <c r="C126" s="146" t="s">
        <v>137</v>
      </c>
      <c r="D126" s="146" t="s">
        <v>138</v>
      </c>
      <c r="E126" s="146" t="s">
        <v>139</v>
      </c>
      <c r="F126" s="146" t="s">
        <v>153</v>
      </c>
      <c r="G126" s="148" t="s">
        <v>301</v>
      </c>
      <c r="H126" s="146">
        <v>0</v>
      </c>
      <c r="I126" s="146">
        <v>22</v>
      </c>
      <c r="J126" s="146" t="s">
        <v>247</v>
      </c>
      <c r="K126" s="146" t="s">
        <v>79</v>
      </c>
      <c r="L126" s="148" t="s">
        <v>3</v>
      </c>
      <c r="M126" s="146" t="s">
        <v>142</v>
      </c>
      <c r="N126" s="149">
        <v>1000</v>
      </c>
      <c r="O126" s="152">
        <f>SUMIF('GUDANG BESAR'!C:C,K:K,'GUDANG BESAR'!I:I)</f>
        <v>21203</v>
      </c>
      <c r="P126" s="153">
        <f>SUMIF('GUDANG BESAR'!C:C,K:K,'GUDANG BESAR'!K:K)</f>
        <v>23535.33</v>
      </c>
      <c r="Q126" s="150">
        <v>12</v>
      </c>
      <c r="R126" s="149">
        <v>12</v>
      </c>
      <c r="S126" s="149">
        <v>0</v>
      </c>
      <c r="T126" s="145">
        <f t="shared" si="3"/>
        <v>254436</v>
      </c>
      <c r="U126" s="145">
        <f t="shared" si="4"/>
        <v>282423.96000000002</v>
      </c>
      <c r="V126" s="135" t="str">
        <f>VLOOKUP(K126,Sheet1!$B$5:$C$131,2,0)</f>
        <v>DYEING</v>
      </c>
      <c r="W126" s="181">
        <f t="shared" si="5"/>
        <v>1.2E-2</v>
      </c>
    </row>
    <row r="127" spans="1:23" s="139" customFormat="1">
      <c r="A127" s="146" t="s">
        <v>475</v>
      </c>
      <c r="B127" s="147" t="s">
        <v>476</v>
      </c>
      <c r="C127" s="146" t="s">
        <v>137</v>
      </c>
      <c r="D127" s="146" t="s">
        <v>138</v>
      </c>
      <c r="E127" s="146" t="s">
        <v>139</v>
      </c>
      <c r="F127" s="146" t="s">
        <v>156</v>
      </c>
      <c r="G127" s="148" t="s">
        <v>336</v>
      </c>
      <c r="H127" s="146">
        <v>0</v>
      </c>
      <c r="I127" s="146">
        <v>18</v>
      </c>
      <c r="J127" s="146" t="s">
        <v>157</v>
      </c>
      <c r="K127" s="146" t="s">
        <v>48</v>
      </c>
      <c r="L127" s="148" t="s">
        <v>93</v>
      </c>
      <c r="M127" s="146" t="s">
        <v>158</v>
      </c>
      <c r="N127" s="149">
        <v>1000</v>
      </c>
      <c r="O127" s="152">
        <f>SUMIF('GUDANG BESAR'!C:C,K:K,'GUDANG BESAR'!I:I)</f>
        <v>18500</v>
      </c>
      <c r="P127" s="153">
        <f>SUMIF('GUDANG BESAR'!C:C,K:K,'GUDANG BESAR'!K:K)</f>
        <v>20535</v>
      </c>
      <c r="Q127" s="150">
        <v>2</v>
      </c>
      <c r="R127" s="149">
        <v>2</v>
      </c>
      <c r="S127" s="149">
        <v>0</v>
      </c>
      <c r="T127" s="145">
        <f t="shared" si="3"/>
        <v>37000</v>
      </c>
      <c r="U127" s="145">
        <f t="shared" si="4"/>
        <v>41070</v>
      </c>
      <c r="V127" s="135" t="str">
        <f>VLOOKUP(K127,Sheet1!$B$5:$C$131,2,0)</f>
        <v>ENGGRAVING</v>
      </c>
      <c r="W127" s="181">
        <f t="shared" si="5"/>
        <v>2E-3</v>
      </c>
    </row>
    <row r="128" spans="1:23" s="139" customFormat="1">
      <c r="A128" s="146" t="s">
        <v>475</v>
      </c>
      <c r="B128" s="147" t="s">
        <v>476</v>
      </c>
      <c r="C128" s="146" t="s">
        <v>137</v>
      </c>
      <c r="D128" s="146" t="s">
        <v>138</v>
      </c>
      <c r="E128" s="146" t="s">
        <v>139</v>
      </c>
      <c r="F128" s="146" t="s">
        <v>140</v>
      </c>
      <c r="G128" s="148" t="s">
        <v>300</v>
      </c>
      <c r="H128" s="146">
        <v>0</v>
      </c>
      <c r="I128" s="146">
        <v>16</v>
      </c>
      <c r="J128" s="146" t="s">
        <v>149</v>
      </c>
      <c r="K128" s="146" t="s">
        <v>24</v>
      </c>
      <c r="L128" s="148" t="s">
        <v>3</v>
      </c>
      <c r="M128" s="146" t="s">
        <v>142</v>
      </c>
      <c r="N128" s="149">
        <v>1000</v>
      </c>
      <c r="O128" s="152">
        <f>SUMIF('GUDANG BESAR'!C:C,K:K,'GUDANG BESAR'!I:I)</f>
        <v>12250</v>
      </c>
      <c r="P128" s="153">
        <f>SUMIF('GUDANG BESAR'!C:C,K:K,'GUDANG BESAR'!K:K)</f>
        <v>13597.5</v>
      </c>
      <c r="Q128" s="150">
        <v>16</v>
      </c>
      <c r="R128" s="149">
        <v>16</v>
      </c>
      <c r="S128" s="149">
        <v>0</v>
      </c>
      <c r="T128" s="145">
        <f t="shared" si="3"/>
        <v>196000</v>
      </c>
      <c r="U128" s="145">
        <f t="shared" si="4"/>
        <v>217560</v>
      </c>
      <c r="V128" s="135" t="str">
        <f>VLOOKUP(K128,Sheet1!$B$5:$C$131,2,0)</f>
        <v>CK</v>
      </c>
      <c r="W128" s="181">
        <f t="shared" si="5"/>
        <v>1.6E-2</v>
      </c>
    </row>
    <row r="129" spans="1:23" s="139" customFormat="1">
      <c r="A129" s="146" t="s">
        <v>475</v>
      </c>
      <c r="B129" s="147" t="s">
        <v>476</v>
      </c>
      <c r="C129" s="146" t="s">
        <v>137</v>
      </c>
      <c r="D129" s="146" t="s">
        <v>138</v>
      </c>
      <c r="E129" s="146" t="s">
        <v>139</v>
      </c>
      <c r="F129" s="146" t="s">
        <v>140</v>
      </c>
      <c r="G129" s="148" t="s">
        <v>303</v>
      </c>
      <c r="H129" s="146">
        <v>0</v>
      </c>
      <c r="I129" s="146">
        <v>1</v>
      </c>
      <c r="J129" s="146" t="s">
        <v>141</v>
      </c>
      <c r="K129" s="146" t="s">
        <v>37</v>
      </c>
      <c r="L129" s="148" t="s">
        <v>3</v>
      </c>
      <c r="M129" s="146" t="s">
        <v>142</v>
      </c>
      <c r="N129" s="149">
        <v>1000</v>
      </c>
      <c r="O129" s="152">
        <f>SUMIF('GUDANG BESAR'!C:C,K:K,'GUDANG BESAR'!I:I)</f>
        <v>51276</v>
      </c>
      <c r="P129" s="153">
        <f>SUMIF('GUDANG BESAR'!C:C,K:K,'GUDANG BESAR'!K:K)</f>
        <v>56916.36</v>
      </c>
      <c r="Q129" s="150">
        <v>9.593</v>
      </c>
      <c r="R129" s="149">
        <v>9</v>
      </c>
      <c r="S129" s="149">
        <v>593</v>
      </c>
      <c r="T129" s="145">
        <f t="shared" si="3"/>
        <v>491890.66800000001</v>
      </c>
      <c r="U129" s="145">
        <f t="shared" si="4"/>
        <v>545998.64147999999</v>
      </c>
      <c r="V129" s="135" t="str">
        <f>VLOOKUP(K129,Sheet1!$B$5:$C$131,2,0)</f>
        <v>DYESTUFF</v>
      </c>
      <c r="W129" s="181">
        <f t="shared" si="5"/>
        <v>9.5930000000000008E-3</v>
      </c>
    </row>
    <row r="130" spans="1:23" s="139" customFormat="1">
      <c r="A130" s="146" t="s">
        <v>475</v>
      </c>
      <c r="B130" s="147" t="s">
        <v>476</v>
      </c>
      <c r="C130" s="146" t="s">
        <v>137</v>
      </c>
      <c r="D130" s="146" t="s">
        <v>138</v>
      </c>
      <c r="E130" s="146" t="s">
        <v>139</v>
      </c>
      <c r="F130" s="146" t="s">
        <v>140</v>
      </c>
      <c r="G130" s="148" t="s">
        <v>303</v>
      </c>
      <c r="H130" s="146">
        <v>0</v>
      </c>
      <c r="I130" s="146">
        <v>3</v>
      </c>
      <c r="J130" s="146" t="s">
        <v>143</v>
      </c>
      <c r="K130" s="146" t="s">
        <v>90</v>
      </c>
      <c r="L130" s="148" t="s">
        <v>3</v>
      </c>
      <c r="M130" s="146" t="s">
        <v>142</v>
      </c>
      <c r="N130" s="149">
        <v>1000</v>
      </c>
      <c r="O130" s="152">
        <f>SUMIF('GUDANG BESAR'!C:C,K:K,'GUDANG BESAR'!I:I)</f>
        <v>194556</v>
      </c>
      <c r="P130" s="153">
        <f>SUMIF('GUDANG BESAR'!C:C,K:K,'GUDANG BESAR'!K:K)</f>
        <v>215957.16</v>
      </c>
      <c r="Q130" s="150">
        <v>1.048</v>
      </c>
      <c r="R130" s="149">
        <v>1</v>
      </c>
      <c r="S130" s="149">
        <v>48</v>
      </c>
      <c r="T130" s="145">
        <f t="shared" si="3"/>
        <v>203894.68799999999</v>
      </c>
      <c r="U130" s="145">
        <f t="shared" si="4"/>
        <v>226323.10368</v>
      </c>
      <c r="V130" s="135" t="str">
        <f>VLOOKUP(K130,Sheet1!$B$5:$C$131,2,0)</f>
        <v>DYESTUFF</v>
      </c>
      <c r="W130" s="181">
        <f t="shared" si="5"/>
        <v>1.0480000000000001E-3</v>
      </c>
    </row>
    <row r="131" spans="1:23" s="139" customFormat="1">
      <c r="A131" s="146" t="s">
        <v>475</v>
      </c>
      <c r="B131" s="147" t="s">
        <v>476</v>
      </c>
      <c r="C131" s="146" t="s">
        <v>137</v>
      </c>
      <c r="D131" s="146" t="s">
        <v>138</v>
      </c>
      <c r="E131" s="146" t="s">
        <v>139</v>
      </c>
      <c r="F131" s="146" t="s">
        <v>140</v>
      </c>
      <c r="G131" s="148" t="s">
        <v>303</v>
      </c>
      <c r="H131" s="146">
        <v>0</v>
      </c>
      <c r="I131" s="146">
        <v>2</v>
      </c>
      <c r="J131" s="146" t="s">
        <v>346</v>
      </c>
      <c r="K131" s="146" t="s">
        <v>343</v>
      </c>
      <c r="L131" s="148" t="s">
        <v>3</v>
      </c>
      <c r="M131" s="146" t="s">
        <v>142</v>
      </c>
      <c r="N131" s="149">
        <v>1000</v>
      </c>
      <c r="O131" s="152">
        <f>SUMIF('GUDANG BESAR'!C:C,K:K,'GUDANG BESAR'!I:I)</f>
        <v>60680</v>
      </c>
      <c r="P131" s="153">
        <f>SUMIF('GUDANG BESAR'!C:C,K:K,'GUDANG BESAR'!K:K)</f>
        <v>67354.8</v>
      </c>
      <c r="Q131" s="150">
        <v>11.81</v>
      </c>
      <c r="R131" s="149">
        <v>11</v>
      </c>
      <c r="S131" s="149">
        <v>810</v>
      </c>
      <c r="T131" s="145">
        <f t="shared" si="3"/>
        <v>716630.8</v>
      </c>
      <c r="U131" s="145">
        <f t="shared" si="4"/>
        <v>795460.18800000008</v>
      </c>
      <c r="V131" s="135" t="str">
        <f>VLOOKUP(K131,Sheet1!$B$5:$C$131,2,0)</f>
        <v>DYESTUFF</v>
      </c>
      <c r="W131" s="181">
        <f t="shared" si="5"/>
        <v>1.1810000000000001E-2</v>
      </c>
    </row>
    <row r="132" spans="1:23" s="139" customFormat="1">
      <c r="A132" s="146" t="s">
        <v>475</v>
      </c>
      <c r="B132" s="147" t="s">
        <v>476</v>
      </c>
      <c r="C132" s="146" t="s">
        <v>137</v>
      </c>
      <c r="D132" s="146" t="s">
        <v>138</v>
      </c>
      <c r="E132" s="146" t="s">
        <v>139</v>
      </c>
      <c r="F132" s="146" t="s">
        <v>140</v>
      </c>
      <c r="G132" s="148" t="s">
        <v>303</v>
      </c>
      <c r="H132" s="146">
        <v>0</v>
      </c>
      <c r="I132" s="146">
        <v>12</v>
      </c>
      <c r="J132" s="146" t="s">
        <v>151</v>
      </c>
      <c r="K132" s="146" t="s">
        <v>28</v>
      </c>
      <c r="L132" s="148" t="s">
        <v>3</v>
      </c>
      <c r="M132" s="146" t="s">
        <v>142</v>
      </c>
      <c r="N132" s="149">
        <v>1000</v>
      </c>
      <c r="O132" s="152">
        <f>SUMIF('GUDANG BESAR'!C:C,K:K,'GUDANG BESAR'!I:I)</f>
        <v>413967</v>
      </c>
      <c r="P132" s="153">
        <f>SUMIF('GUDANG BESAR'!C:C,K:K,'GUDANG BESAR'!K:K)</f>
        <v>459503.37</v>
      </c>
      <c r="Q132" s="150">
        <v>0.104</v>
      </c>
      <c r="R132" s="149">
        <v>0</v>
      </c>
      <c r="S132" s="149">
        <v>104</v>
      </c>
      <c r="T132" s="145">
        <f t="shared" si="3"/>
        <v>43052.567999999999</v>
      </c>
      <c r="U132" s="145">
        <f t="shared" si="4"/>
        <v>47788.350479999994</v>
      </c>
      <c r="V132" s="135" t="str">
        <f>VLOOKUP(K132,Sheet1!$B$5:$C$131,2,0)</f>
        <v>DYESTUFF</v>
      </c>
      <c r="W132" s="181">
        <f t="shared" si="5"/>
        <v>1.0399999999999999E-4</v>
      </c>
    </row>
    <row r="133" spans="1:23" s="139" customFormat="1">
      <c r="A133" s="146" t="s">
        <v>475</v>
      </c>
      <c r="B133" s="147" t="s">
        <v>476</v>
      </c>
      <c r="C133" s="146" t="s">
        <v>137</v>
      </c>
      <c r="D133" s="146" t="s">
        <v>138</v>
      </c>
      <c r="E133" s="146" t="s">
        <v>139</v>
      </c>
      <c r="F133" s="146" t="s">
        <v>140</v>
      </c>
      <c r="G133" s="148" t="s">
        <v>303</v>
      </c>
      <c r="H133" s="146">
        <v>0</v>
      </c>
      <c r="I133" s="146">
        <v>4</v>
      </c>
      <c r="J133" s="146" t="s">
        <v>169</v>
      </c>
      <c r="K133" s="146" t="s">
        <v>64</v>
      </c>
      <c r="L133" s="148" t="s">
        <v>3</v>
      </c>
      <c r="M133" s="146" t="s">
        <v>142</v>
      </c>
      <c r="N133" s="149">
        <v>1000</v>
      </c>
      <c r="O133" s="152">
        <f>SUMIF('GUDANG BESAR'!C:C,K:K,'GUDANG BESAR'!I:I)</f>
        <v>506080</v>
      </c>
      <c r="P133" s="153">
        <f>SUMIF('GUDANG BESAR'!C:C,K:K,'GUDANG BESAR'!K:K)</f>
        <v>561748.80000000005</v>
      </c>
      <c r="Q133" s="150">
        <v>7.0000000000000007E-2</v>
      </c>
      <c r="R133" s="149">
        <v>0</v>
      </c>
      <c r="S133" s="149">
        <v>70</v>
      </c>
      <c r="T133" s="145">
        <f t="shared" si="3"/>
        <v>35425.600000000006</v>
      </c>
      <c r="U133" s="145">
        <f t="shared" si="4"/>
        <v>39322.416000000005</v>
      </c>
      <c r="V133" s="135" t="str">
        <f>VLOOKUP(K133,Sheet1!$B$5:$C$131,2,0)</f>
        <v>DYESTUFF</v>
      </c>
      <c r="W133" s="181">
        <f t="shared" si="5"/>
        <v>7.0000000000000007E-5</v>
      </c>
    </row>
    <row r="134" spans="1:23" s="139" customFormat="1">
      <c r="A134" s="146" t="s">
        <v>475</v>
      </c>
      <c r="B134" s="147" t="s">
        <v>476</v>
      </c>
      <c r="C134" s="146" t="s">
        <v>137</v>
      </c>
      <c r="D134" s="146" t="s">
        <v>138</v>
      </c>
      <c r="E134" s="146" t="s">
        <v>139</v>
      </c>
      <c r="F134" s="146" t="s">
        <v>140</v>
      </c>
      <c r="G134" s="148" t="s">
        <v>303</v>
      </c>
      <c r="H134" s="146">
        <v>0</v>
      </c>
      <c r="I134" s="146">
        <v>5</v>
      </c>
      <c r="J134" s="146" t="s">
        <v>250</v>
      </c>
      <c r="K134" s="146" t="s">
        <v>38</v>
      </c>
      <c r="L134" s="148" t="s">
        <v>3</v>
      </c>
      <c r="M134" s="146" t="s">
        <v>142</v>
      </c>
      <c r="N134" s="149">
        <v>1000</v>
      </c>
      <c r="O134" s="152">
        <f>SUMIF('GUDANG BESAR'!C:C,K:K,'GUDANG BESAR'!I:I)</f>
        <v>366255</v>
      </c>
      <c r="P134" s="153">
        <f>SUMIF('GUDANG BESAR'!C:C,K:K,'GUDANG BESAR'!K:K)</f>
        <v>406543.05</v>
      </c>
      <c r="Q134" s="150">
        <v>1.3460000000000001</v>
      </c>
      <c r="R134" s="149">
        <v>1</v>
      </c>
      <c r="S134" s="149">
        <v>346</v>
      </c>
      <c r="T134" s="145">
        <f t="shared" ref="T134:T197" si="6">O134*Q134</f>
        <v>492979.23000000004</v>
      </c>
      <c r="U134" s="145">
        <f t="shared" ref="U134:U197" si="7">P134*Q134</f>
        <v>547206.94530000002</v>
      </c>
      <c r="V134" s="135" t="str">
        <f>VLOOKUP(K134,Sheet1!$B$5:$C$131,2,0)</f>
        <v>DYESTUFF</v>
      </c>
      <c r="W134" s="181">
        <f t="shared" ref="W134:W197" si="8">Q134/$W$5</f>
        <v>1.3460000000000002E-3</v>
      </c>
    </row>
    <row r="135" spans="1:23" s="139" customFormat="1">
      <c r="A135" s="146" t="s">
        <v>475</v>
      </c>
      <c r="B135" s="147" t="s">
        <v>476</v>
      </c>
      <c r="C135" s="146" t="s">
        <v>137</v>
      </c>
      <c r="D135" s="146" t="s">
        <v>138</v>
      </c>
      <c r="E135" s="146" t="s">
        <v>139</v>
      </c>
      <c r="F135" s="146" t="s">
        <v>140</v>
      </c>
      <c r="G135" s="148" t="s">
        <v>303</v>
      </c>
      <c r="H135" s="146">
        <v>0</v>
      </c>
      <c r="I135" s="146">
        <v>6</v>
      </c>
      <c r="J135" s="146" t="s">
        <v>144</v>
      </c>
      <c r="K135" s="146" t="s">
        <v>26</v>
      </c>
      <c r="L135" s="148" t="s">
        <v>3</v>
      </c>
      <c r="M135" s="146" t="s">
        <v>142</v>
      </c>
      <c r="N135" s="149">
        <v>1000</v>
      </c>
      <c r="O135" s="152">
        <f>SUMIF('GUDANG BESAR'!C:C,K:K,'GUDANG BESAR'!I:I)</f>
        <v>52016</v>
      </c>
      <c r="P135" s="153">
        <f>SUMIF('GUDANG BESAR'!C:C,K:K,'GUDANG BESAR'!K:K)</f>
        <v>57737.760000000002</v>
      </c>
      <c r="Q135" s="150">
        <v>10.374000000000001</v>
      </c>
      <c r="R135" s="149">
        <v>10</v>
      </c>
      <c r="S135" s="149">
        <v>374</v>
      </c>
      <c r="T135" s="145">
        <f t="shared" si="6"/>
        <v>539613.98400000005</v>
      </c>
      <c r="U135" s="145">
        <f t="shared" si="7"/>
        <v>598971.52224000008</v>
      </c>
      <c r="V135" s="135" t="str">
        <f>VLOOKUP(K135,Sheet1!$B$5:$C$131,2,0)</f>
        <v>DYESTUFF</v>
      </c>
      <c r="W135" s="181">
        <f t="shared" si="8"/>
        <v>1.0374000000000001E-2</v>
      </c>
    </row>
    <row r="136" spans="1:23" s="139" customFormat="1">
      <c r="A136" s="146" t="s">
        <v>475</v>
      </c>
      <c r="B136" s="147" t="s">
        <v>476</v>
      </c>
      <c r="C136" s="146" t="s">
        <v>137</v>
      </c>
      <c r="D136" s="146" t="s">
        <v>138</v>
      </c>
      <c r="E136" s="146" t="s">
        <v>139</v>
      </c>
      <c r="F136" s="146" t="s">
        <v>140</v>
      </c>
      <c r="G136" s="148" t="s">
        <v>303</v>
      </c>
      <c r="H136" s="146">
        <v>0</v>
      </c>
      <c r="I136" s="146">
        <v>7</v>
      </c>
      <c r="J136" s="146" t="s">
        <v>145</v>
      </c>
      <c r="K136" s="146" t="s">
        <v>27</v>
      </c>
      <c r="L136" s="148" t="s">
        <v>3</v>
      </c>
      <c r="M136" s="146" t="s">
        <v>142</v>
      </c>
      <c r="N136" s="149">
        <v>1000</v>
      </c>
      <c r="O136" s="152">
        <f>SUMIF('GUDANG BESAR'!C:C,K:K,'GUDANG BESAR'!I:I)</f>
        <v>71148</v>
      </c>
      <c r="P136" s="153">
        <f>SUMIF('GUDANG BESAR'!C:C,K:K,'GUDANG BESAR'!K:K)</f>
        <v>78974.28</v>
      </c>
      <c r="Q136" s="150">
        <v>6.0540000000000003</v>
      </c>
      <c r="R136" s="149">
        <v>6</v>
      </c>
      <c r="S136" s="149">
        <v>54</v>
      </c>
      <c r="T136" s="145">
        <f t="shared" si="6"/>
        <v>430729.99200000003</v>
      </c>
      <c r="U136" s="145">
        <f t="shared" si="7"/>
        <v>478110.29112000001</v>
      </c>
      <c r="V136" s="135" t="str">
        <f>VLOOKUP(K136,Sheet1!$B$5:$C$131,2,0)</f>
        <v>DYESTUFF</v>
      </c>
      <c r="W136" s="181">
        <f t="shared" si="8"/>
        <v>6.0540000000000004E-3</v>
      </c>
    </row>
    <row r="137" spans="1:23" s="139" customFormat="1">
      <c r="A137" s="146" t="s">
        <v>475</v>
      </c>
      <c r="B137" s="147" t="s">
        <v>476</v>
      </c>
      <c r="C137" s="146" t="s">
        <v>137</v>
      </c>
      <c r="D137" s="146" t="s">
        <v>138</v>
      </c>
      <c r="E137" s="146" t="s">
        <v>139</v>
      </c>
      <c r="F137" s="146" t="s">
        <v>140</v>
      </c>
      <c r="G137" s="148" t="s">
        <v>303</v>
      </c>
      <c r="H137" s="146">
        <v>0</v>
      </c>
      <c r="I137" s="146">
        <v>9</v>
      </c>
      <c r="J137" s="146" t="s">
        <v>171</v>
      </c>
      <c r="K137" s="146" t="s">
        <v>102</v>
      </c>
      <c r="L137" s="148" t="s">
        <v>3</v>
      </c>
      <c r="M137" s="146" t="s">
        <v>142</v>
      </c>
      <c r="N137" s="149">
        <v>1000</v>
      </c>
      <c r="O137" s="152">
        <f>SUMIF('GUDANG BESAR'!C:C,K:K,'GUDANG BESAR'!I:I)</f>
        <v>385283</v>
      </c>
      <c r="P137" s="153">
        <f>SUMIF('GUDANG BESAR'!C:C,K:K,'GUDANG BESAR'!K:K)</f>
        <v>427664.13</v>
      </c>
      <c r="Q137" s="150">
        <v>3.1E-2</v>
      </c>
      <c r="R137" s="149">
        <v>0</v>
      </c>
      <c r="S137" s="149">
        <v>31</v>
      </c>
      <c r="T137" s="145">
        <f t="shared" si="6"/>
        <v>11943.772999999999</v>
      </c>
      <c r="U137" s="145">
        <f t="shared" si="7"/>
        <v>13257.588030000001</v>
      </c>
      <c r="V137" s="135" t="str">
        <f>VLOOKUP(K137,Sheet1!$B$5:$C$131,2,0)</f>
        <v>DYESTUFF</v>
      </c>
      <c r="W137" s="181">
        <f t="shared" si="8"/>
        <v>3.1000000000000001E-5</v>
      </c>
    </row>
    <row r="138" spans="1:23" s="139" customFormat="1">
      <c r="A138" s="146" t="s">
        <v>475</v>
      </c>
      <c r="B138" s="147" t="s">
        <v>476</v>
      </c>
      <c r="C138" s="146" t="s">
        <v>137</v>
      </c>
      <c r="D138" s="146" t="s">
        <v>138</v>
      </c>
      <c r="E138" s="146" t="s">
        <v>139</v>
      </c>
      <c r="F138" s="146" t="s">
        <v>140</v>
      </c>
      <c r="G138" s="148" t="s">
        <v>303</v>
      </c>
      <c r="H138" s="146">
        <v>0</v>
      </c>
      <c r="I138" s="146">
        <v>8</v>
      </c>
      <c r="J138" s="146" t="s">
        <v>376</v>
      </c>
      <c r="K138" s="146" t="s">
        <v>11</v>
      </c>
      <c r="L138" s="148" t="s">
        <v>3</v>
      </c>
      <c r="M138" s="146" t="s">
        <v>142</v>
      </c>
      <c r="N138" s="149">
        <v>1000</v>
      </c>
      <c r="O138" s="152">
        <f>SUMIF('GUDANG BESAR'!C:C,K:K,'GUDANG BESAR'!I:I)</f>
        <v>270075</v>
      </c>
      <c r="P138" s="153">
        <f>SUMIF('GUDANG BESAR'!C:C,K:K,'GUDANG BESAR'!K:K)</f>
        <v>299783.25</v>
      </c>
      <c r="Q138" s="150">
        <v>5.0000000000000001E-3</v>
      </c>
      <c r="R138" s="149">
        <v>0</v>
      </c>
      <c r="S138" s="149">
        <v>5</v>
      </c>
      <c r="T138" s="145">
        <f t="shared" si="6"/>
        <v>1350.375</v>
      </c>
      <c r="U138" s="145">
        <f t="shared" si="7"/>
        <v>1498.91625</v>
      </c>
      <c r="V138" s="135" t="str">
        <f>VLOOKUP(K138,Sheet1!$B$5:$C$131,2,0)</f>
        <v>DYESTUFF</v>
      </c>
      <c r="W138" s="181">
        <f t="shared" si="8"/>
        <v>5.0000000000000004E-6</v>
      </c>
    </row>
    <row r="139" spans="1:23" s="139" customFormat="1">
      <c r="A139" s="146" t="s">
        <v>475</v>
      </c>
      <c r="B139" s="147" t="s">
        <v>476</v>
      </c>
      <c r="C139" s="146" t="s">
        <v>137</v>
      </c>
      <c r="D139" s="146" t="s">
        <v>138</v>
      </c>
      <c r="E139" s="146" t="s">
        <v>139</v>
      </c>
      <c r="F139" s="146" t="s">
        <v>140</v>
      </c>
      <c r="G139" s="148" t="s">
        <v>303</v>
      </c>
      <c r="H139" s="146">
        <v>0</v>
      </c>
      <c r="I139" s="146">
        <v>10</v>
      </c>
      <c r="J139" s="146" t="s">
        <v>146</v>
      </c>
      <c r="K139" s="146" t="s">
        <v>46</v>
      </c>
      <c r="L139" s="148" t="s">
        <v>3</v>
      </c>
      <c r="M139" s="146" t="s">
        <v>142</v>
      </c>
      <c r="N139" s="149">
        <v>1000</v>
      </c>
      <c r="O139" s="152">
        <f>SUMIF('GUDANG BESAR'!C:C,K:K,'GUDANG BESAR'!I:I)</f>
        <v>100812</v>
      </c>
      <c r="P139" s="153">
        <f>SUMIF('GUDANG BESAR'!C:C,K:K,'GUDANG BESAR'!K:K)</f>
        <v>111901.32</v>
      </c>
      <c r="Q139" s="150">
        <v>1.667</v>
      </c>
      <c r="R139" s="149">
        <v>1</v>
      </c>
      <c r="S139" s="149">
        <v>667</v>
      </c>
      <c r="T139" s="145">
        <f t="shared" si="6"/>
        <v>168053.60399999999</v>
      </c>
      <c r="U139" s="145">
        <f t="shared" si="7"/>
        <v>186539.50044</v>
      </c>
      <c r="V139" s="135" t="str">
        <f>VLOOKUP(K139,Sheet1!$B$5:$C$131,2,0)</f>
        <v>DYESTUFF</v>
      </c>
      <c r="W139" s="181">
        <f t="shared" si="8"/>
        <v>1.6670000000000001E-3</v>
      </c>
    </row>
    <row r="140" spans="1:23" s="139" customFormat="1">
      <c r="A140" s="146" t="s">
        <v>475</v>
      </c>
      <c r="B140" s="147" t="s">
        <v>476</v>
      </c>
      <c r="C140" s="146" t="s">
        <v>137</v>
      </c>
      <c r="D140" s="146" t="s">
        <v>138</v>
      </c>
      <c r="E140" s="146" t="s">
        <v>139</v>
      </c>
      <c r="F140" s="146" t="s">
        <v>140</v>
      </c>
      <c r="G140" s="148" t="s">
        <v>303</v>
      </c>
      <c r="H140" s="146">
        <v>0</v>
      </c>
      <c r="I140" s="146">
        <v>11</v>
      </c>
      <c r="J140" s="146" t="s">
        <v>147</v>
      </c>
      <c r="K140" s="146" t="s">
        <v>41</v>
      </c>
      <c r="L140" s="148" t="s">
        <v>3</v>
      </c>
      <c r="M140" s="146" t="s">
        <v>142</v>
      </c>
      <c r="N140" s="149">
        <v>1000</v>
      </c>
      <c r="O140" s="152">
        <f>SUMIF('GUDANG BESAR'!C:C,K:K,'GUDANG BESAR'!I:I)</f>
        <v>54071</v>
      </c>
      <c r="P140" s="153">
        <f>SUMIF('GUDANG BESAR'!C:C,K:K,'GUDANG BESAR'!K:K)</f>
        <v>60018.81</v>
      </c>
      <c r="Q140" s="150">
        <v>10.913</v>
      </c>
      <c r="R140" s="149">
        <v>10</v>
      </c>
      <c r="S140" s="149">
        <v>913</v>
      </c>
      <c r="T140" s="145">
        <f t="shared" si="6"/>
        <v>590076.82299999997</v>
      </c>
      <c r="U140" s="145">
        <f t="shared" si="7"/>
        <v>654985.27353000001</v>
      </c>
      <c r="V140" s="135" t="str">
        <f>VLOOKUP(K140,Sheet1!$B$5:$C$131,2,0)</f>
        <v>DYESTUFF</v>
      </c>
      <c r="W140" s="181">
        <f t="shared" si="8"/>
        <v>1.0913000000000001E-2</v>
      </c>
    </row>
    <row r="141" spans="1:23" s="139" customFormat="1">
      <c r="A141" s="146" t="s">
        <v>475</v>
      </c>
      <c r="B141" s="147" t="s">
        <v>476</v>
      </c>
      <c r="C141" s="146" t="s">
        <v>137</v>
      </c>
      <c r="D141" s="146" t="s">
        <v>138</v>
      </c>
      <c r="E141" s="146" t="s">
        <v>139</v>
      </c>
      <c r="F141" s="146" t="s">
        <v>140</v>
      </c>
      <c r="G141" s="148" t="s">
        <v>303</v>
      </c>
      <c r="H141" s="146">
        <v>0</v>
      </c>
      <c r="I141" s="146">
        <v>13</v>
      </c>
      <c r="J141" s="146" t="s">
        <v>148</v>
      </c>
      <c r="K141" s="146" t="s">
        <v>30</v>
      </c>
      <c r="L141" s="148" t="s">
        <v>3</v>
      </c>
      <c r="M141" s="146" t="s">
        <v>142</v>
      </c>
      <c r="N141" s="149">
        <v>1000</v>
      </c>
      <c r="O141" s="152">
        <f>SUMIF('GUDANG BESAR'!C:C,K:K,'GUDANG BESAR'!I:I)</f>
        <v>77089.399999999994</v>
      </c>
      <c r="P141" s="153">
        <f>SUMIF('GUDANG BESAR'!C:C,K:K,'GUDANG BESAR'!K:K)</f>
        <v>85569.233999999997</v>
      </c>
      <c r="Q141" s="150">
        <v>11.035</v>
      </c>
      <c r="R141" s="149">
        <v>11</v>
      </c>
      <c r="S141" s="149">
        <v>35</v>
      </c>
      <c r="T141" s="145">
        <f t="shared" si="6"/>
        <v>850681.52899999998</v>
      </c>
      <c r="U141" s="145">
        <f t="shared" si="7"/>
        <v>944256.49719000002</v>
      </c>
      <c r="V141" s="135" t="str">
        <f>VLOOKUP(K141,Sheet1!$B$5:$C$131,2,0)</f>
        <v>DYESTUFF</v>
      </c>
      <c r="W141" s="181">
        <f t="shared" si="8"/>
        <v>1.1035E-2</v>
      </c>
    </row>
    <row r="142" spans="1:23" s="139" customFormat="1">
      <c r="A142" s="146" t="s">
        <v>475</v>
      </c>
      <c r="B142" s="147" t="s">
        <v>476</v>
      </c>
      <c r="C142" s="146" t="s">
        <v>137</v>
      </c>
      <c r="D142" s="146" t="s">
        <v>138</v>
      </c>
      <c r="E142" s="146" t="s">
        <v>139</v>
      </c>
      <c r="F142" s="146" t="s">
        <v>156</v>
      </c>
      <c r="G142" s="148" t="s">
        <v>337</v>
      </c>
      <c r="H142" s="146">
        <v>0</v>
      </c>
      <c r="I142" s="146">
        <v>19</v>
      </c>
      <c r="J142" s="146" t="s">
        <v>373</v>
      </c>
      <c r="K142" s="146" t="s">
        <v>35</v>
      </c>
      <c r="L142" s="148" t="s">
        <v>3</v>
      </c>
      <c r="M142" s="146" t="s">
        <v>142</v>
      </c>
      <c r="N142" s="149">
        <v>1000</v>
      </c>
      <c r="O142" s="152">
        <f>SUMIF('GUDANG BESAR'!C:C,K:K,'GUDANG BESAR'!I:I)</f>
        <v>115000</v>
      </c>
      <c r="P142" s="153">
        <f>SUMIF('GUDANG BESAR'!C:C,K:K,'GUDANG BESAR'!K:K)</f>
        <v>127650</v>
      </c>
      <c r="Q142" s="150">
        <v>3</v>
      </c>
      <c r="R142" s="149">
        <v>3</v>
      </c>
      <c r="S142" s="149">
        <v>0</v>
      </c>
      <c r="T142" s="145">
        <f t="shared" si="6"/>
        <v>345000</v>
      </c>
      <c r="U142" s="145">
        <f t="shared" si="7"/>
        <v>382950</v>
      </c>
      <c r="V142" s="135" t="str">
        <f>VLOOKUP(K142,Sheet1!$B$5:$C$131,2,0)</f>
        <v>CHEMICAL PRINTING</v>
      </c>
      <c r="W142" s="181">
        <f t="shared" si="8"/>
        <v>3.0000000000000001E-3</v>
      </c>
    </row>
    <row r="143" spans="1:23" s="139" customFormat="1">
      <c r="A143" s="146" t="s">
        <v>475</v>
      </c>
      <c r="B143" s="147" t="s">
        <v>476</v>
      </c>
      <c r="C143" s="146" t="s">
        <v>137</v>
      </c>
      <c r="D143" s="146" t="s">
        <v>138</v>
      </c>
      <c r="E143" s="146" t="s">
        <v>139</v>
      </c>
      <c r="F143" s="146" t="s">
        <v>140</v>
      </c>
      <c r="G143" s="148" t="s">
        <v>300</v>
      </c>
      <c r="H143" s="146">
        <v>0</v>
      </c>
      <c r="I143" s="146">
        <v>14</v>
      </c>
      <c r="J143" s="146" t="s">
        <v>314</v>
      </c>
      <c r="K143" s="146" t="s">
        <v>281</v>
      </c>
      <c r="L143" s="148" t="s">
        <v>3</v>
      </c>
      <c r="M143" s="146" t="s">
        <v>142</v>
      </c>
      <c r="N143" s="149">
        <v>1000</v>
      </c>
      <c r="O143" s="152">
        <f>SUMIF('GUDANG BESAR'!C:C,K:K,'GUDANG BESAR'!I:I)</f>
        <v>23590.51</v>
      </c>
      <c r="P143" s="153">
        <f>SUMIF('GUDANG BESAR'!C:C,K:K,'GUDANG BESAR'!K:K)</f>
        <v>26185.466099999998</v>
      </c>
      <c r="Q143" s="150">
        <v>240</v>
      </c>
      <c r="R143" s="149">
        <v>240</v>
      </c>
      <c r="S143" s="149">
        <v>0</v>
      </c>
      <c r="T143" s="145">
        <f t="shared" si="6"/>
        <v>5661722.3999999994</v>
      </c>
      <c r="U143" s="145">
        <f t="shared" si="7"/>
        <v>6284511.8639999991</v>
      </c>
      <c r="V143" s="135" t="str">
        <f>VLOOKUP(K143,Sheet1!$B$5:$C$131,2,0)</f>
        <v>CK</v>
      </c>
      <c r="W143" s="181">
        <f t="shared" si="8"/>
        <v>0.24</v>
      </c>
    </row>
    <row r="144" spans="1:23" s="139" customFormat="1">
      <c r="A144" s="146" t="s">
        <v>475</v>
      </c>
      <c r="B144" s="147" t="s">
        <v>476</v>
      </c>
      <c r="C144" s="146" t="s">
        <v>137</v>
      </c>
      <c r="D144" s="146" t="s">
        <v>138</v>
      </c>
      <c r="E144" s="146" t="s">
        <v>139</v>
      </c>
      <c r="F144" s="146" t="s">
        <v>162</v>
      </c>
      <c r="G144" s="148" t="s">
        <v>214</v>
      </c>
      <c r="H144" s="146">
        <v>0</v>
      </c>
      <c r="I144" s="146">
        <v>21</v>
      </c>
      <c r="J144" s="146" t="s">
        <v>377</v>
      </c>
      <c r="K144" s="146" t="s">
        <v>372</v>
      </c>
      <c r="L144" s="148" t="s">
        <v>3</v>
      </c>
      <c r="M144" s="146" t="s">
        <v>142</v>
      </c>
      <c r="N144" s="149">
        <v>1000</v>
      </c>
      <c r="O144" s="152">
        <f>SUMIF('GUDANG BESAR'!C:C,K:K,'GUDANG BESAR'!I:I)</f>
        <v>5500</v>
      </c>
      <c r="P144" s="153">
        <f>SUMIF('GUDANG BESAR'!C:C,K:K,'GUDANG BESAR'!K:K)</f>
        <v>6105</v>
      </c>
      <c r="Q144" s="150">
        <v>50</v>
      </c>
      <c r="R144" s="149">
        <v>50</v>
      </c>
      <c r="S144" s="149">
        <v>0</v>
      </c>
      <c r="T144" s="145">
        <f t="shared" si="6"/>
        <v>275000</v>
      </c>
      <c r="U144" s="145">
        <f t="shared" si="7"/>
        <v>305250</v>
      </c>
      <c r="V144" s="135" t="str">
        <f>VLOOKUP(K144,Sheet1!$B$5:$C$131,2,0)</f>
        <v>LIMBAH</v>
      </c>
      <c r="W144" s="181">
        <f t="shared" si="8"/>
        <v>0.05</v>
      </c>
    </row>
    <row r="145" spans="1:23" s="139" customFormat="1">
      <c r="A145" s="146" t="s">
        <v>475</v>
      </c>
      <c r="B145" s="147" t="s">
        <v>476</v>
      </c>
      <c r="C145" s="146" t="s">
        <v>137</v>
      </c>
      <c r="D145" s="146" t="s">
        <v>138</v>
      </c>
      <c r="E145" s="146" t="s">
        <v>139</v>
      </c>
      <c r="F145" s="146" t="s">
        <v>140</v>
      </c>
      <c r="G145" s="148" t="s">
        <v>300</v>
      </c>
      <c r="H145" s="146">
        <v>0</v>
      </c>
      <c r="I145" s="146">
        <v>17</v>
      </c>
      <c r="J145" s="146" t="s">
        <v>150</v>
      </c>
      <c r="K145" s="146" t="s">
        <v>32</v>
      </c>
      <c r="L145" s="148" t="s">
        <v>3</v>
      </c>
      <c r="M145" s="146" t="s">
        <v>142</v>
      </c>
      <c r="N145" s="149">
        <v>1000</v>
      </c>
      <c r="O145" s="152">
        <f>SUMIF('GUDANG BESAR'!C:C,K:K,'GUDANG BESAR'!I:I)</f>
        <v>15500</v>
      </c>
      <c r="P145" s="153">
        <f>SUMIF('GUDANG BESAR'!C:C,K:K,'GUDANG BESAR'!K:K)</f>
        <v>17205</v>
      </c>
      <c r="Q145" s="150">
        <v>4</v>
      </c>
      <c r="R145" s="149">
        <v>4</v>
      </c>
      <c r="S145" s="149">
        <v>0</v>
      </c>
      <c r="T145" s="145">
        <f t="shared" si="6"/>
        <v>62000</v>
      </c>
      <c r="U145" s="145">
        <f t="shared" si="7"/>
        <v>68820</v>
      </c>
      <c r="V145" s="135" t="str">
        <f>VLOOKUP(K145,Sheet1!$B$5:$C$131,2,0)</f>
        <v>CK</v>
      </c>
      <c r="W145" s="181">
        <f t="shared" si="8"/>
        <v>4.0000000000000001E-3</v>
      </c>
    </row>
    <row r="146" spans="1:23" s="139" customFormat="1">
      <c r="A146" s="146" t="s">
        <v>475</v>
      </c>
      <c r="B146" s="147" t="s">
        <v>476</v>
      </c>
      <c r="C146" s="146" t="s">
        <v>137</v>
      </c>
      <c r="D146" s="146" t="s">
        <v>138</v>
      </c>
      <c r="E146" s="146" t="s">
        <v>139</v>
      </c>
      <c r="F146" s="146" t="s">
        <v>156</v>
      </c>
      <c r="G146" s="148" t="s">
        <v>337</v>
      </c>
      <c r="H146" s="146">
        <v>0</v>
      </c>
      <c r="I146" s="146">
        <v>20</v>
      </c>
      <c r="J146" s="146" t="s">
        <v>374</v>
      </c>
      <c r="K146" s="146" t="s">
        <v>44</v>
      </c>
      <c r="L146" s="148" t="s">
        <v>3</v>
      </c>
      <c r="M146" s="146" t="s">
        <v>142</v>
      </c>
      <c r="N146" s="149">
        <v>1000</v>
      </c>
      <c r="O146" s="152">
        <f>SUMIF('GUDANG BESAR'!C:C,K:K,'GUDANG BESAR'!I:I)</f>
        <v>201876</v>
      </c>
      <c r="P146" s="153">
        <f>SUMIF('GUDANG BESAR'!C:C,K:K,'GUDANG BESAR'!K:K)</f>
        <v>224082.36</v>
      </c>
      <c r="Q146" s="150">
        <v>2</v>
      </c>
      <c r="R146" s="149">
        <v>2</v>
      </c>
      <c r="S146" s="149">
        <v>0</v>
      </c>
      <c r="T146" s="145">
        <f t="shared" si="6"/>
        <v>403752</v>
      </c>
      <c r="U146" s="145">
        <f t="shared" si="7"/>
        <v>448164.72</v>
      </c>
      <c r="V146" s="135" t="str">
        <f>VLOOKUP(K146,Sheet1!$B$5:$C$131,2,0)</f>
        <v>CHEMICAL PRINTING</v>
      </c>
      <c r="W146" s="181">
        <f t="shared" si="8"/>
        <v>2E-3</v>
      </c>
    </row>
    <row r="147" spans="1:23" s="139" customFormat="1">
      <c r="A147" s="146" t="s">
        <v>475</v>
      </c>
      <c r="B147" s="147" t="s">
        <v>476</v>
      </c>
      <c r="C147" s="146" t="s">
        <v>137</v>
      </c>
      <c r="D147" s="146" t="s">
        <v>138</v>
      </c>
      <c r="E147" s="146" t="s">
        <v>139</v>
      </c>
      <c r="F147" s="146" t="s">
        <v>162</v>
      </c>
      <c r="G147" s="148" t="s">
        <v>214</v>
      </c>
      <c r="H147" s="146">
        <v>0</v>
      </c>
      <c r="I147" s="146">
        <v>25</v>
      </c>
      <c r="J147" s="146" t="s">
        <v>165</v>
      </c>
      <c r="K147" s="146" t="s">
        <v>80</v>
      </c>
      <c r="L147" s="148" t="s">
        <v>3</v>
      </c>
      <c r="M147" s="146" t="s">
        <v>142</v>
      </c>
      <c r="N147" s="149">
        <v>1000</v>
      </c>
      <c r="O147" s="152">
        <f>SUMIF('GUDANG BESAR'!C:C,K:K,'GUDANG BESAR'!I:I)</f>
        <v>1550000</v>
      </c>
      <c r="P147" s="153">
        <f>SUMIF('GUDANG BESAR'!C:C,K:K,'GUDANG BESAR'!K:K)</f>
        <v>1720500</v>
      </c>
      <c r="Q147" s="150">
        <v>0.05</v>
      </c>
      <c r="R147" s="149">
        <v>0</v>
      </c>
      <c r="S147" s="149">
        <v>50</v>
      </c>
      <c r="T147" s="145">
        <f t="shared" si="6"/>
        <v>77500</v>
      </c>
      <c r="U147" s="145">
        <f t="shared" si="7"/>
        <v>86025</v>
      </c>
      <c r="V147" s="135" t="str">
        <f>VLOOKUP(K147,Sheet1!$B$5:$C$131,2,0)</f>
        <v>LIMBAH</v>
      </c>
      <c r="W147" s="181">
        <f t="shared" si="8"/>
        <v>5.0000000000000002E-5</v>
      </c>
    </row>
    <row r="148" spans="1:23" s="139" customFormat="1">
      <c r="A148" s="146" t="s">
        <v>475</v>
      </c>
      <c r="B148" s="147" t="s">
        <v>476</v>
      </c>
      <c r="C148" s="146" t="s">
        <v>137</v>
      </c>
      <c r="D148" s="146" t="s">
        <v>138</v>
      </c>
      <c r="E148" s="146" t="s">
        <v>139</v>
      </c>
      <c r="F148" s="146" t="s">
        <v>162</v>
      </c>
      <c r="G148" s="148" t="s">
        <v>214</v>
      </c>
      <c r="H148" s="146">
        <v>0</v>
      </c>
      <c r="I148" s="146">
        <v>24</v>
      </c>
      <c r="J148" s="146" t="s">
        <v>164</v>
      </c>
      <c r="K148" s="146" t="s">
        <v>74</v>
      </c>
      <c r="L148" s="148" t="s">
        <v>5</v>
      </c>
      <c r="M148" s="146" t="s">
        <v>142</v>
      </c>
      <c r="N148" s="149">
        <v>1000</v>
      </c>
      <c r="O148" s="152">
        <f>SUMIF('GUDANG BESAR'!C:C,K:K,'GUDANG BESAR'!I:I)</f>
        <v>13180</v>
      </c>
      <c r="P148" s="153">
        <f>SUMIF('GUDANG BESAR'!C:C,K:K,'GUDANG BESAR'!K:K)</f>
        <v>14629.8</v>
      </c>
      <c r="Q148" s="150">
        <v>15</v>
      </c>
      <c r="R148" s="149">
        <v>15</v>
      </c>
      <c r="S148" s="149">
        <v>0</v>
      </c>
      <c r="T148" s="145">
        <f t="shared" si="6"/>
        <v>197700</v>
      </c>
      <c r="U148" s="145">
        <f t="shared" si="7"/>
        <v>219447</v>
      </c>
      <c r="V148" s="135" t="str">
        <f>VLOOKUP(K148,Sheet1!$B$5:$C$131,2,0)</f>
        <v>LIMBAH</v>
      </c>
      <c r="W148" s="181">
        <f t="shared" si="8"/>
        <v>1.4999999999999999E-2</v>
      </c>
    </row>
    <row r="149" spans="1:23" s="139" customFormat="1">
      <c r="A149" s="146" t="s">
        <v>475</v>
      </c>
      <c r="B149" s="147" t="s">
        <v>476</v>
      </c>
      <c r="C149" s="146" t="s">
        <v>137</v>
      </c>
      <c r="D149" s="146" t="s">
        <v>138</v>
      </c>
      <c r="E149" s="146" t="s">
        <v>139</v>
      </c>
      <c r="F149" s="146" t="s">
        <v>140</v>
      </c>
      <c r="G149" s="148" t="s">
        <v>300</v>
      </c>
      <c r="H149" s="146">
        <v>0</v>
      </c>
      <c r="I149" s="146">
        <v>15</v>
      </c>
      <c r="J149" s="146" t="s">
        <v>152</v>
      </c>
      <c r="K149" s="146" t="s">
        <v>57</v>
      </c>
      <c r="L149" s="148" t="s">
        <v>3</v>
      </c>
      <c r="M149" s="146" t="s">
        <v>142</v>
      </c>
      <c r="N149" s="149">
        <v>1000</v>
      </c>
      <c r="O149" s="152">
        <f>SUMIF('GUDANG BESAR'!C:C,K:K,'GUDANG BESAR'!I:I)</f>
        <v>21870</v>
      </c>
      <c r="P149" s="153">
        <f>SUMIF('GUDANG BESAR'!C:C,K:K,'GUDANG BESAR'!K:K)</f>
        <v>24275.7</v>
      </c>
      <c r="Q149" s="150">
        <v>200</v>
      </c>
      <c r="R149" s="149">
        <v>200</v>
      </c>
      <c r="S149" s="149">
        <v>0</v>
      </c>
      <c r="T149" s="145">
        <f t="shared" si="6"/>
        <v>4374000</v>
      </c>
      <c r="U149" s="145">
        <f t="shared" si="7"/>
        <v>4855140</v>
      </c>
      <c r="V149" s="135" t="str">
        <f>VLOOKUP(K149,Sheet1!$B$5:$C$131,2,0)</f>
        <v>CK</v>
      </c>
      <c r="W149" s="181">
        <f t="shared" si="8"/>
        <v>0.2</v>
      </c>
    </row>
    <row r="150" spans="1:23" s="139" customFormat="1">
      <c r="A150" s="146" t="s">
        <v>475</v>
      </c>
      <c r="B150" s="147" t="s">
        <v>476</v>
      </c>
      <c r="C150" s="146" t="s">
        <v>137</v>
      </c>
      <c r="D150" s="146" t="s">
        <v>138</v>
      </c>
      <c r="E150" s="146" t="s">
        <v>139</v>
      </c>
      <c r="F150" s="146" t="s">
        <v>162</v>
      </c>
      <c r="G150" s="148" t="s">
        <v>214</v>
      </c>
      <c r="H150" s="146">
        <v>0</v>
      </c>
      <c r="I150" s="146">
        <v>22</v>
      </c>
      <c r="J150" s="146" t="s">
        <v>262</v>
      </c>
      <c r="K150" s="146" t="s">
        <v>258</v>
      </c>
      <c r="L150" s="148" t="s">
        <v>3</v>
      </c>
      <c r="M150" s="146" t="s">
        <v>142</v>
      </c>
      <c r="N150" s="149">
        <v>1000</v>
      </c>
      <c r="O150" s="152">
        <f>SUMIF('GUDANG BESAR'!C:C,K:K,'GUDANG BESAR'!I:I)</f>
        <v>33000</v>
      </c>
      <c r="P150" s="153">
        <f>SUMIF('GUDANG BESAR'!C:C,K:K,'GUDANG BESAR'!K:K)</f>
        <v>36630</v>
      </c>
      <c r="Q150" s="150">
        <v>6</v>
      </c>
      <c r="R150" s="149">
        <v>6</v>
      </c>
      <c r="S150" s="149">
        <v>0</v>
      </c>
      <c r="T150" s="145">
        <f t="shared" si="6"/>
        <v>198000</v>
      </c>
      <c r="U150" s="145">
        <f t="shared" si="7"/>
        <v>219780</v>
      </c>
      <c r="V150" s="135" t="str">
        <f>VLOOKUP(K150,Sheet1!$B$5:$C$131,2,0)</f>
        <v>LIMBAH</v>
      </c>
      <c r="W150" s="181">
        <f t="shared" si="8"/>
        <v>6.0000000000000001E-3</v>
      </c>
    </row>
    <row r="151" spans="1:23" s="139" customFormat="1">
      <c r="A151" s="146" t="s">
        <v>475</v>
      </c>
      <c r="B151" s="147" t="s">
        <v>476</v>
      </c>
      <c r="C151" s="146" t="s">
        <v>137</v>
      </c>
      <c r="D151" s="146" t="s">
        <v>138</v>
      </c>
      <c r="E151" s="146" t="s">
        <v>139</v>
      </c>
      <c r="F151" s="146" t="s">
        <v>162</v>
      </c>
      <c r="G151" s="148" t="s">
        <v>214</v>
      </c>
      <c r="H151" s="146">
        <v>0</v>
      </c>
      <c r="I151" s="146">
        <v>23</v>
      </c>
      <c r="J151" s="146" t="s">
        <v>263</v>
      </c>
      <c r="K151" s="146" t="s">
        <v>259</v>
      </c>
      <c r="L151" s="148" t="s">
        <v>3</v>
      </c>
      <c r="M151" s="146" t="s">
        <v>142</v>
      </c>
      <c r="N151" s="149">
        <v>1000</v>
      </c>
      <c r="O151" s="152">
        <f>SUMIF('GUDANG BESAR'!C:C,K:K,'GUDANG BESAR'!I:I)</f>
        <v>47500</v>
      </c>
      <c r="P151" s="153">
        <f>SUMIF('GUDANG BESAR'!C:C,K:K,'GUDANG BESAR'!K:K)</f>
        <v>52725</v>
      </c>
      <c r="Q151" s="150">
        <v>10</v>
      </c>
      <c r="R151" s="149">
        <v>10</v>
      </c>
      <c r="S151" s="149">
        <v>0</v>
      </c>
      <c r="T151" s="145">
        <f t="shared" si="6"/>
        <v>475000</v>
      </c>
      <c r="U151" s="145">
        <f t="shared" si="7"/>
        <v>527250</v>
      </c>
      <c r="V151" s="135" t="str">
        <f>VLOOKUP(K151,Sheet1!$B$5:$C$131,2,0)</f>
        <v>LIMBAH</v>
      </c>
      <c r="W151" s="181">
        <f t="shared" si="8"/>
        <v>0.01</v>
      </c>
    </row>
    <row r="152" spans="1:23" s="139" customFormat="1">
      <c r="A152" s="146" t="s">
        <v>477</v>
      </c>
      <c r="B152" s="147" t="s">
        <v>478</v>
      </c>
      <c r="C152" s="146" t="s">
        <v>137</v>
      </c>
      <c r="D152" s="146" t="s">
        <v>138</v>
      </c>
      <c r="E152" s="146" t="s">
        <v>139</v>
      </c>
      <c r="F152" s="146" t="s">
        <v>153</v>
      </c>
      <c r="G152" s="148" t="s">
        <v>298</v>
      </c>
      <c r="H152" s="146">
        <v>0</v>
      </c>
      <c r="I152" s="146">
        <v>15</v>
      </c>
      <c r="J152" s="146" t="s">
        <v>315</v>
      </c>
      <c r="K152" s="146" t="s">
        <v>47</v>
      </c>
      <c r="L152" s="148" t="s">
        <v>3</v>
      </c>
      <c r="M152" s="146" t="s">
        <v>142</v>
      </c>
      <c r="N152" s="149">
        <v>1000</v>
      </c>
      <c r="O152" s="152">
        <f>SUMIF('GUDANG BESAR'!C:C,K:K,'GUDANG BESAR'!I:I)</f>
        <v>13000</v>
      </c>
      <c r="P152" s="153">
        <f>SUMIF('GUDANG BESAR'!C:C,K:K,'GUDANG BESAR'!K:K)</f>
        <v>14430</v>
      </c>
      <c r="Q152" s="150">
        <v>4</v>
      </c>
      <c r="R152" s="149">
        <v>4</v>
      </c>
      <c r="S152" s="149">
        <v>0</v>
      </c>
      <c r="T152" s="145">
        <f t="shared" si="6"/>
        <v>52000</v>
      </c>
      <c r="U152" s="145">
        <f t="shared" si="7"/>
        <v>57720</v>
      </c>
      <c r="V152" s="135" t="str">
        <f>VLOOKUP(K152,Sheet1!$B$5:$C$131,2,0)</f>
        <v>FINISHING</v>
      </c>
      <c r="W152" s="181">
        <f t="shared" si="8"/>
        <v>4.0000000000000001E-3</v>
      </c>
    </row>
    <row r="153" spans="1:23" s="139" customFormat="1">
      <c r="A153" s="146" t="s">
        <v>477</v>
      </c>
      <c r="B153" s="147" t="s">
        <v>478</v>
      </c>
      <c r="C153" s="146" t="s">
        <v>137</v>
      </c>
      <c r="D153" s="146" t="s">
        <v>138</v>
      </c>
      <c r="E153" s="146" t="s">
        <v>139</v>
      </c>
      <c r="F153" s="146" t="s">
        <v>153</v>
      </c>
      <c r="G153" s="148" t="s">
        <v>299</v>
      </c>
      <c r="H153" s="146">
        <v>0</v>
      </c>
      <c r="I153" s="146">
        <v>23</v>
      </c>
      <c r="J153" s="146" t="s">
        <v>154</v>
      </c>
      <c r="K153" s="146" t="s">
        <v>23</v>
      </c>
      <c r="L153" s="148" t="s">
        <v>3</v>
      </c>
      <c r="M153" s="146" t="s">
        <v>142</v>
      </c>
      <c r="N153" s="149">
        <v>1000</v>
      </c>
      <c r="O153" s="152">
        <f>SUMIF('GUDANG BESAR'!C:C,K:K,'GUDANG BESAR'!I:I)</f>
        <v>28844</v>
      </c>
      <c r="P153" s="153">
        <f>SUMIF('GUDANG BESAR'!C:C,K:K,'GUDANG BESAR'!K:K)</f>
        <v>32016.84</v>
      </c>
      <c r="Q153" s="150">
        <v>100</v>
      </c>
      <c r="R153" s="149">
        <v>100</v>
      </c>
      <c r="S153" s="149">
        <v>0</v>
      </c>
      <c r="T153" s="145">
        <f t="shared" si="6"/>
        <v>2884400</v>
      </c>
      <c r="U153" s="145">
        <f t="shared" si="7"/>
        <v>3201684</v>
      </c>
      <c r="V153" s="135" t="str">
        <f>VLOOKUP(K153,Sheet1!$B$5:$C$131,2,0)</f>
        <v>RC</v>
      </c>
      <c r="W153" s="181">
        <f t="shared" si="8"/>
        <v>0.1</v>
      </c>
    </row>
    <row r="154" spans="1:23" s="139" customFormat="1">
      <c r="A154" s="146" t="s">
        <v>477</v>
      </c>
      <c r="B154" s="147" t="s">
        <v>478</v>
      </c>
      <c r="C154" s="146" t="s">
        <v>137</v>
      </c>
      <c r="D154" s="146" t="s">
        <v>138</v>
      </c>
      <c r="E154" s="146" t="s">
        <v>139</v>
      </c>
      <c r="F154" s="146" t="s">
        <v>153</v>
      </c>
      <c r="G154" s="148" t="s">
        <v>301</v>
      </c>
      <c r="H154" s="146">
        <v>0</v>
      </c>
      <c r="I154" s="146">
        <v>16</v>
      </c>
      <c r="J154" s="146" t="s">
        <v>246</v>
      </c>
      <c r="K154" s="146" t="s">
        <v>7</v>
      </c>
      <c r="L154" s="148" t="s">
        <v>3</v>
      </c>
      <c r="M154" s="146" t="s">
        <v>142</v>
      </c>
      <c r="N154" s="149">
        <v>1000</v>
      </c>
      <c r="O154" s="152">
        <f>SUMIF('GUDANG BESAR'!C:C,K:K,'GUDANG BESAR'!I:I)</f>
        <v>29502</v>
      </c>
      <c r="P154" s="153">
        <f>SUMIF('GUDANG BESAR'!C:C,K:K,'GUDANG BESAR'!K:K)</f>
        <v>32747.22</v>
      </c>
      <c r="Q154" s="150">
        <v>8</v>
      </c>
      <c r="R154" s="149">
        <v>8</v>
      </c>
      <c r="S154" s="149">
        <v>0</v>
      </c>
      <c r="T154" s="145">
        <f t="shared" si="6"/>
        <v>236016</v>
      </c>
      <c r="U154" s="145">
        <f t="shared" si="7"/>
        <v>261977.76</v>
      </c>
      <c r="V154" s="135" t="str">
        <f>VLOOKUP(K154,Sheet1!$B$5:$C$131,2,0)</f>
        <v>DYEING</v>
      </c>
      <c r="W154" s="181">
        <f t="shared" si="8"/>
        <v>8.0000000000000002E-3</v>
      </c>
    </row>
    <row r="155" spans="1:23" s="139" customFormat="1">
      <c r="A155" s="146" t="s">
        <v>477</v>
      </c>
      <c r="B155" s="147" t="s">
        <v>478</v>
      </c>
      <c r="C155" s="146" t="s">
        <v>137</v>
      </c>
      <c r="D155" s="146" t="s">
        <v>138</v>
      </c>
      <c r="E155" s="146" t="s">
        <v>139</v>
      </c>
      <c r="F155" s="146" t="s">
        <v>153</v>
      </c>
      <c r="G155" s="148" t="s">
        <v>299</v>
      </c>
      <c r="H155" s="146">
        <v>0</v>
      </c>
      <c r="I155" s="146">
        <v>24</v>
      </c>
      <c r="J155" s="146" t="s">
        <v>155</v>
      </c>
      <c r="K155" s="146" t="s">
        <v>33</v>
      </c>
      <c r="L155" s="148" t="s">
        <v>3</v>
      </c>
      <c r="M155" s="146" t="s">
        <v>142</v>
      </c>
      <c r="N155" s="149">
        <v>1000</v>
      </c>
      <c r="O155" s="152">
        <f>SUMIF('GUDANG BESAR'!C:C,K:K,'GUDANG BESAR'!I:I)</f>
        <v>11087.5</v>
      </c>
      <c r="P155" s="153">
        <f>SUMIF('GUDANG BESAR'!C:C,K:K,'GUDANG BESAR'!K:K)</f>
        <v>12307.125</v>
      </c>
      <c r="Q155" s="150">
        <v>150</v>
      </c>
      <c r="R155" s="149">
        <v>150</v>
      </c>
      <c r="S155" s="149">
        <v>0</v>
      </c>
      <c r="T155" s="145">
        <f t="shared" si="6"/>
        <v>1663125</v>
      </c>
      <c r="U155" s="145">
        <f t="shared" si="7"/>
        <v>1846068.75</v>
      </c>
      <c r="V155" s="135" t="str">
        <f>VLOOKUP(K155,Sheet1!$B$5:$C$131,2,0)</f>
        <v>RC</v>
      </c>
      <c r="W155" s="181">
        <f t="shared" si="8"/>
        <v>0.15</v>
      </c>
    </row>
    <row r="156" spans="1:23" s="139" customFormat="1">
      <c r="A156" s="146" t="s">
        <v>477</v>
      </c>
      <c r="B156" s="147" t="s">
        <v>478</v>
      </c>
      <c r="C156" s="146" t="s">
        <v>137</v>
      </c>
      <c r="D156" s="146" t="s">
        <v>138</v>
      </c>
      <c r="E156" s="146" t="s">
        <v>139</v>
      </c>
      <c r="F156" s="146" t="s">
        <v>140</v>
      </c>
      <c r="G156" s="148" t="s">
        <v>303</v>
      </c>
      <c r="H156" s="146">
        <v>0</v>
      </c>
      <c r="I156" s="146">
        <v>1</v>
      </c>
      <c r="J156" s="146" t="s">
        <v>141</v>
      </c>
      <c r="K156" s="146" t="s">
        <v>37</v>
      </c>
      <c r="L156" s="148" t="s">
        <v>3</v>
      </c>
      <c r="M156" s="146" t="s">
        <v>142</v>
      </c>
      <c r="N156" s="149">
        <v>1000</v>
      </c>
      <c r="O156" s="152">
        <f>SUMIF('GUDANG BESAR'!C:C,K:K,'GUDANG BESAR'!I:I)</f>
        <v>51276</v>
      </c>
      <c r="P156" s="153">
        <f>SUMIF('GUDANG BESAR'!C:C,K:K,'GUDANG BESAR'!K:K)</f>
        <v>56916.36</v>
      </c>
      <c r="Q156" s="150">
        <v>14.257999999999999</v>
      </c>
      <c r="R156" s="149">
        <v>14</v>
      </c>
      <c r="S156" s="149">
        <v>258</v>
      </c>
      <c r="T156" s="145">
        <f t="shared" si="6"/>
        <v>731093.20799999998</v>
      </c>
      <c r="U156" s="145">
        <f t="shared" si="7"/>
        <v>811513.46087999991</v>
      </c>
      <c r="V156" s="135" t="str">
        <f>VLOOKUP(K156,Sheet1!$B$5:$C$131,2,0)</f>
        <v>DYESTUFF</v>
      </c>
      <c r="W156" s="181">
        <f t="shared" si="8"/>
        <v>1.4258E-2</v>
      </c>
    </row>
    <row r="157" spans="1:23" s="139" customFormat="1">
      <c r="A157" s="146" t="s">
        <v>477</v>
      </c>
      <c r="B157" s="147" t="s">
        <v>478</v>
      </c>
      <c r="C157" s="146" t="s">
        <v>137</v>
      </c>
      <c r="D157" s="146" t="s">
        <v>138</v>
      </c>
      <c r="E157" s="146" t="s">
        <v>139</v>
      </c>
      <c r="F157" s="146" t="s">
        <v>153</v>
      </c>
      <c r="G157" s="148" t="s">
        <v>301</v>
      </c>
      <c r="H157" s="146">
        <v>0</v>
      </c>
      <c r="I157" s="146">
        <v>20</v>
      </c>
      <c r="J157" s="146" t="s">
        <v>172</v>
      </c>
      <c r="K157" s="146" t="s">
        <v>8</v>
      </c>
      <c r="L157" s="148" t="s">
        <v>3</v>
      </c>
      <c r="M157" s="146" t="s">
        <v>142</v>
      </c>
      <c r="N157" s="149">
        <v>1000</v>
      </c>
      <c r="O157" s="152">
        <f>SUMIF('GUDANG BESAR'!C:C,K:K,'GUDANG BESAR'!I:I)</f>
        <v>441045</v>
      </c>
      <c r="P157" s="153">
        <f>SUMIF('GUDANG BESAR'!C:C,K:K,'GUDANG BESAR'!K:K)</f>
        <v>489559.95</v>
      </c>
      <c r="Q157" s="150">
        <v>1.867</v>
      </c>
      <c r="R157" s="149">
        <v>1</v>
      </c>
      <c r="S157" s="149">
        <v>867</v>
      </c>
      <c r="T157" s="145">
        <f t="shared" si="6"/>
        <v>823431.01500000001</v>
      </c>
      <c r="U157" s="145">
        <f t="shared" si="7"/>
        <v>914008.42665000004</v>
      </c>
      <c r="V157" s="135" t="str">
        <f>VLOOKUP(K157,Sheet1!$B$5:$C$131,2,0)</f>
        <v>DYEING</v>
      </c>
      <c r="W157" s="181">
        <f t="shared" si="8"/>
        <v>1.867E-3</v>
      </c>
    </row>
    <row r="158" spans="1:23" s="139" customFormat="1">
      <c r="A158" s="146" t="s">
        <v>477</v>
      </c>
      <c r="B158" s="147" t="s">
        <v>478</v>
      </c>
      <c r="C158" s="146" t="s">
        <v>137</v>
      </c>
      <c r="D158" s="146" t="s">
        <v>138</v>
      </c>
      <c r="E158" s="146" t="s">
        <v>139</v>
      </c>
      <c r="F158" s="146" t="s">
        <v>140</v>
      </c>
      <c r="G158" s="148" t="s">
        <v>303</v>
      </c>
      <c r="H158" s="146">
        <v>0</v>
      </c>
      <c r="I158" s="146">
        <v>4</v>
      </c>
      <c r="J158" s="146" t="s">
        <v>143</v>
      </c>
      <c r="K158" s="146" t="s">
        <v>90</v>
      </c>
      <c r="L158" s="148" t="s">
        <v>3</v>
      </c>
      <c r="M158" s="146" t="s">
        <v>142</v>
      </c>
      <c r="N158" s="149">
        <v>1000</v>
      </c>
      <c r="O158" s="152">
        <f>SUMIF('GUDANG BESAR'!C:C,K:K,'GUDANG BESAR'!I:I)</f>
        <v>194556</v>
      </c>
      <c r="P158" s="153">
        <f>SUMIF('GUDANG BESAR'!C:C,K:K,'GUDANG BESAR'!K:K)</f>
        <v>215957.16</v>
      </c>
      <c r="Q158" s="150">
        <v>2.794</v>
      </c>
      <c r="R158" s="149">
        <v>2</v>
      </c>
      <c r="S158" s="149">
        <v>794</v>
      </c>
      <c r="T158" s="145">
        <f t="shared" si="6"/>
        <v>543589.46400000004</v>
      </c>
      <c r="U158" s="145">
        <f t="shared" si="7"/>
        <v>603384.30504000001</v>
      </c>
      <c r="V158" s="135" t="str">
        <f>VLOOKUP(K158,Sheet1!$B$5:$C$131,2,0)</f>
        <v>DYESTUFF</v>
      </c>
      <c r="W158" s="181">
        <f t="shared" si="8"/>
        <v>2.794E-3</v>
      </c>
    </row>
    <row r="159" spans="1:23" s="139" customFormat="1">
      <c r="A159" s="146" t="s">
        <v>477</v>
      </c>
      <c r="B159" s="147" t="s">
        <v>478</v>
      </c>
      <c r="C159" s="146" t="s">
        <v>137</v>
      </c>
      <c r="D159" s="146" t="s">
        <v>138</v>
      </c>
      <c r="E159" s="146" t="s">
        <v>139</v>
      </c>
      <c r="F159" s="146" t="s">
        <v>140</v>
      </c>
      <c r="G159" s="148" t="s">
        <v>303</v>
      </c>
      <c r="H159" s="146">
        <v>0</v>
      </c>
      <c r="I159" s="146">
        <v>2</v>
      </c>
      <c r="J159" s="146" t="s">
        <v>346</v>
      </c>
      <c r="K159" s="146" t="s">
        <v>343</v>
      </c>
      <c r="L159" s="148" t="s">
        <v>3</v>
      </c>
      <c r="M159" s="146" t="s">
        <v>142</v>
      </c>
      <c r="N159" s="149">
        <v>1000</v>
      </c>
      <c r="O159" s="152">
        <f>SUMIF('GUDANG BESAR'!C:C,K:K,'GUDANG BESAR'!I:I)</f>
        <v>60680</v>
      </c>
      <c r="P159" s="153">
        <f>SUMIF('GUDANG BESAR'!C:C,K:K,'GUDANG BESAR'!K:K)</f>
        <v>67354.8</v>
      </c>
      <c r="Q159" s="150">
        <v>4.5659999999999998</v>
      </c>
      <c r="R159" s="149">
        <v>4</v>
      </c>
      <c r="S159" s="149">
        <v>566</v>
      </c>
      <c r="T159" s="145">
        <f t="shared" si="6"/>
        <v>277064.88</v>
      </c>
      <c r="U159" s="145">
        <f t="shared" si="7"/>
        <v>307542.01679999998</v>
      </c>
      <c r="V159" s="135" t="str">
        <f>VLOOKUP(K159,Sheet1!$B$5:$C$131,2,0)</f>
        <v>DYESTUFF</v>
      </c>
      <c r="W159" s="181">
        <f t="shared" si="8"/>
        <v>4.5659999999999997E-3</v>
      </c>
    </row>
    <row r="160" spans="1:23" s="139" customFormat="1">
      <c r="A160" s="146" t="s">
        <v>477</v>
      </c>
      <c r="B160" s="147" t="s">
        <v>478</v>
      </c>
      <c r="C160" s="146" t="s">
        <v>137</v>
      </c>
      <c r="D160" s="146" t="s">
        <v>138</v>
      </c>
      <c r="E160" s="146" t="s">
        <v>139</v>
      </c>
      <c r="F160" s="146" t="s">
        <v>140</v>
      </c>
      <c r="G160" s="148" t="s">
        <v>303</v>
      </c>
      <c r="H160" s="146">
        <v>0</v>
      </c>
      <c r="I160" s="146">
        <v>12</v>
      </c>
      <c r="J160" s="146" t="s">
        <v>151</v>
      </c>
      <c r="K160" s="146" t="s">
        <v>28</v>
      </c>
      <c r="L160" s="148" t="s">
        <v>3</v>
      </c>
      <c r="M160" s="146" t="s">
        <v>142</v>
      </c>
      <c r="N160" s="149">
        <v>1000</v>
      </c>
      <c r="O160" s="152">
        <f>SUMIF('GUDANG BESAR'!C:C,K:K,'GUDANG BESAR'!I:I)</f>
        <v>413967</v>
      </c>
      <c r="P160" s="153">
        <f>SUMIF('GUDANG BESAR'!C:C,K:K,'GUDANG BESAR'!K:K)</f>
        <v>459503.37</v>
      </c>
      <c r="Q160" s="150">
        <v>0.13800000000000001</v>
      </c>
      <c r="R160" s="149">
        <v>0</v>
      </c>
      <c r="S160" s="149">
        <v>138</v>
      </c>
      <c r="T160" s="145">
        <f t="shared" si="6"/>
        <v>57127.446000000004</v>
      </c>
      <c r="U160" s="145">
        <f t="shared" si="7"/>
        <v>63411.465060000002</v>
      </c>
      <c r="V160" s="135" t="str">
        <f>VLOOKUP(K160,Sheet1!$B$5:$C$131,2,0)</f>
        <v>DYESTUFF</v>
      </c>
      <c r="W160" s="181">
        <f t="shared" si="8"/>
        <v>1.3800000000000002E-4</v>
      </c>
    </row>
    <row r="161" spans="1:23" s="139" customFormat="1">
      <c r="A161" s="146" t="s">
        <v>477</v>
      </c>
      <c r="B161" s="147" t="s">
        <v>478</v>
      </c>
      <c r="C161" s="146" t="s">
        <v>137</v>
      </c>
      <c r="D161" s="146" t="s">
        <v>138</v>
      </c>
      <c r="E161" s="146" t="s">
        <v>139</v>
      </c>
      <c r="F161" s="146" t="s">
        <v>140</v>
      </c>
      <c r="G161" s="148" t="s">
        <v>303</v>
      </c>
      <c r="H161" s="146">
        <v>0</v>
      </c>
      <c r="I161" s="146">
        <v>3</v>
      </c>
      <c r="J161" s="146" t="s">
        <v>169</v>
      </c>
      <c r="K161" s="146" t="s">
        <v>64</v>
      </c>
      <c r="L161" s="148" t="s">
        <v>3</v>
      </c>
      <c r="M161" s="146" t="s">
        <v>142</v>
      </c>
      <c r="N161" s="149">
        <v>1000</v>
      </c>
      <c r="O161" s="152">
        <f>SUMIF('GUDANG BESAR'!C:C,K:K,'GUDANG BESAR'!I:I)</f>
        <v>506080</v>
      </c>
      <c r="P161" s="153">
        <f>SUMIF('GUDANG BESAR'!C:C,K:K,'GUDANG BESAR'!K:K)</f>
        <v>561748.80000000005</v>
      </c>
      <c r="Q161" s="150">
        <v>4.3999999999999997E-2</v>
      </c>
      <c r="R161" s="149">
        <v>0</v>
      </c>
      <c r="S161" s="149">
        <v>44</v>
      </c>
      <c r="T161" s="145">
        <f t="shared" si="6"/>
        <v>22267.52</v>
      </c>
      <c r="U161" s="145">
        <f t="shared" si="7"/>
        <v>24716.947200000002</v>
      </c>
      <c r="V161" s="135" t="str">
        <f>VLOOKUP(K161,Sheet1!$B$5:$C$131,2,0)</f>
        <v>DYESTUFF</v>
      </c>
      <c r="W161" s="181">
        <f t="shared" si="8"/>
        <v>4.3999999999999999E-5</v>
      </c>
    </row>
    <row r="162" spans="1:23" s="139" customFormat="1">
      <c r="A162" s="146" t="s">
        <v>477</v>
      </c>
      <c r="B162" s="147" t="s">
        <v>478</v>
      </c>
      <c r="C162" s="146" t="s">
        <v>137</v>
      </c>
      <c r="D162" s="146" t="s">
        <v>138</v>
      </c>
      <c r="E162" s="146" t="s">
        <v>139</v>
      </c>
      <c r="F162" s="146" t="s">
        <v>140</v>
      </c>
      <c r="G162" s="148" t="s">
        <v>303</v>
      </c>
      <c r="H162" s="146">
        <v>0</v>
      </c>
      <c r="I162" s="146">
        <v>5</v>
      </c>
      <c r="J162" s="146" t="s">
        <v>250</v>
      </c>
      <c r="K162" s="146" t="s">
        <v>38</v>
      </c>
      <c r="L162" s="148" t="s">
        <v>3</v>
      </c>
      <c r="M162" s="146" t="s">
        <v>142</v>
      </c>
      <c r="N162" s="149">
        <v>1000</v>
      </c>
      <c r="O162" s="152">
        <f>SUMIF('GUDANG BESAR'!C:C,K:K,'GUDANG BESAR'!I:I)</f>
        <v>366255</v>
      </c>
      <c r="P162" s="153">
        <f>SUMIF('GUDANG BESAR'!C:C,K:K,'GUDANG BESAR'!K:K)</f>
        <v>406543.05</v>
      </c>
      <c r="Q162" s="150">
        <v>2.1549999999999998</v>
      </c>
      <c r="R162" s="149">
        <v>2</v>
      </c>
      <c r="S162" s="149">
        <v>155</v>
      </c>
      <c r="T162" s="145">
        <f t="shared" si="6"/>
        <v>789279.52499999991</v>
      </c>
      <c r="U162" s="145">
        <f t="shared" si="7"/>
        <v>876100.27274999989</v>
      </c>
      <c r="V162" s="135" t="str">
        <f>VLOOKUP(K162,Sheet1!$B$5:$C$131,2,0)</f>
        <v>DYESTUFF</v>
      </c>
      <c r="W162" s="181">
        <f t="shared" si="8"/>
        <v>2.1549999999999998E-3</v>
      </c>
    </row>
    <row r="163" spans="1:23" s="139" customFormat="1">
      <c r="A163" s="146" t="s">
        <v>477</v>
      </c>
      <c r="B163" s="147" t="s">
        <v>478</v>
      </c>
      <c r="C163" s="146" t="s">
        <v>137</v>
      </c>
      <c r="D163" s="146" t="s">
        <v>138</v>
      </c>
      <c r="E163" s="146" t="s">
        <v>139</v>
      </c>
      <c r="F163" s="146" t="s">
        <v>140</v>
      </c>
      <c r="G163" s="148" t="s">
        <v>303</v>
      </c>
      <c r="H163" s="146">
        <v>0</v>
      </c>
      <c r="I163" s="146">
        <v>6</v>
      </c>
      <c r="J163" s="146" t="s">
        <v>144</v>
      </c>
      <c r="K163" s="146" t="s">
        <v>26</v>
      </c>
      <c r="L163" s="148" t="s">
        <v>3</v>
      </c>
      <c r="M163" s="146" t="s">
        <v>142</v>
      </c>
      <c r="N163" s="149">
        <v>1000</v>
      </c>
      <c r="O163" s="152">
        <f>SUMIF('GUDANG BESAR'!C:C,K:K,'GUDANG BESAR'!I:I)</f>
        <v>52016</v>
      </c>
      <c r="P163" s="153">
        <f>SUMIF('GUDANG BESAR'!C:C,K:K,'GUDANG BESAR'!K:K)</f>
        <v>57737.760000000002</v>
      </c>
      <c r="Q163" s="150">
        <v>9.1449999999999996</v>
      </c>
      <c r="R163" s="149">
        <v>9</v>
      </c>
      <c r="S163" s="149">
        <v>145</v>
      </c>
      <c r="T163" s="145">
        <f t="shared" si="6"/>
        <v>475686.31999999995</v>
      </c>
      <c r="U163" s="145">
        <f t="shared" si="7"/>
        <v>528011.81519999995</v>
      </c>
      <c r="V163" s="135" t="str">
        <f>VLOOKUP(K163,Sheet1!$B$5:$C$131,2,0)</f>
        <v>DYESTUFF</v>
      </c>
      <c r="W163" s="181">
        <f t="shared" si="8"/>
        <v>9.1450000000000004E-3</v>
      </c>
    </row>
    <row r="164" spans="1:23" s="139" customFormat="1">
      <c r="A164" s="146" t="s">
        <v>477</v>
      </c>
      <c r="B164" s="147" t="s">
        <v>478</v>
      </c>
      <c r="C164" s="146" t="s">
        <v>137</v>
      </c>
      <c r="D164" s="146" t="s">
        <v>138</v>
      </c>
      <c r="E164" s="146" t="s">
        <v>139</v>
      </c>
      <c r="F164" s="146" t="s">
        <v>140</v>
      </c>
      <c r="G164" s="148" t="s">
        <v>303</v>
      </c>
      <c r="H164" s="146">
        <v>0</v>
      </c>
      <c r="I164" s="146">
        <v>7</v>
      </c>
      <c r="J164" s="146" t="s">
        <v>145</v>
      </c>
      <c r="K164" s="146" t="s">
        <v>27</v>
      </c>
      <c r="L164" s="148" t="s">
        <v>3</v>
      </c>
      <c r="M164" s="146" t="s">
        <v>142</v>
      </c>
      <c r="N164" s="149">
        <v>1000</v>
      </c>
      <c r="O164" s="152">
        <f>SUMIF('GUDANG BESAR'!C:C,K:K,'GUDANG BESAR'!I:I)</f>
        <v>71148</v>
      </c>
      <c r="P164" s="153">
        <f>SUMIF('GUDANG BESAR'!C:C,K:K,'GUDANG BESAR'!K:K)</f>
        <v>78974.28</v>
      </c>
      <c r="Q164" s="150">
        <v>7.6740000000000004</v>
      </c>
      <c r="R164" s="149">
        <v>7</v>
      </c>
      <c r="S164" s="149">
        <v>674</v>
      </c>
      <c r="T164" s="145">
        <f t="shared" si="6"/>
        <v>545989.75199999998</v>
      </c>
      <c r="U164" s="145">
        <f t="shared" si="7"/>
        <v>606048.62471999996</v>
      </c>
      <c r="V164" s="135" t="str">
        <f>VLOOKUP(K164,Sheet1!$B$5:$C$131,2,0)</f>
        <v>DYESTUFF</v>
      </c>
      <c r="W164" s="181">
        <f t="shared" si="8"/>
        <v>7.6740000000000003E-3</v>
      </c>
    </row>
    <row r="165" spans="1:23" s="139" customFormat="1">
      <c r="A165" s="146" t="s">
        <v>477</v>
      </c>
      <c r="B165" s="147" t="s">
        <v>478</v>
      </c>
      <c r="C165" s="146" t="s">
        <v>137</v>
      </c>
      <c r="D165" s="146" t="s">
        <v>138</v>
      </c>
      <c r="E165" s="146" t="s">
        <v>139</v>
      </c>
      <c r="F165" s="146" t="s">
        <v>153</v>
      </c>
      <c r="G165" s="148" t="s">
        <v>301</v>
      </c>
      <c r="H165" s="146">
        <v>0</v>
      </c>
      <c r="I165" s="146">
        <v>19</v>
      </c>
      <c r="J165" s="146" t="s">
        <v>173</v>
      </c>
      <c r="K165" s="146" t="s">
        <v>9</v>
      </c>
      <c r="L165" s="148" t="s">
        <v>3</v>
      </c>
      <c r="M165" s="146" t="s">
        <v>142</v>
      </c>
      <c r="N165" s="149">
        <v>1000</v>
      </c>
      <c r="O165" s="152">
        <f>SUMIF('GUDANG BESAR'!C:C,K:K,'GUDANG BESAR'!I:I)</f>
        <v>294030</v>
      </c>
      <c r="P165" s="153">
        <f>SUMIF('GUDANG BESAR'!C:C,K:K,'GUDANG BESAR'!K:K)</f>
        <v>326373.3</v>
      </c>
      <c r="Q165" s="150">
        <v>1.1279999999999999</v>
      </c>
      <c r="R165" s="149">
        <v>1</v>
      </c>
      <c r="S165" s="149">
        <v>128</v>
      </c>
      <c r="T165" s="145">
        <f t="shared" si="6"/>
        <v>331665.83999999997</v>
      </c>
      <c r="U165" s="145">
        <f t="shared" si="7"/>
        <v>368149.08239999996</v>
      </c>
      <c r="V165" s="135" t="str">
        <f>VLOOKUP(K165,Sheet1!$B$5:$C$131,2,0)</f>
        <v>DYEING</v>
      </c>
      <c r="W165" s="181">
        <f t="shared" si="8"/>
        <v>1.1279999999999999E-3</v>
      </c>
    </row>
    <row r="166" spans="1:23" s="139" customFormat="1">
      <c r="A166" s="146" t="s">
        <v>477</v>
      </c>
      <c r="B166" s="147" t="s">
        <v>478</v>
      </c>
      <c r="C166" s="146" t="s">
        <v>137</v>
      </c>
      <c r="D166" s="146" t="s">
        <v>138</v>
      </c>
      <c r="E166" s="146" t="s">
        <v>139</v>
      </c>
      <c r="F166" s="146" t="s">
        <v>140</v>
      </c>
      <c r="G166" s="148" t="s">
        <v>303</v>
      </c>
      <c r="H166" s="146">
        <v>0</v>
      </c>
      <c r="I166" s="146">
        <v>8</v>
      </c>
      <c r="J166" s="146" t="s">
        <v>171</v>
      </c>
      <c r="K166" s="146" t="s">
        <v>102</v>
      </c>
      <c r="L166" s="148" t="s">
        <v>3</v>
      </c>
      <c r="M166" s="146" t="s">
        <v>142</v>
      </c>
      <c r="N166" s="149">
        <v>1000</v>
      </c>
      <c r="O166" s="152">
        <f>SUMIF('GUDANG BESAR'!C:C,K:K,'GUDANG BESAR'!I:I)</f>
        <v>385283</v>
      </c>
      <c r="P166" s="153">
        <f>SUMIF('GUDANG BESAR'!C:C,K:K,'GUDANG BESAR'!K:K)</f>
        <v>427664.13</v>
      </c>
      <c r="Q166" s="150">
        <v>3.2000000000000001E-2</v>
      </c>
      <c r="R166" s="149">
        <v>0</v>
      </c>
      <c r="S166" s="149">
        <v>32</v>
      </c>
      <c r="T166" s="145">
        <f t="shared" si="6"/>
        <v>12329.056</v>
      </c>
      <c r="U166" s="145">
        <f t="shared" si="7"/>
        <v>13685.25216</v>
      </c>
      <c r="V166" s="135" t="str">
        <f>VLOOKUP(K166,Sheet1!$B$5:$C$131,2,0)</f>
        <v>DYESTUFF</v>
      </c>
      <c r="W166" s="181">
        <f t="shared" si="8"/>
        <v>3.1999999999999999E-5</v>
      </c>
    </row>
    <row r="167" spans="1:23" s="139" customFormat="1">
      <c r="A167" s="146" t="s">
        <v>477</v>
      </c>
      <c r="B167" s="147" t="s">
        <v>478</v>
      </c>
      <c r="C167" s="146" t="s">
        <v>137</v>
      </c>
      <c r="D167" s="146" t="s">
        <v>138</v>
      </c>
      <c r="E167" s="146" t="s">
        <v>139</v>
      </c>
      <c r="F167" s="146" t="s">
        <v>140</v>
      </c>
      <c r="G167" s="148" t="s">
        <v>303</v>
      </c>
      <c r="H167" s="146">
        <v>0</v>
      </c>
      <c r="I167" s="146">
        <v>9</v>
      </c>
      <c r="J167" s="146" t="s">
        <v>376</v>
      </c>
      <c r="K167" s="146" t="s">
        <v>11</v>
      </c>
      <c r="L167" s="148" t="s">
        <v>3</v>
      </c>
      <c r="M167" s="146" t="s">
        <v>142</v>
      </c>
      <c r="N167" s="149">
        <v>1000</v>
      </c>
      <c r="O167" s="152">
        <f>SUMIF('GUDANG BESAR'!C:C,K:K,'GUDANG BESAR'!I:I)</f>
        <v>270075</v>
      </c>
      <c r="P167" s="153">
        <f>SUMIF('GUDANG BESAR'!C:C,K:K,'GUDANG BESAR'!K:K)</f>
        <v>299783.25</v>
      </c>
      <c r="Q167" s="150">
        <v>2.3E-2</v>
      </c>
      <c r="R167" s="149">
        <v>0</v>
      </c>
      <c r="S167" s="149">
        <v>23</v>
      </c>
      <c r="T167" s="145">
        <f t="shared" si="6"/>
        <v>6211.7249999999995</v>
      </c>
      <c r="U167" s="145">
        <f t="shared" si="7"/>
        <v>6895.0147500000003</v>
      </c>
      <c r="V167" s="135" t="str">
        <f>VLOOKUP(K167,Sheet1!$B$5:$C$131,2,0)</f>
        <v>DYESTUFF</v>
      </c>
      <c r="W167" s="181">
        <f t="shared" si="8"/>
        <v>2.3E-5</v>
      </c>
    </row>
    <row r="168" spans="1:23" s="139" customFormat="1">
      <c r="A168" s="146" t="s">
        <v>477</v>
      </c>
      <c r="B168" s="147" t="s">
        <v>478</v>
      </c>
      <c r="C168" s="146" t="s">
        <v>137</v>
      </c>
      <c r="D168" s="146" t="s">
        <v>138</v>
      </c>
      <c r="E168" s="146" t="s">
        <v>139</v>
      </c>
      <c r="F168" s="146" t="s">
        <v>140</v>
      </c>
      <c r="G168" s="148" t="s">
        <v>303</v>
      </c>
      <c r="H168" s="146">
        <v>0</v>
      </c>
      <c r="I168" s="146">
        <v>10</v>
      </c>
      <c r="J168" s="146" t="s">
        <v>146</v>
      </c>
      <c r="K168" s="146" t="s">
        <v>46</v>
      </c>
      <c r="L168" s="148" t="s">
        <v>3</v>
      </c>
      <c r="M168" s="146" t="s">
        <v>142</v>
      </c>
      <c r="N168" s="149">
        <v>1000</v>
      </c>
      <c r="O168" s="152">
        <f>SUMIF('GUDANG BESAR'!C:C,K:K,'GUDANG BESAR'!I:I)</f>
        <v>100812</v>
      </c>
      <c r="P168" s="153">
        <f>SUMIF('GUDANG BESAR'!C:C,K:K,'GUDANG BESAR'!K:K)</f>
        <v>111901.32</v>
      </c>
      <c r="Q168" s="150">
        <v>0.997</v>
      </c>
      <c r="R168" s="149">
        <v>0</v>
      </c>
      <c r="S168" s="149">
        <v>997</v>
      </c>
      <c r="T168" s="145">
        <f t="shared" si="6"/>
        <v>100509.564</v>
      </c>
      <c r="U168" s="145">
        <f t="shared" si="7"/>
        <v>111565.61604000001</v>
      </c>
      <c r="V168" s="135" t="str">
        <f>VLOOKUP(K168,Sheet1!$B$5:$C$131,2,0)</f>
        <v>DYESTUFF</v>
      </c>
      <c r="W168" s="181">
        <f t="shared" si="8"/>
        <v>9.9700000000000006E-4</v>
      </c>
    </row>
    <row r="169" spans="1:23" s="139" customFormat="1">
      <c r="A169" s="146" t="s">
        <v>477</v>
      </c>
      <c r="B169" s="147" t="s">
        <v>478</v>
      </c>
      <c r="C169" s="146" t="s">
        <v>137</v>
      </c>
      <c r="D169" s="146" t="s">
        <v>138</v>
      </c>
      <c r="E169" s="146" t="s">
        <v>139</v>
      </c>
      <c r="F169" s="146" t="s">
        <v>140</v>
      </c>
      <c r="G169" s="148" t="s">
        <v>303</v>
      </c>
      <c r="H169" s="146">
        <v>0</v>
      </c>
      <c r="I169" s="146">
        <v>11</v>
      </c>
      <c r="J169" s="146" t="s">
        <v>147</v>
      </c>
      <c r="K169" s="146" t="s">
        <v>41</v>
      </c>
      <c r="L169" s="148" t="s">
        <v>3</v>
      </c>
      <c r="M169" s="146" t="s">
        <v>142</v>
      </c>
      <c r="N169" s="149">
        <v>1000</v>
      </c>
      <c r="O169" s="152">
        <f>SUMIF('GUDANG BESAR'!C:C,K:K,'GUDANG BESAR'!I:I)</f>
        <v>54071</v>
      </c>
      <c r="P169" s="153">
        <f>SUMIF('GUDANG BESAR'!C:C,K:K,'GUDANG BESAR'!K:K)</f>
        <v>60018.81</v>
      </c>
      <c r="Q169" s="150">
        <v>1.869</v>
      </c>
      <c r="R169" s="149">
        <v>1</v>
      </c>
      <c r="S169" s="149">
        <v>869</v>
      </c>
      <c r="T169" s="145">
        <f t="shared" si="6"/>
        <v>101058.69899999999</v>
      </c>
      <c r="U169" s="145">
        <f t="shared" si="7"/>
        <v>112175.15588999999</v>
      </c>
      <c r="V169" s="135" t="str">
        <f>VLOOKUP(K169,Sheet1!$B$5:$C$131,2,0)</f>
        <v>DYESTUFF</v>
      </c>
      <c r="W169" s="181">
        <f t="shared" si="8"/>
        <v>1.869E-3</v>
      </c>
    </row>
    <row r="170" spans="1:23" s="139" customFormat="1">
      <c r="A170" s="146" t="s">
        <v>477</v>
      </c>
      <c r="B170" s="147" t="s">
        <v>478</v>
      </c>
      <c r="C170" s="146" t="s">
        <v>137</v>
      </c>
      <c r="D170" s="146" t="s">
        <v>138</v>
      </c>
      <c r="E170" s="146" t="s">
        <v>139</v>
      </c>
      <c r="F170" s="146" t="s">
        <v>140</v>
      </c>
      <c r="G170" s="148" t="s">
        <v>303</v>
      </c>
      <c r="H170" s="146">
        <v>0</v>
      </c>
      <c r="I170" s="146">
        <v>13</v>
      </c>
      <c r="J170" s="146" t="s">
        <v>170</v>
      </c>
      <c r="K170" s="146" t="s">
        <v>29</v>
      </c>
      <c r="L170" s="148" t="s">
        <v>3</v>
      </c>
      <c r="M170" s="146" t="s">
        <v>142</v>
      </c>
      <c r="N170" s="149">
        <v>1000</v>
      </c>
      <c r="O170" s="152">
        <f>SUMIF('GUDANG BESAR'!C:C,K:K,'GUDANG BESAR'!I:I)</f>
        <v>100590</v>
      </c>
      <c r="P170" s="153">
        <f>SUMIF('GUDANG BESAR'!C:C,K:K,'GUDANG BESAR'!K:K)</f>
        <v>111654.9</v>
      </c>
      <c r="Q170" s="150">
        <v>0.9</v>
      </c>
      <c r="R170" s="149">
        <v>0</v>
      </c>
      <c r="S170" s="149">
        <v>900</v>
      </c>
      <c r="T170" s="145">
        <f t="shared" si="6"/>
        <v>90531</v>
      </c>
      <c r="U170" s="145">
        <f t="shared" si="7"/>
        <v>100489.41</v>
      </c>
      <c r="V170" s="135" t="str">
        <f>VLOOKUP(K170,Sheet1!$B$5:$C$131,2,0)</f>
        <v>DYESTUFF</v>
      </c>
      <c r="W170" s="181">
        <f t="shared" si="8"/>
        <v>8.9999999999999998E-4</v>
      </c>
    </row>
    <row r="171" spans="1:23" s="139" customFormat="1">
      <c r="A171" s="146" t="s">
        <v>477</v>
      </c>
      <c r="B171" s="147" t="s">
        <v>478</v>
      </c>
      <c r="C171" s="146" t="s">
        <v>137</v>
      </c>
      <c r="D171" s="146" t="s">
        <v>138</v>
      </c>
      <c r="E171" s="146" t="s">
        <v>139</v>
      </c>
      <c r="F171" s="146" t="s">
        <v>140</v>
      </c>
      <c r="G171" s="148" t="s">
        <v>303</v>
      </c>
      <c r="H171" s="146">
        <v>0</v>
      </c>
      <c r="I171" s="146">
        <v>14</v>
      </c>
      <c r="J171" s="146" t="s">
        <v>148</v>
      </c>
      <c r="K171" s="146" t="s">
        <v>30</v>
      </c>
      <c r="L171" s="148" t="s">
        <v>3</v>
      </c>
      <c r="M171" s="146" t="s">
        <v>142</v>
      </c>
      <c r="N171" s="149">
        <v>1000</v>
      </c>
      <c r="O171" s="152">
        <f>SUMIF('GUDANG BESAR'!C:C,K:K,'GUDANG BESAR'!I:I)</f>
        <v>77089.399999999994</v>
      </c>
      <c r="P171" s="153">
        <f>SUMIF('GUDANG BESAR'!C:C,K:K,'GUDANG BESAR'!K:K)</f>
        <v>85569.233999999997</v>
      </c>
      <c r="Q171" s="150">
        <v>25.425999999999998</v>
      </c>
      <c r="R171" s="149">
        <v>25</v>
      </c>
      <c r="S171" s="149">
        <v>426</v>
      </c>
      <c r="T171" s="145">
        <f t="shared" si="6"/>
        <v>1960075.0843999998</v>
      </c>
      <c r="U171" s="145">
        <f t="shared" si="7"/>
        <v>2175683.343684</v>
      </c>
      <c r="V171" s="135" t="str">
        <f>VLOOKUP(K171,Sheet1!$B$5:$C$131,2,0)</f>
        <v>DYESTUFF</v>
      </c>
      <c r="W171" s="181">
        <f t="shared" si="8"/>
        <v>2.5425999999999997E-2</v>
      </c>
    </row>
    <row r="172" spans="1:23" s="139" customFormat="1">
      <c r="A172" s="146" t="s">
        <v>477</v>
      </c>
      <c r="B172" s="147" t="s">
        <v>478</v>
      </c>
      <c r="C172" s="146" t="s">
        <v>137</v>
      </c>
      <c r="D172" s="146" t="s">
        <v>138</v>
      </c>
      <c r="E172" s="146" t="s">
        <v>139</v>
      </c>
      <c r="F172" s="146" t="s">
        <v>153</v>
      </c>
      <c r="G172" s="148" t="s">
        <v>301</v>
      </c>
      <c r="H172" s="146">
        <v>0</v>
      </c>
      <c r="I172" s="146">
        <v>18</v>
      </c>
      <c r="J172" s="146" t="s">
        <v>174</v>
      </c>
      <c r="K172" s="146" t="s">
        <v>13</v>
      </c>
      <c r="L172" s="148" t="s">
        <v>3</v>
      </c>
      <c r="M172" s="146" t="s">
        <v>142</v>
      </c>
      <c r="N172" s="149">
        <v>1000</v>
      </c>
      <c r="O172" s="152">
        <f>SUMIF('GUDANG BESAR'!C:C,K:K,'GUDANG BESAR'!I:I)</f>
        <v>262320</v>
      </c>
      <c r="P172" s="153">
        <f>SUMIF('GUDANG BESAR'!C:C,K:K,'GUDANG BESAR'!K:K)</f>
        <v>291175.2</v>
      </c>
      <c r="Q172" s="150">
        <v>0.40100000000000002</v>
      </c>
      <c r="R172" s="149">
        <v>0</v>
      </c>
      <c r="S172" s="149">
        <v>401</v>
      </c>
      <c r="T172" s="145">
        <f t="shared" si="6"/>
        <v>105190.32</v>
      </c>
      <c r="U172" s="145">
        <f t="shared" si="7"/>
        <v>116761.25520000001</v>
      </c>
      <c r="V172" s="135" t="str">
        <f>VLOOKUP(K172,Sheet1!$B$5:$C$131,2,0)</f>
        <v>DYEING</v>
      </c>
      <c r="W172" s="181">
        <f t="shared" si="8"/>
        <v>4.0100000000000004E-4</v>
      </c>
    </row>
    <row r="173" spans="1:23" s="139" customFormat="1">
      <c r="A173" s="146" t="s">
        <v>477</v>
      </c>
      <c r="B173" s="147" t="s">
        <v>478</v>
      </c>
      <c r="C173" s="146" t="s">
        <v>137</v>
      </c>
      <c r="D173" s="146" t="s">
        <v>138</v>
      </c>
      <c r="E173" s="146" t="s">
        <v>139</v>
      </c>
      <c r="F173" s="146" t="s">
        <v>162</v>
      </c>
      <c r="G173" s="148" t="s">
        <v>214</v>
      </c>
      <c r="H173" s="146">
        <v>0</v>
      </c>
      <c r="I173" s="146">
        <v>33</v>
      </c>
      <c r="J173" s="146" t="s">
        <v>163</v>
      </c>
      <c r="K173" s="146" t="s">
        <v>14</v>
      </c>
      <c r="L173" s="148" t="s">
        <v>3</v>
      </c>
      <c r="M173" s="146" t="s">
        <v>142</v>
      </c>
      <c r="N173" s="149">
        <v>1000</v>
      </c>
      <c r="O173" s="152">
        <f>SUMIF('GUDANG BESAR'!C:C,K:K,'GUDANG BESAR'!I:I)</f>
        <v>30500</v>
      </c>
      <c r="P173" s="153">
        <f>SUMIF('GUDANG BESAR'!C:C,K:K,'GUDANG BESAR'!K:K)</f>
        <v>33855</v>
      </c>
      <c r="Q173" s="150">
        <v>30</v>
      </c>
      <c r="R173" s="149">
        <v>30</v>
      </c>
      <c r="S173" s="149">
        <v>0</v>
      </c>
      <c r="T173" s="145">
        <f t="shared" si="6"/>
        <v>915000</v>
      </c>
      <c r="U173" s="145">
        <f t="shared" si="7"/>
        <v>1015650</v>
      </c>
      <c r="V173" s="135" t="str">
        <f>VLOOKUP(K173,Sheet1!$B$5:$C$131,2,0)</f>
        <v>LIMBAH</v>
      </c>
      <c r="W173" s="181">
        <f t="shared" si="8"/>
        <v>0.03</v>
      </c>
    </row>
    <row r="174" spans="1:23" s="139" customFormat="1">
      <c r="A174" s="146" t="s">
        <v>477</v>
      </c>
      <c r="B174" s="147" t="s">
        <v>478</v>
      </c>
      <c r="C174" s="146" t="s">
        <v>137</v>
      </c>
      <c r="D174" s="146" t="s">
        <v>138</v>
      </c>
      <c r="E174" s="146" t="s">
        <v>139</v>
      </c>
      <c r="F174" s="146" t="s">
        <v>166</v>
      </c>
      <c r="G174" s="148" t="s">
        <v>336</v>
      </c>
      <c r="H174" s="146">
        <v>0</v>
      </c>
      <c r="I174" s="146">
        <v>21</v>
      </c>
      <c r="J174" s="146" t="s">
        <v>318</v>
      </c>
      <c r="K174" s="146" t="s">
        <v>56</v>
      </c>
      <c r="L174" s="148" t="s">
        <v>3</v>
      </c>
      <c r="M174" s="146" t="s">
        <v>142</v>
      </c>
      <c r="N174" s="149">
        <v>1000</v>
      </c>
      <c r="O174" s="152">
        <f>SUMIF('GUDANG BESAR'!C:C,K:K,'GUDANG BESAR'!I:I)</f>
        <v>75000</v>
      </c>
      <c r="P174" s="153">
        <f>SUMIF('GUDANG BESAR'!C:C,K:K,'GUDANG BESAR'!K:K)</f>
        <v>83250</v>
      </c>
      <c r="Q174" s="150">
        <v>25</v>
      </c>
      <c r="R174" s="149">
        <v>25</v>
      </c>
      <c r="S174" s="149">
        <v>0</v>
      </c>
      <c r="T174" s="145">
        <f t="shared" si="6"/>
        <v>1875000</v>
      </c>
      <c r="U174" s="145">
        <f t="shared" si="7"/>
        <v>2081250</v>
      </c>
      <c r="V174" s="135" t="str">
        <f>VLOOKUP(K174,Sheet1!$B$5:$C$131,2,0)</f>
        <v>ENGGRAVING</v>
      </c>
      <c r="W174" s="181">
        <f t="shared" si="8"/>
        <v>2.5000000000000001E-2</v>
      </c>
    </row>
    <row r="175" spans="1:23" s="139" customFormat="1">
      <c r="A175" s="146" t="s">
        <v>477</v>
      </c>
      <c r="B175" s="147" t="s">
        <v>478</v>
      </c>
      <c r="C175" s="146" t="s">
        <v>137</v>
      </c>
      <c r="D175" s="146" t="s">
        <v>138</v>
      </c>
      <c r="E175" s="146" t="s">
        <v>139</v>
      </c>
      <c r="F175" s="146" t="s">
        <v>140</v>
      </c>
      <c r="G175" s="148" t="s">
        <v>300</v>
      </c>
      <c r="H175" s="146">
        <v>0</v>
      </c>
      <c r="I175" s="146">
        <v>34</v>
      </c>
      <c r="J175" s="146" t="s">
        <v>314</v>
      </c>
      <c r="K175" s="146" t="s">
        <v>281</v>
      </c>
      <c r="L175" s="148" t="s">
        <v>3</v>
      </c>
      <c r="M175" s="146" t="s">
        <v>142</v>
      </c>
      <c r="N175" s="149">
        <v>1000</v>
      </c>
      <c r="O175" s="152">
        <f>SUMIF('GUDANG BESAR'!C:C,K:K,'GUDANG BESAR'!I:I)</f>
        <v>23590.51</v>
      </c>
      <c r="P175" s="153">
        <f>SUMIF('GUDANG BESAR'!C:C,K:K,'GUDANG BESAR'!K:K)</f>
        <v>26185.466099999998</v>
      </c>
      <c r="Q175" s="150">
        <v>180</v>
      </c>
      <c r="R175" s="149">
        <v>180</v>
      </c>
      <c r="S175" s="149">
        <v>0</v>
      </c>
      <c r="T175" s="145">
        <f t="shared" si="6"/>
        <v>4246291.8</v>
      </c>
      <c r="U175" s="145">
        <f t="shared" si="7"/>
        <v>4713383.898</v>
      </c>
      <c r="V175" s="135" t="str">
        <f>VLOOKUP(K175,Sheet1!$B$5:$C$131,2,0)</f>
        <v>CK</v>
      </c>
      <c r="W175" s="181">
        <f t="shared" si="8"/>
        <v>0.18</v>
      </c>
    </row>
    <row r="176" spans="1:23" s="139" customFormat="1">
      <c r="A176" s="146" t="s">
        <v>477</v>
      </c>
      <c r="B176" s="147" t="s">
        <v>478</v>
      </c>
      <c r="C176" s="146" t="s">
        <v>137</v>
      </c>
      <c r="D176" s="146" t="s">
        <v>138</v>
      </c>
      <c r="E176" s="146" t="s">
        <v>139</v>
      </c>
      <c r="F176" s="146" t="s">
        <v>162</v>
      </c>
      <c r="G176" s="148" t="s">
        <v>214</v>
      </c>
      <c r="H176" s="146">
        <v>0</v>
      </c>
      <c r="I176" s="146">
        <v>28</v>
      </c>
      <c r="J176" s="146" t="s">
        <v>377</v>
      </c>
      <c r="K176" s="146" t="s">
        <v>372</v>
      </c>
      <c r="L176" s="148" t="s">
        <v>3</v>
      </c>
      <c r="M176" s="146" t="s">
        <v>142</v>
      </c>
      <c r="N176" s="149">
        <v>1000</v>
      </c>
      <c r="O176" s="152">
        <f>SUMIF('GUDANG BESAR'!C:C,K:K,'GUDANG BESAR'!I:I)</f>
        <v>5500</v>
      </c>
      <c r="P176" s="153">
        <f>SUMIF('GUDANG BESAR'!C:C,K:K,'GUDANG BESAR'!K:K)</f>
        <v>6105</v>
      </c>
      <c r="Q176" s="150">
        <v>500</v>
      </c>
      <c r="R176" s="149">
        <v>500</v>
      </c>
      <c r="S176" s="149">
        <v>0</v>
      </c>
      <c r="T176" s="145">
        <f t="shared" si="6"/>
        <v>2750000</v>
      </c>
      <c r="U176" s="145">
        <f t="shared" si="7"/>
        <v>3052500</v>
      </c>
      <c r="V176" s="135" t="str">
        <f>VLOOKUP(K176,Sheet1!$B$5:$C$131,2,0)</f>
        <v>LIMBAH</v>
      </c>
      <c r="W176" s="181">
        <f t="shared" si="8"/>
        <v>0.5</v>
      </c>
    </row>
    <row r="177" spans="1:23" s="139" customFormat="1">
      <c r="A177" s="146" t="s">
        <v>477</v>
      </c>
      <c r="B177" s="147" t="s">
        <v>478</v>
      </c>
      <c r="C177" s="146" t="s">
        <v>137</v>
      </c>
      <c r="D177" s="146" t="s">
        <v>138</v>
      </c>
      <c r="E177" s="146" t="s">
        <v>139</v>
      </c>
      <c r="F177" s="146" t="s">
        <v>166</v>
      </c>
      <c r="G177" s="148" t="s">
        <v>336</v>
      </c>
      <c r="H177" s="146">
        <v>0</v>
      </c>
      <c r="I177" s="146">
        <v>22</v>
      </c>
      <c r="J177" s="146" t="s">
        <v>306</v>
      </c>
      <c r="K177" s="146" t="s">
        <v>52</v>
      </c>
      <c r="L177" s="148" t="s">
        <v>3</v>
      </c>
      <c r="M177" s="146" t="s">
        <v>142</v>
      </c>
      <c r="N177" s="149">
        <v>1000</v>
      </c>
      <c r="O177" s="152">
        <f>SUMIF('GUDANG BESAR'!C:C,K:K,'GUDANG BESAR'!I:I)</f>
        <v>17000</v>
      </c>
      <c r="P177" s="153">
        <f>SUMIF('GUDANG BESAR'!C:C,K:K,'GUDANG BESAR'!K:K)</f>
        <v>18870</v>
      </c>
      <c r="Q177" s="150">
        <v>300</v>
      </c>
      <c r="R177" s="149">
        <v>300</v>
      </c>
      <c r="S177" s="149">
        <v>0</v>
      </c>
      <c r="T177" s="145">
        <f t="shared" si="6"/>
        <v>5100000</v>
      </c>
      <c r="U177" s="145">
        <f t="shared" si="7"/>
        <v>5661000</v>
      </c>
      <c r="V177" s="135" t="str">
        <f>VLOOKUP(K177,Sheet1!$B$5:$C$131,2,0)</f>
        <v>ENGGRAVING</v>
      </c>
      <c r="W177" s="181">
        <f t="shared" si="8"/>
        <v>0.3</v>
      </c>
    </row>
    <row r="178" spans="1:23" s="139" customFormat="1">
      <c r="A178" s="146" t="s">
        <v>477</v>
      </c>
      <c r="B178" s="147" t="s">
        <v>478</v>
      </c>
      <c r="C178" s="146" t="s">
        <v>137</v>
      </c>
      <c r="D178" s="146" t="s">
        <v>138</v>
      </c>
      <c r="E178" s="146" t="s">
        <v>139</v>
      </c>
      <c r="F178" s="146" t="s">
        <v>153</v>
      </c>
      <c r="G178" s="148" t="s">
        <v>301</v>
      </c>
      <c r="H178" s="146">
        <v>0</v>
      </c>
      <c r="I178" s="146">
        <v>26</v>
      </c>
      <c r="J178" s="146" t="s">
        <v>317</v>
      </c>
      <c r="K178" s="146" t="s">
        <v>17</v>
      </c>
      <c r="L178" s="148" t="s">
        <v>3</v>
      </c>
      <c r="M178" s="146" t="s">
        <v>142</v>
      </c>
      <c r="N178" s="149">
        <v>1000</v>
      </c>
      <c r="O178" s="152">
        <f>SUMIF('GUDANG BESAR'!C:C,K:K,'GUDANG BESAR'!I:I)</f>
        <v>25269.5</v>
      </c>
      <c r="P178" s="153">
        <f>SUMIF('GUDANG BESAR'!C:C,K:K,'GUDANG BESAR'!K:K)</f>
        <v>28049.145</v>
      </c>
      <c r="Q178" s="150">
        <v>20</v>
      </c>
      <c r="R178" s="149">
        <v>20</v>
      </c>
      <c r="S178" s="149">
        <v>0</v>
      </c>
      <c r="T178" s="145">
        <f t="shared" si="6"/>
        <v>505390</v>
      </c>
      <c r="U178" s="145">
        <f t="shared" si="7"/>
        <v>560982.9</v>
      </c>
      <c r="V178" s="135" t="str">
        <f>VLOOKUP(K178,Sheet1!$B$5:$C$131,2,0)</f>
        <v>DYEING</v>
      </c>
      <c r="W178" s="181">
        <f t="shared" si="8"/>
        <v>0.02</v>
      </c>
    </row>
    <row r="179" spans="1:23" s="139" customFormat="1">
      <c r="A179" s="146" t="s">
        <v>477</v>
      </c>
      <c r="B179" s="147" t="s">
        <v>478</v>
      </c>
      <c r="C179" s="146" t="s">
        <v>137</v>
      </c>
      <c r="D179" s="146" t="s">
        <v>138</v>
      </c>
      <c r="E179" s="146" t="s">
        <v>139</v>
      </c>
      <c r="F179" s="146" t="s">
        <v>153</v>
      </c>
      <c r="G179" s="148" t="s">
        <v>301</v>
      </c>
      <c r="H179" s="146">
        <v>0</v>
      </c>
      <c r="I179" s="146">
        <v>25</v>
      </c>
      <c r="J179" s="146" t="s">
        <v>251</v>
      </c>
      <c r="K179" s="146" t="s">
        <v>249</v>
      </c>
      <c r="L179" s="148" t="s">
        <v>3</v>
      </c>
      <c r="M179" s="146" t="s">
        <v>142</v>
      </c>
      <c r="N179" s="149">
        <v>1000</v>
      </c>
      <c r="O179" s="152">
        <f>SUMIF('GUDANG BESAR'!C:C,K:K,'GUDANG BESAR'!I:I)</f>
        <v>9119.6</v>
      </c>
      <c r="P179" s="153">
        <f>SUMIF('GUDANG BESAR'!C:C,K:K,'GUDANG BESAR'!K:K)</f>
        <v>10122.756000000001</v>
      </c>
      <c r="Q179" s="150">
        <v>10</v>
      </c>
      <c r="R179" s="149">
        <v>10</v>
      </c>
      <c r="S179" s="149">
        <v>0</v>
      </c>
      <c r="T179" s="145">
        <f t="shared" si="6"/>
        <v>91196</v>
      </c>
      <c r="U179" s="145">
        <f t="shared" si="7"/>
        <v>101227.56000000001</v>
      </c>
      <c r="V179" s="135" t="str">
        <f>VLOOKUP(K179,Sheet1!$B$5:$C$131,2,0)</f>
        <v>DYEING</v>
      </c>
      <c r="W179" s="181">
        <f t="shared" si="8"/>
        <v>0.01</v>
      </c>
    </row>
    <row r="180" spans="1:23" s="139" customFormat="1">
      <c r="A180" s="146" t="s">
        <v>477</v>
      </c>
      <c r="B180" s="147" t="s">
        <v>478</v>
      </c>
      <c r="C180" s="146" t="s">
        <v>137</v>
      </c>
      <c r="D180" s="146" t="s">
        <v>138</v>
      </c>
      <c r="E180" s="146" t="s">
        <v>139</v>
      </c>
      <c r="F180" s="146" t="s">
        <v>153</v>
      </c>
      <c r="G180" s="148" t="s">
        <v>301</v>
      </c>
      <c r="H180" s="146">
        <v>0</v>
      </c>
      <c r="I180" s="146">
        <v>27</v>
      </c>
      <c r="J180" s="146" t="s">
        <v>168</v>
      </c>
      <c r="K180" s="146" t="s">
        <v>34</v>
      </c>
      <c r="L180" s="148" t="s">
        <v>3</v>
      </c>
      <c r="M180" s="146" t="s">
        <v>142</v>
      </c>
      <c r="N180" s="149">
        <v>1000</v>
      </c>
      <c r="O180" s="152">
        <f>SUMIF('GUDANG BESAR'!C:C,K:K,'GUDANG BESAR'!I:I)</f>
        <v>68397</v>
      </c>
      <c r="P180" s="153">
        <f>SUMIF('GUDANG BESAR'!C:C,K:K,'GUDANG BESAR'!K:K)</f>
        <v>75920.67</v>
      </c>
      <c r="Q180" s="150">
        <v>3.5</v>
      </c>
      <c r="R180" s="149">
        <v>3</v>
      </c>
      <c r="S180" s="149">
        <v>500</v>
      </c>
      <c r="T180" s="145">
        <f t="shared" si="6"/>
        <v>239389.5</v>
      </c>
      <c r="U180" s="145">
        <f t="shared" si="7"/>
        <v>265722.34499999997</v>
      </c>
      <c r="V180" s="135" t="str">
        <f>VLOOKUP(K180,Sheet1!$B$5:$C$131,2,0)</f>
        <v>DYEING</v>
      </c>
      <c r="W180" s="181">
        <f t="shared" si="8"/>
        <v>3.5000000000000001E-3</v>
      </c>
    </row>
    <row r="181" spans="1:23" s="139" customFormat="1">
      <c r="A181" s="146" t="s">
        <v>477</v>
      </c>
      <c r="B181" s="147" t="s">
        <v>478</v>
      </c>
      <c r="C181" s="146" t="s">
        <v>137</v>
      </c>
      <c r="D181" s="146" t="s">
        <v>138</v>
      </c>
      <c r="E181" s="146" t="s">
        <v>139</v>
      </c>
      <c r="F181" s="146" t="s">
        <v>162</v>
      </c>
      <c r="G181" s="148" t="s">
        <v>214</v>
      </c>
      <c r="H181" s="146">
        <v>0</v>
      </c>
      <c r="I181" s="146">
        <v>32</v>
      </c>
      <c r="J181" s="146" t="s">
        <v>165</v>
      </c>
      <c r="K181" s="146" t="s">
        <v>80</v>
      </c>
      <c r="L181" s="148" t="s">
        <v>3</v>
      </c>
      <c r="M181" s="146" t="s">
        <v>142</v>
      </c>
      <c r="N181" s="149">
        <v>1000</v>
      </c>
      <c r="O181" s="152">
        <f>SUMIF('GUDANG BESAR'!C:C,K:K,'GUDANG BESAR'!I:I)</f>
        <v>1550000</v>
      </c>
      <c r="P181" s="153">
        <f>SUMIF('GUDANG BESAR'!C:C,K:K,'GUDANG BESAR'!K:K)</f>
        <v>1720500</v>
      </c>
      <c r="Q181" s="150">
        <v>0.05</v>
      </c>
      <c r="R181" s="149">
        <v>0</v>
      </c>
      <c r="S181" s="149">
        <v>50</v>
      </c>
      <c r="T181" s="145">
        <f t="shared" si="6"/>
        <v>77500</v>
      </c>
      <c r="U181" s="145">
        <f t="shared" si="7"/>
        <v>86025</v>
      </c>
      <c r="V181" s="135" t="str">
        <f>VLOOKUP(K181,Sheet1!$B$5:$C$131,2,0)</f>
        <v>LIMBAH</v>
      </c>
      <c r="W181" s="181">
        <f t="shared" si="8"/>
        <v>5.0000000000000002E-5</v>
      </c>
    </row>
    <row r="182" spans="1:23" s="139" customFormat="1">
      <c r="A182" s="146" t="s">
        <v>477</v>
      </c>
      <c r="B182" s="147" t="s">
        <v>478</v>
      </c>
      <c r="C182" s="146" t="s">
        <v>137</v>
      </c>
      <c r="D182" s="146" t="s">
        <v>138</v>
      </c>
      <c r="E182" s="146" t="s">
        <v>139</v>
      </c>
      <c r="F182" s="146" t="s">
        <v>162</v>
      </c>
      <c r="G182" s="148" t="s">
        <v>214</v>
      </c>
      <c r="H182" s="146">
        <v>0</v>
      </c>
      <c r="I182" s="146">
        <v>31</v>
      </c>
      <c r="J182" s="146" t="s">
        <v>164</v>
      </c>
      <c r="K182" s="146" t="s">
        <v>74</v>
      </c>
      <c r="L182" s="148" t="s">
        <v>5</v>
      </c>
      <c r="M182" s="146" t="s">
        <v>142</v>
      </c>
      <c r="N182" s="149">
        <v>1000</v>
      </c>
      <c r="O182" s="152">
        <f>SUMIF('GUDANG BESAR'!C:C,K:K,'GUDANG BESAR'!I:I)</f>
        <v>13180</v>
      </c>
      <c r="P182" s="153">
        <f>SUMIF('GUDANG BESAR'!C:C,K:K,'GUDANG BESAR'!K:K)</f>
        <v>14629.8</v>
      </c>
      <c r="Q182" s="150">
        <v>15</v>
      </c>
      <c r="R182" s="149">
        <v>15</v>
      </c>
      <c r="S182" s="149">
        <v>0</v>
      </c>
      <c r="T182" s="145">
        <f t="shared" si="6"/>
        <v>197700</v>
      </c>
      <c r="U182" s="145">
        <f t="shared" si="7"/>
        <v>219447</v>
      </c>
      <c r="V182" s="135" t="str">
        <f>VLOOKUP(K182,Sheet1!$B$5:$C$131,2,0)</f>
        <v>LIMBAH</v>
      </c>
      <c r="W182" s="181">
        <f t="shared" si="8"/>
        <v>1.4999999999999999E-2</v>
      </c>
    </row>
    <row r="183" spans="1:23" s="139" customFormat="1">
      <c r="A183" s="146" t="s">
        <v>477</v>
      </c>
      <c r="B183" s="147" t="s">
        <v>478</v>
      </c>
      <c r="C183" s="146" t="s">
        <v>137</v>
      </c>
      <c r="D183" s="146" t="s">
        <v>138</v>
      </c>
      <c r="E183" s="146" t="s">
        <v>139</v>
      </c>
      <c r="F183" s="146" t="s">
        <v>162</v>
      </c>
      <c r="G183" s="148" t="s">
        <v>214</v>
      </c>
      <c r="H183" s="146">
        <v>0</v>
      </c>
      <c r="I183" s="146">
        <v>29</v>
      </c>
      <c r="J183" s="146" t="s">
        <v>262</v>
      </c>
      <c r="K183" s="146" t="s">
        <v>258</v>
      </c>
      <c r="L183" s="148" t="s">
        <v>3</v>
      </c>
      <c r="M183" s="146" t="s">
        <v>142</v>
      </c>
      <c r="N183" s="149">
        <v>1000</v>
      </c>
      <c r="O183" s="152">
        <f>SUMIF('GUDANG BESAR'!C:C,K:K,'GUDANG BESAR'!I:I)</f>
        <v>33000</v>
      </c>
      <c r="P183" s="153">
        <f>SUMIF('GUDANG BESAR'!C:C,K:K,'GUDANG BESAR'!K:K)</f>
        <v>36630</v>
      </c>
      <c r="Q183" s="150">
        <v>13</v>
      </c>
      <c r="R183" s="149">
        <v>13</v>
      </c>
      <c r="S183" s="149">
        <v>0</v>
      </c>
      <c r="T183" s="145">
        <f t="shared" si="6"/>
        <v>429000</v>
      </c>
      <c r="U183" s="145">
        <f t="shared" si="7"/>
        <v>476190</v>
      </c>
      <c r="V183" s="135" t="str">
        <f>VLOOKUP(K183,Sheet1!$B$5:$C$131,2,0)</f>
        <v>LIMBAH</v>
      </c>
      <c r="W183" s="181">
        <f t="shared" si="8"/>
        <v>1.2999999999999999E-2</v>
      </c>
    </row>
    <row r="184" spans="1:23" s="139" customFormat="1">
      <c r="A184" s="146" t="s">
        <v>477</v>
      </c>
      <c r="B184" s="147" t="s">
        <v>478</v>
      </c>
      <c r="C184" s="146" t="s">
        <v>137</v>
      </c>
      <c r="D184" s="146" t="s">
        <v>138</v>
      </c>
      <c r="E184" s="146" t="s">
        <v>139</v>
      </c>
      <c r="F184" s="146" t="s">
        <v>162</v>
      </c>
      <c r="G184" s="148" t="s">
        <v>214</v>
      </c>
      <c r="H184" s="146">
        <v>0</v>
      </c>
      <c r="I184" s="146">
        <v>30</v>
      </c>
      <c r="J184" s="146" t="s">
        <v>263</v>
      </c>
      <c r="K184" s="146" t="s">
        <v>259</v>
      </c>
      <c r="L184" s="148" t="s">
        <v>3</v>
      </c>
      <c r="M184" s="146" t="s">
        <v>142</v>
      </c>
      <c r="N184" s="149">
        <v>1000</v>
      </c>
      <c r="O184" s="152">
        <f>SUMIF('GUDANG BESAR'!C:C,K:K,'GUDANG BESAR'!I:I)</f>
        <v>47500</v>
      </c>
      <c r="P184" s="153">
        <f>SUMIF('GUDANG BESAR'!C:C,K:K,'GUDANG BESAR'!K:K)</f>
        <v>52725</v>
      </c>
      <c r="Q184" s="150">
        <v>13</v>
      </c>
      <c r="R184" s="149">
        <v>13</v>
      </c>
      <c r="S184" s="149">
        <v>0</v>
      </c>
      <c r="T184" s="145">
        <f t="shared" si="6"/>
        <v>617500</v>
      </c>
      <c r="U184" s="145">
        <f t="shared" si="7"/>
        <v>685425</v>
      </c>
      <c r="V184" s="135" t="str">
        <f>VLOOKUP(K184,Sheet1!$B$5:$C$131,2,0)</f>
        <v>LIMBAH</v>
      </c>
      <c r="W184" s="181">
        <f t="shared" si="8"/>
        <v>1.2999999999999999E-2</v>
      </c>
    </row>
    <row r="185" spans="1:23" s="139" customFormat="1">
      <c r="A185" s="146" t="s">
        <v>477</v>
      </c>
      <c r="B185" s="147" t="s">
        <v>478</v>
      </c>
      <c r="C185" s="146" t="s">
        <v>137</v>
      </c>
      <c r="D185" s="146" t="s">
        <v>138</v>
      </c>
      <c r="E185" s="146" t="s">
        <v>139</v>
      </c>
      <c r="F185" s="146" t="s">
        <v>153</v>
      </c>
      <c r="G185" s="148" t="s">
        <v>301</v>
      </c>
      <c r="H185" s="146">
        <v>0</v>
      </c>
      <c r="I185" s="146">
        <v>17</v>
      </c>
      <c r="J185" s="146" t="s">
        <v>247</v>
      </c>
      <c r="K185" s="146" t="s">
        <v>79</v>
      </c>
      <c r="L185" s="148" t="s">
        <v>3</v>
      </c>
      <c r="M185" s="146" t="s">
        <v>142</v>
      </c>
      <c r="N185" s="149">
        <v>1000</v>
      </c>
      <c r="O185" s="152">
        <f>SUMIF('GUDANG BESAR'!C:C,K:K,'GUDANG BESAR'!I:I)</f>
        <v>21203</v>
      </c>
      <c r="P185" s="153">
        <f>SUMIF('GUDANG BESAR'!C:C,K:K,'GUDANG BESAR'!K:K)</f>
        <v>23535.33</v>
      </c>
      <c r="Q185" s="150">
        <v>8</v>
      </c>
      <c r="R185" s="149">
        <v>8</v>
      </c>
      <c r="S185" s="149">
        <v>0</v>
      </c>
      <c r="T185" s="145">
        <f t="shared" si="6"/>
        <v>169624</v>
      </c>
      <c r="U185" s="145">
        <f t="shared" si="7"/>
        <v>188282.64</v>
      </c>
      <c r="V185" s="135" t="str">
        <f>VLOOKUP(K185,Sheet1!$B$5:$C$131,2,0)</f>
        <v>DYEING</v>
      </c>
      <c r="W185" s="181">
        <f t="shared" si="8"/>
        <v>8.0000000000000002E-3</v>
      </c>
    </row>
    <row r="186" spans="1:23" s="139" customFormat="1">
      <c r="A186" s="146" t="s">
        <v>479</v>
      </c>
      <c r="B186" s="147" t="s">
        <v>480</v>
      </c>
      <c r="C186" s="146" t="s">
        <v>137</v>
      </c>
      <c r="D186" s="146" t="s">
        <v>138</v>
      </c>
      <c r="E186" s="146" t="s">
        <v>139</v>
      </c>
      <c r="F186" s="146" t="s">
        <v>153</v>
      </c>
      <c r="G186" s="148" t="s">
        <v>299</v>
      </c>
      <c r="H186" s="146">
        <v>0</v>
      </c>
      <c r="I186" s="146">
        <v>14</v>
      </c>
      <c r="J186" s="146" t="s">
        <v>154</v>
      </c>
      <c r="K186" s="146" t="s">
        <v>23</v>
      </c>
      <c r="L186" s="148" t="s">
        <v>3</v>
      </c>
      <c r="M186" s="146" t="s">
        <v>142</v>
      </c>
      <c r="N186" s="149">
        <v>1000</v>
      </c>
      <c r="O186" s="152">
        <f>SUMIF('GUDANG BESAR'!C:C,K:K,'GUDANG BESAR'!I:I)</f>
        <v>28844</v>
      </c>
      <c r="P186" s="153">
        <f>SUMIF('GUDANG BESAR'!C:C,K:K,'GUDANG BESAR'!K:K)</f>
        <v>32016.84</v>
      </c>
      <c r="Q186" s="150">
        <v>150</v>
      </c>
      <c r="R186" s="149">
        <v>150</v>
      </c>
      <c r="S186" s="149">
        <v>0</v>
      </c>
      <c r="T186" s="145">
        <f t="shared" si="6"/>
        <v>4326600</v>
      </c>
      <c r="U186" s="145">
        <f t="shared" si="7"/>
        <v>4802526</v>
      </c>
      <c r="V186" s="135" t="str">
        <f>VLOOKUP(K186,Sheet1!$B$5:$C$131,2,0)</f>
        <v>RC</v>
      </c>
      <c r="W186" s="181">
        <f t="shared" si="8"/>
        <v>0.15</v>
      </c>
    </row>
    <row r="187" spans="1:23" s="139" customFormat="1">
      <c r="A187" s="146" t="s">
        <v>479</v>
      </c>
      <c r="B187" s="147" t="s">
        <v>480</v>
      </c>
      <c r="C187" s="146" t="s">
        <v>137</v>
      </c>
      <c r="D187" s="146" t="s">
        <v>138</v>
      </c>
      <c r="E187" s="146" t="s">
        <v>139</v>
      </c>
      <c r="F187" s="146" t="s">
        <v>162</v>
      </c>
      <c r="G187" s="148" t="s">
        <v>214</v>
      </c>
      <c r="H187" s="146">
        <v>0</v>
      </c>
      <c r="I187" s="146">
        <v>22</v>
      </c>
      <c r="J187" s="146" t="s">
        <v>240</v>
      </c>
      <c r="K187" s="146" t="s">
        <v>237</v>
      </c>
      <c r="L187" s="148" t="s">
        <v>3</v>
      </c>
      <c r="M187" s="146" t="s">
        <v>142</v>
      </c>
      <c r="N187" s="149">
        <v>1000</v>
      </c>
      <c r="O187" s="152">
        <f>SUMIF('GUDANG BESAR'!C:C,K:K,'GUDANG BESAR'!I:I)</f>
        <v>14750</v>
      </c>
      <c r="P187" s="153">
        <f>SUMIF('GUDANG BESAR'!C:C,K:K,'GUDANG BESAR'!K:K)</f>
        <v>16372.5</v>
      </c>
      <c r="Q187" s="150">
        <v>20</v>
      </c>
      <c r="R187" s="149">
        <v>20</v>
      </c>
      <c r="S187" s="149">
        <v>0</v>
      </c>
      <c r="T187" s="145">
        <f t="shared" si="6"/>
        <v>295000</v>
      </c>
      <c r="U187" s="145">
        <f t="shared" si="7"/>
        <v>327450</v>
      </c>
      <c r="V187" s="135" t="str">
        <f>VLOOKUP(K187,Sheet1!$B$5:$C$131,2,0)</f>
        <v>LIMBAH</v>
      </c>
      <c r="W187" s="181">
        <f t="shared" si="8"/>
        <v>0.02</v>
      </c>
    </row>
    <row r="188" spans="1:23" s="139" customFormat="1">
      <c r="A188" s="146" t="s">
        <v>479</v>
      </c>
      <c r="B188" s="147" t="s">
        <v>480</v>
      </c>
      <c r="C188" s="146" t="s">
        <v>137</v>
      </c>
      <c r="D188" s="146" t="s">
        <v>138</v>
      </c>
      <c r="E188" s="146" t="s">
        <v>139</v>
      </c>
      <c r="F188" s="146" t="s">
        <v>153</v>
      </c>
      <c r="G188" s="148" t="s">
        <v>299</v>
      </c>
      <c r="H188" s="146">
        <v>0</v>
      </c>
      <c r="I188" s="146">
        <v>15</v>
      </c>
      <c r="J188" s="146" t="s">
        <v>155</v>
      </c>
      <c r="K188" s="146" t="s">
        <v>33</v>
      </c>
      <c r="L188" s="148" t="s">
        <v>3</v>
      </c>
      <c r="M188" s="146" t="s">
        <v>142</v>
      </c>
      <c r="N188" s="149">
        <v>1000</v>
      </c>
      <c r="O188" s="152">
        <f>SUMIF('GUDANG BESAR'!C:C,K:K,'GUDANG BESAR'!I:I)</f>
        <v>11087.5</v>
      </c>
      <c r="P188" s="153">
        <f>SUMIF('GUDANG BESAR'!C:C,K:K,'GUDANG BESAR'!K:K)</f>
        <v>12307.125</v>
      </c>
      <c r="Q188" s="150">
        <v>100</v>
      </c>
      <c r="R188" s="149">
        <v>100</v>
      </c>
      <c r="S188" s="149">
        <v>0</v>
      </c>
      <c r="T188" s="145">
        <f t="shared" si="6"/>
        <v>1108750</v>
      </c>
      <c r="U188" s="145">
        <f t="shared" si="7"/>
        <v>1230712.5</v>
      </c>
      <c r="V188" s="135" t="str">
        <f>VLOOKUP(K188,Sheet1!$B$5:$C$131,2,0)</f>
        <v>RC</v>
      </c>
      <c r="W188" s="181">
        <f t="shared" si="8"/>
        <v>0.1</v>
      </c>
    </row>
    <row r="189" spans="1:23" s="139" customFormat="1">
      <c r="A189" s="146" t="s">
        <v>479</v>
      </c>
      <c r="B189" s="147" t="s">
        <v>480</v>
      </c>
      <c r="C189" s="146" t="s">
        <v>137</v>
      </c>
      <c r="D189" s="146" t="s">
        <v>138</v>
      </c>
      <c r="E189" s="146" t="s">
        <v>139</v>
      </c>
      <c r="F189" s="146" t="s">
        <v>140</v>
      </c>
      <c r="G189" s="148" t="s">
        <v>303</v>
      </c>
      <c r="H189" s="146">
        <v>0</v>
      </c>
      <c r="I189" s="146">
        <v>1</v>
      </c>
      <c r="J189" s="146" t="s">
        <v>141</v>
      </c>
      <c r="K189" s="146" t="s">
        <v>37</v>
      </c>
      <c r="L189" s="148" t="s">
        <v>3</v>
      </c>
      <c r="M189" s="146" t="s">
        <v>142</v>
      </c>
      <c r="N189" s="149">
        <v>1000</v>
      </c>
      <c r="O189" s="152">
        <f>SUMIF('GUDANG BESAR'!C:C,K:K,'GUDANG BESAR'!I:I)</f>
        <v>51276</v>
      </c>
      <c r="P189" s="153">
        <f>SUMIF('GUDANG BESAR'!C:C,K:K,'GUDANG BESAR'!K:K)</f>
        <v>56916.36</v>
      </c>
      <c r="Q189" s="150">
        <v>20.352</v>
      </c>
      <c r="R189" s="149">
        <v>20</v>
      </c>
      <c r="S189" s="149">
        <v>352</v>
      </c>
      <c r="T189" s="145">
        <f t="shared" si="6"/>
        <v>1043569.152</v>
      </c>
      <c r="U189" s="145">
        <f t="shared" si="7"/>
        <v>1158361.75872</v>
      </c>
      <c r="V189" s="135" t="str">
        <f>VLOOKUP(K189,Sheet1!$B$5:$C$131,2,0)</f>
        <v>DYESTUFF</v>
      </c>
      <c r="W189" s="181">
        <f t="shared" si="8"/>
        <v>2.0352000000000002E-2</v>
      </c>
    </row>
    <row r="190" spans="1:23" s="139" customFormat="1">
      <c r="A190" s="146" t="s">
        <v>479</v>
      </c>
      <c r="B190" s="147" t="s">
        <v>480</v>
      </c>
      <c r="C190" s="146" t="s">
        <v>137</v>
      </c>
      <c r="D190" s="146" t="s">
        <v>138</v>
      </c>
      <c r="E190" s="146" t="s">
        <v>139</v>
      </c>
      <c r="F190" s="146" t="s">
        <v>140</v>
      </c>
      <c r="G190" s="148" t="s">
        <v>303</v>
      </c>
      <c r="H190" s="146">
        <v>0</v>
      </c>
      <c r="I190" s="146">
        <v>2</v>
      </c>
      <c r="J190" s="146" t="s">
        <v>346</v>
      </c>
      <c r="K190" s="146" t="s">
        <v>343</v>
      </c>
      <c r="L190" s="148" t="s">
        <v>3</v>
      </c>
      <c r="M190" s="146" t="s">
        <v>142</v>
      </c>
      <c r="N190" s="149">
        <v>1000</v>
      </c>
      <c r="O190" s="152">
        <f>SUMIF('GUDANG BESAR'!C:C,K:K,'GUDANG BESAR'!I:I)</f>
        <v>60680</v>
      </c>
      <c r="P190" s="153">
        <f>SUMIF('GUDANG BESAR'!C:C,K:K,'GUDANG BESAR'!K:K)</f>
        <v>67354.8</v>
      </c>
      <c r="Q190" s="150">
        <v>5.7279999999999998</v>
      </c>
      <c r="R190" s="149">
        <v>5</v>
      </c>
      <c r="S190" s="149">
        <v>728</v>
      </c>
      <c r="T190" s="145">
        <f t="shared" si="6"/>
        <v>347575.03999999998</v>
      </c>
      <c r="U190" s="145">
        <f t="shared" si="7"/>
        <v>385808.29440000001</v>
      </c>
      <c r="V190" s="135" t="str">
        <f>VLOOKUP(K190,Sheet1!$B$5:$C$131,2,0)</f>
        <v>DYESTUFF</v>
      </c>
      <c r="W190" s="181">
        <f t="shared" si="8"/>
        <v>5.7279999999999996E-3</v>
      </c>
    </row>
    <row r="191" spans="1:23" s="139" customFormat="1">
      <c r="A191" s="146" t="s">
        <v>479</v>
      </c>
      <c r="B191" s="147" t="s">
        <v>480</v>
      </c>
      <c r="C191" s="146" t="s">
        <v>137</v>
      </c>
      <c r="D191" s="146" t="s">
        <v>138</v>
      </c>
      <c r="E191" s="146" t="s">
        <v>139</v>
      </c>
      <c r="F191" s="146" t="s">
        <v>140</v>
      </c>
      <c r="G191" s="148" t="s">
        <v>303</v>
      </c>
      <c r="H191" s="146">
        <v>0</v>
      </c>
      <c r="I191" s="146">
        <v>10</v>
      </c>
      <c r="J191" s="146" t="s">
        <v>151</v>
      </c>
      <c r="K191" s="146" t="s">
        <v>28</v>
      </c>
      <c r="L191" s="148" t="s">
        <v>3</v>
      </c>
      <c r="M191" s="146" t="s">
        <v>142</v>
      </c>
      <c r="N191" s="149">
        <v>1000</v>
      </c>
      <c r="O191" s="152">
        <f>SUMIF('GUDANG BESAR'!C:C,K:K,'GUDANG BESAR'!I:I)</f>
        <v>413967</v>
      </c>
      <c r="P191" s="153">
        <f>SUMIF('GUDANG BESAR'!C:C,K:K,'GUDANG BESAR'!K:K)</f>
        <v>459503.37</v>
      </c>
      <c r="Q191" s="150">
        <v>0.184</v>
      </c>
      <c r="R191" s="149">
        <v>0</v>
      </c>
      <c r="S191" s="149">
        <v>184</v>
      </c>
      <c r="T191" s="145">
        <f t="shared" si="6"/>
        <v>76169.928</v>
      </c>
      <c r="U191" s="145">
        <f t="shared" si="7"/>
        <v>84548.620079999993</v>
      </c>
      <c r="V191" s="135" t="str">
        <f>VLOOKUP(K191,Sheet1!$B$5:$C$131,2,0)</f>
        <v>DYESTUFF</v>
      </c>
      <c r="W191" s="181">
        <f t="shared" si="8"/>
        <v>1.84E-4</v>
      </c>
    </row>
    <row r="192" spans="1:23" s="139" customFormat="1">
      <c r="A192" s="146" t="s">
        <v>479</v>
      </c>
      <c r="B192" s="147" t="s">
        <v>480</v>
      </c>
      <c r="C192" s="146" t="s">
        <v>137</v>
      </c>
      <c r="D192" s="146" t="s">
        <v>138</v>
      </c>
      <c r="E192" s="146" t="s">
        <v>139</v>
      </c>
      <c r="F192" s="146" t="s">
        <v>140</v>
      </c>
      <c r="G192" s="148" t="s">
        <v>303</v>
      </c>
      <c r="H192" s="146">
        <v>0</v>
      </c>
      <c r="I192" s="146">
        <v>3</v>
      </c>
      <c r="J192" s="146" t="s">
        <v>169</v>
      </c>
      <c r="K192" s="146" t="s">
        <v>64</v>
      </c>
      <c r="L192" s="148" t="s">
        <v>3</v>
      </c>
      <c r="M192" s="146" t="s">
        <v>142</v>
      </c>
      <c r="N192" s="149">
        <v>1000</v>
      </c>
      <c r="O192" s="152">
        <f>SUMIF('GUDANG BESAR'!C:C,K:K,'GUDANG BESAR'!I:I)</f>
        <v>506080</v>
      </c>
      <c r="P192" s="153">
        <f>SUMIF('GUDANG BESAR'!C:C,K:K,'GUDANG BESAR'!K:K)</f>
        <v>561748.80000000005</v>
      </c>
      <c r="Q192" s="150">
        <v>0.18</v>
      </c>
      <c r="R192" s="149">
        <v>0</v>
      </c>
      <c r="S192" s="149">
        <v>180</v>
      </c>
      <c r="T192" s="145">
        <f t="shared" si="6"/>
        <v>91094.399999999994</v>
      </c>
      <c r="U192" s="145">
        <f t="shared" si="7"/>
        <v>101114.784</v>
      </c>
      <c r="V192" s="135" t="str">
        <f>VLOOKUP(K192,Sheet1!$B$5:$C$131,2,0)</f>
        <v>DYESTUFF</v>
      </c>
      <c r="W192" s="181">
        <f t="shared" si="8"/>
        <v>1.7999999999999998E-4</v>
      </c>
    </row>
    <row r="193" spans="1:23" s="139" customFormat="1">
      <c r="A193" s="146" t="s">
        <v>479</v>
      </c>
      <c r="B193" s="147" t="s">
        <v>480</v>
      </c>
      <c r="C193" s="146" t="s">
        <v>137</v>
      </c>
      <c r="D193" s="146" t="s">
        <v>138</v>
      </c>
      <c r="E193" s="146" t="s">
        <v>139</v>
      </c>
      <c r="F193" s="146" t="s">
        <v>140</v>
      </c>
      <c r="G193" s="148" t="s">
        <v>303</v>
      </c>
      <c r="H193" s="146">
        <v>0</v>
      </c>
      <c r="I193" s="146">
        <v>4</v>
      </c>
      <c r="J193" s="146" t="s">
        <v>144</v>
      </c>
      <c r="K193" s="146" t="s">
        <v>26</v>
      </c>
      <c r="L193" s="148" t="s">
        <v>3</v>
      </c>
      <c r="M193" s="146" t="s">
        <v>142</v>
      </c>
      <c r="N193" s="149">
        <v>1000</v>
      </c>
      <c r="O193" s="152">
        <f>SUMIF('GUDANG BESAR'!C:C,K:K,'GUDANG BESAR'!I:I)</f>
        <v>52016</v>
      </c>
      <c r="P193" s="153">
        <f>SUMIF('GUDANG BESAR'!C:C,K:K,'GUDANG BESAR'!K:K)</f>
        <v>57737.760000000002</v>
      </c>
      <c r="Q193" s="150">
        <v>13.545999999999999</v>
      </c>
      <c r="R193" s="149">
        <v>13</v>
      </c>
      <c r="S193" s="149">
        <v>546</v>
      </c>
      <c r="T193" s="145">
        <f t="shared" si="6"/>
        <v>704608.73599999992</v>
      </c>
      <c r="U193" s="145">
        <f t="shared" si="7"/>
        <v>782115.69695999997</v>
      </c>
      <c r="V193" s="135" t="str">
        <f>VLOOKUP(K193,Sheet1!$B$5:$C$131,2,0)</f>
        <v>DYESTUFF</v>
      </c>
      <c r="W193" s="181">
        <f t="shared" si="8"/>
        <v>1.3545999999999999E-2</v>
      </c>
    </row>
    <row r="194" spans="1:23" s="139" customFormat="1">
      <c r="A194" s="146" t="s">
        <v>479</v>
      </c>
      <c r="B194" s="147" t="s">
        <v>480</v>
      </c>
      <c r="C194" s="146" t="s">
        <v>137</v>
      </c>
      <c r="D194" s="146" t="s">
        <v>138</v>
      </c>
      <c r="E194" s="146" t="s">
        <v>139</v>
      </c>
      <c r="F194" s="146" t="s">
        <v>140</v>
      </c>
      <c r="G194" s="148" t="s">
        <v>303</v>
      </c>
      <c r="H194" s="146">
        <v>0</v>
      </c>
      <c r="I194" s="146">
        <v>5</v>
      </c>
      <c r="J194" s="146" t="s">
        <v>145</v>
      </c>
      <c r="K194" s="146" t="s">
        <v>27</v>
      </c>
      <c r="L194" s="148" t="s">
        <v>3</v>
      </c>
      <c r="M194" s="146" t="s">
        <v>142</v>
      </c>
      <c r="N194" s="149">
        <v>1000</v>
      </c>
      <c r="O194" s="152">
        <f>SUMIF('GUDANG BESAR'!C:C,K:K,'GUDANG BESAR'!I:I)</f>
        <v>71148</v>
      </c>
      <c r="P194" s="153">
        <f>SUMIF('GUDANG BESAR'!C:C,K:K,'GUDANG BESAR'!K:K)</f>
        <v>78974.28</v>
      </c>
      <c r="Q194" s="150">
        <v>5.117</v>
      </c>
      <c r="R194" s="149">
        <v>5</v>
      </c>
      <c r="S194" s="149">
        <v>117</v>
      </c>
      <c r="T194" s="145">
        <f t="shared" si="6"/>
        <v>364064.31599999999</v>
      </c>
      <c r="U194" s="145">
        <f t="shared" si="7"/>
        <v>404111.39075999998</v>
      </c>
      <c r="V194" s="135" t="str">
        <f>VLOOKUP(K194,Sheet1!$B$5:$C$131,2,0)</f>
        <v>DYESTUFF</v>
      </c>
      <c r="W194" s="181">
        <f t="shared" si="8"/>
        <v>5.117E-3</v>
      </c>
    </row>
    <row r="195" spans="1:23" s="139" customFormat="1">
      <c r="A195" s="146" t="s">
        <v>479</v>
      </c>
      <c r="B195" s="147" t="s">
        <v>480</v>
      </c>
      <c r="C195" s="146" t="s">
        <v>137</v>
      </c>
      <c r="D195" s="146" t="s">
        <v>138</v>
      </c>
      <c r="E195" s="146" t="s">
        <v>139</v>
      </c>
      <c r="F195" s="146" t="s">
        <v>140</v>
      </c>
      <c r="G195" s="148" t="s">
        <v>303</v>
      </c>
      <c r="H195" s="146">
        <v>0</v>
      </c>
      <c r="I195" s="146">
        <v>6</v>
      </c>
      <c r="J195" s="146" t="s">
        <v>289</v>
      </c>
      <c r="K195" s="146" t="s">
        <v>255</v>
      </c>
      <c r="L195" s="148" t="s">
        <v>3</v>
      </c>
      <c r="M195" s="146" t="s">
        <v>142</v>
      </c>
      <c r="N195" s="149">
        <v>1000</v>
      </c>
      <c r="O195" s="152">
        <f>SUMIF('GUDANG BESAR'!C:C,K:K,'GUDANG BESAR'!I:I)</f>
        <v>195336</v>
      </c>
      <c r="P195" s="153">
        <f>SUMIF('GUDANG BESAR'!C:C,K:K,'GUDANG BESAR'!K:K)</f>
        <v>216822.96</v>
      </c>
      <c r="Q195" s="150">
        <v>8.0000000000000002E-3</v>
      </c>
      <c r="R195" s="149">
        <v>0</v>
      </c>
      <c r="S195" s="149">
        <v>8</v>
      </c>
      <c r="T195" s="145">
        <f t="shared" si="6"/>
        <v>1562.6880000000001</v>
      </c>
      <c r="U195" s="145">
        <f t="shared" si="7"/>
        <v>1734.58368</v>
      </c>
      <c r="V195" s="135" t="str">
        <f>VLOOKUP(K195,Sheet1!$B$5:$C$131,2,0)</f>
        <v>DYESTUFF</v>
      </c>
      <c r="W195" s="181">
        <f t="shared" si="8"/>
        <v>7.9999999999999996E-6</v>
      </c>
    </row>
    <row r="196" spans="1:23" s="139" customFormat="1">
      <c r="A196" s="146" t="s">
        <v>479</v>
      </c>
      <c r="B196" s="147" t="s">
        <v>480</v>
      </c>
      <c r="C196" s="146" t="s">
        <v>137</v>
      </c>
      <c r="D196" s="146" t="s">
        <v>138</v>
      </c>
      <c r="E196" s="146" t="s">
        <v>139</v>
      </c>
      <c r="F196" s="146" t="s">
        <v>140</v>
      </c>
      <c r="G196" s="148" t="s">
        <v>303</v>
      </c>
      <c r="H196" s="146">
        <v>0</v>
      </c>
      <c r="I196" s="146">
        <v>7</v>
      </c>
      <c r="J196" s="146" t="s">
        <v>171</v>
      </c>
      <c r="K196" s="146" t="s">
        <v>102</v>
      </c>
      <c r="L196" s="148" t="s">
        <v>3</v>
      </c>
      <c r="M196" s="146" t="s">
        <v>142</v>
      </c>
      <c r="N196" s="149">
        <v>1000</v>
      </c>
      <c r="O196" s="152">
        <f>SUMIF('GUDANG BESAR'!C:C,K:K,'GUDANG BESAR'!I:I)</f>
        <v>385283</v>
      </c>
      <c r="P196" s="153">
        <f>SUMIF('GUDANG BESAR'!C:C,K:K,'GUDANG BESAR'!K:K)</f>
        <v>427664.13</v>
      </c>
      <c r="Q196" s="150">
        <v>7.0000000000000001E-3</v>
      </c>
      <c r="R196" s="149">
        <v>0</v>
      </c>
      <c r="S196" s="149">
        <v>7</v>
      </c>
      <c r="T196" s="145">
        <f t="shared" si="6"/>
        <v>2696.9810000000002</v>
      </c>
      <c r="U196" s="145">
        <f t="shared" si="7"/>
        <v>2993.6489099999999</v>
      </c>
      <c r="V196" s="135" t="str">
        <f>VLOOKUP(K196,Sheet1!$B$5:$C$131,2,0)</f>
        <v>DYESTUFF</v>
      </c>
      <c r="W196" s="181">
        <f t="shared" si="8"/>
        <v>6.9999999999999999E-6</v>
      </c>
    </row>
    <row r="197" spans="1:23" s="139" customFormat="1">
      <c r="A197" s="146" t="s">
        <v>479</v>
      </c>
      <c r="B197" s="147" t="s">
        <v>480</v>
      </c>
      <c r="C197" s="146" t="s">
        <v>137</v>
      </c>
      <c r="D197" s="146" t="s">
        <v>138</v>
      </c>
      <c r="E197" s="146" t="s">
        <v>139</v>
      </c>
      <c r="F197" s="146" t="s">
        <v>140</v>
      </c>
      <c r="G197" s="148" t="s">
        <v>303</v>
      </c>
      <c r="H197" s="146">
        <v>0</v>
      </c>
      <c r="I197" s="146">
        <v>8</v>
      </c>
      <c r="J197" s="146" t="s">
        <v>146</v>
      </c>
      <c r="K197" s="146" t="s">
        <v>46</v>
      </c>
      <c r="L197" s="148" t="s">
        <v>3</v>
      </c>
      <c r="M197" s="146" t="s">
        <v>142</v>
      </c>
      <c r="N197" s="149">
        <v>1000</v>
      </c>
      <c r="O197" s="152">
        <f>SUMIF('GUDANG BESAR'!C:C,K:K,'GUDANG BESAR'!I:I)</f>
        <v>100812</v>
      </c>
      <c r="P197" s="153">
        <f>SUMIF('GUDANG BESAR'!C:C,K:K,'GUDANG BESAR'!K:K)</f>
        <v>111901.32</v>
      </c>
      <c r="Q197" s="150">
        <v>1.77</v>
      </c>
      <c r="R197" s="149">
        <v>1</v>
      </c>
      <c r="S197" s="149">
        <v>770</v>
      </c>
      <c r="T197" s="145">
        <f t="shared" si="6"/>
        <v>178437.24</v>
      </c>
      <c r="U197" s="145">
        <f t="shared" si="7"/>
        <v>198065.3364</v>
      </c>
      <c r="V197" s="135" t="str">
        <f>VLOOKUP(K197,Sheet1!$B$5:$C$131,2,0)</f>
        <v>DYESTUFF</v>
      </c>
      <c r="W197" s="181">
        <f t="shared" si="8"/>
        <v>1.7700000000000001E-3</v>
      </c>
    </row>
    <row r="198" spans="1:23" s="139" customFormat="1">
      <c r="A198" s="146" t="s">
        <v>479</v>
      </c>
      <c r="B198" s="147" t="s">
        <v>480</v>
      </c>
      <c r="C198" s="146" t="s">
        <v>137</v>
      </c>
      <c r="D198" s="146" t="s">
        <v>138</v>
      </c>
      <c r="E198" s="146" t="s">
        <v>139</v>
      </c>
      <c r="F198" s="146" t="s">
        <v>140</v>
      </c>
      <c r="G198" s="148" t="s">
        <v>303</v>
      </c>
      <c r="H198" s="146">
        <v>0</v>
      </c>
      <c r="I198" s="146">
        <v>9</v>
      </c>
      <c r="J198" s="146" t="s">
        <v>147</v>
      </c>
      <c r="K198" s="146" t="s">
        <v>41</v>
      </c>
      <c r="L198" s="148" t="s">
        <v>3</v>
      </c>
      <c r="M198" s="146" t="s">
        <v>142</v>
      </c>
      <c r="N198" s="149">
        <v>1000</v>
      </c>
      <c r="O198" s="152">
        <f>SUMIF('GUDANG BESAR'!C:C,K:K,'GUDANG BESAR'!I:I)</f>
        <v>54071</v>
      </c>
      <c r="P198" s="153">
        <f>SUMIF('GUDANG BESAR'!C:C,K:K,'GUDANG BESAR'!K:K)</f>
        <v>60018.81</v>
      </c>
      <c r="Q198" s="150">
        <v>7.8860000000000001</v>
      </c>
      <c r="R198" s="149">
        <v>7</v>
      </c>
      <c r="S198" s="149">
        <v>886</v>
      </c>
      <c r="T198" s="145">
        <f t="shared" ref="T198:T261" si="9">O198*Q198</f>
        <v>426403.90600000002</v>
      </c>
      <c r="U198" s="145">
        <f t="shared" ref="U198:U261" si="10">P198*Q198</f>
        <v>473308.33565999998</v>
      </c>
      <c r="V198" s="135" t="str">
        <f>VLOOKUP(K198,Sheet1!$B$5:$C$131,2,0)</f>
        <v>DYESTUFF</v>
      </c>
      <c r="W198" s="181">
        <f t="shared" ref="W198:W261" si="11">Q198/$W$5</f>
        <v>7.8860000000000006E-3</v>
      </c>
    </row>
    <row r="199" spans="1:23" s="139" customFormat="1">
      <c r="A199" s="146" t="s">
        <v>479</v>
      </c>
      <c r="B199" s="147" t="s">
        <v>480</v>
      </c>
      <c r="C199" s="146" t="s">
        <v>137</v>
      </c>
      <c r="D199" s="146" t="s">
        <v>138</v>
      </c>
      <c r="E199" s="146" t="s">
        <v>139</v>
      </c>
      <c r="F199" s="146" t="s">
        <v>140</v>
      </c>
      <c r="G199" s="148" t="s">
        <v>303</v>
      </c>
      <c r="H199" s="146">
        <v>0</v>
      </c>
      <c r="I199" s="146">
        <v>11</v>
      </c>
      <c r="J199" s="146" t="s">
        <v>170</v>
      </c>
      <c r="K199" s="146" t="s">
        <v>29</v>
      </c>
      <c r="L199" s="148" t="s">
        <v>3</v>
      </c>
      <c r="M199" s="146" t="s">
        <v>142</v>
      </c>
      <c r="N199" s="149">
        <v>1000</v>
      </c>
      <c r="O199" s="152">
        <f>SUMIF('GUDANG BESAR'!C:C,K:K,'GUDANG BESAR'!I:I)</f>
        <v>100590</v>
      </c>
      <c r="P199" s="153">
        <f>SUMIF('GUDANG BESAR'!C:C,K:K,'GUDANG BESAR'!K:K)</f>
        <v>111654.9</v>
      </c>
      <c r="Q199" s="150">
        <v>0.751</v>
      </c>
      <c r="R199" s="149">
        <v>0</v>
      </c>
      <c r="S199" s="149">
        <v>751</v>
      </c>
      <c r="T199" s="145">
        <f t="shared" si="9"/>
        <v>75543.09</v>
      </c>
      <c r="U199" s="145">
        <f t="shared" si="10"/>
        <v>83852.829899999997</v>
      </c>
      <c r="V199" s="135" t="str">
        <f>VLOOKUP(K199,Sheet1!$B$5:$C$131,2,0)</f>
        <v>DYESTUFF</v>
      </c>
      <c r="W199" s="181">
        <f t="shared" si="11"/>
        <v>7.5100000000000004E-4</v>
      </c>
    </row>
    <row r="200" spans="1:23" s="139" customFormat="1">
      <c r="A200" s="146" t="s">
        <v>479</v>
      </c>
      <c r="B200" s="147" t="s">
        <v>480</v>
      </c>
      <c r="C200" s="146" t="s">
        <v>137</v>
      </c>
      <c r="D200" s="146" t="s">
        <v>138</v>
      </c>
      <c r="E200" s="146" t="s">
        <v>139</v>
      </c>
      <c r="F200" s="146" t="s">
        <v>140</v>
      </c>
      <c r="G200" s="148" t="s">
        <v>303</v>
      </c>
      <c r="H200" s="146">
        <v>0</v>
      </c>
      <c r="I200" s="146">
        <v>12</v>
      </c>
      <c r="J200" s="146" t="s">
        <v>148</v>
      </c>
      <c r="K200" s="146" t="s">
        <v>30</v>
      </c>
      <c r="L200" s="148" t="s">
        <v>3</v>
      </c>
      <c r="M200" s="146" t="s">
        <v>142</v>
      </c>
      <c r="N200" s="149">
        <v>1000</v>
      </c>
      <c r="O200" s="152">
        <f>SUMIF('GUDANG BESAR'!C:C,K:K,'GUDANG BESAR'!I:I)</f>
        <v>77089.399999999994</v>
      </c>
      <c r="P200" s="153">
        <f>SUMIF('GUDANG BESAR'!C:C,K:K,'GUDANG BESAR'!K:K)</f>
        <v>85569.233999999997</v>
      </c>
      <c r="Q200" s="150">
        <v>9.0619999999999994</v>
      </c>
      <c r="R200" s="149">
        <v>9</v>
      </c>
      <c r="S200" s="149">
        <v>62</v>
      </c>
      <c r="T200" s="145">
        <f t="shared" si="9"/>
        <v>698584.14279999991</v>
      </c>
      <c r="U200" s="145">
        <f t="shared" si="10"/>
        <v>775428.39850799995</v>
      </c>
      <c r="V200" s="135" t="str">
        <f>VLOOKUP(K200,Sheet1!$B$5:$C$131,2,0)</f>
        <v>DYESTUFF</v>
      </c>
      <c r="W200" s="181">
        <f t="shared" si="11"/>
        <v>9.0619999999999989E-3</v>
      </c>
    </row>
    <row r="201" spans="1:23" s="139" customFormat="1">
      <c r="A201" s="146" t="s">
        <v>479</v>
      </c>
      <c r="B201" s="147" t="s">
        <v>480</v>
      </c>
      <c r="C201" s="146" t="s">
        <v>137</v>
      </c>
      <c r="D201" s="146" t="s">
        <v>138</v>
      </c>
      <c r="E201" s="146" t="s">
        <v>139</v>
      </c>
      <c r="F201" s="146" t="s">
        <v>162</v>
      </c>
      <c r="G201" s="148" t="s">
        <v>214</v>
      </c>
      <c r="H201" s="146">
        <v>0</v>
      </c>
      <c r="I201" s="146">
        <v>23</v>
      </c>
      <c r="J201" s="146" t="s">
        <v>163</v>
      </c>
      <c r="K201" s="146" t="s">
        <v>14</v>
      </c>
      <c r="L201" s="148" t="s">
        <v>3</v>
      </c>
      <c r="M201" s="146" t="s">
        <v>142</v>
      </c>
      <c r="N201" s="149">
        <v>1000</v>
      </c>
      <c r="O201" s="152">
        <f>SUMIF('GUDANG BESAR'!C:C,K:K,'GUDANG BESAR'!I:I)</f>
        <v>30500</v>
      </c>
      <c r="P201" s="153">
        <f>SUMIF('GUDANG BESAR'!C:C,K:K,'GUDANG BESAR'!K:K)</f>
        <v>33855</v>
      </c>
      <c r="Q201" s="150">
        <v>25</v>
      </c>
      <c r="R201" s="149">
        <v>25</v>
      </c>
      <c r="S201" s="149">
        <v>0</v>
      </c>
      <c r="T201" s="145">
        <f t="shared" si="9"/>
        <v>762500</v>
      </c>
      <c r="U201" s="145">
        <f t="shared" si="10"/>
        <v>846375</v>
      </c>
      <c r="V201" s="135" t="str">
        <f>VLOOKUP(K201,Sheet1!$B$5:$C$131,2,0)</f>
        <v>LIMBAH</v>
      </c>
      <c r="W201" s="181">
        <f t="shared" si="11"/>
        <v>2.5000000000000001E-2</v>
      </c>
    </row>
    <row r="202" spans="1:23" s="139" customFormat="1">
      <c r="A202" s="146" t="s">
        <v>479</v>
      </c>
      <c r="B202" s="147" t="s">
        <v>480</v>
      </c>
      <c r="C202" s="146" t="s">
        <v>137</v>
      </c>
      <c r="D202" s="146" t="s">
        <v>138</v>
      </c>
      <c r="E202" s="146" t="s">
        <v>139</v>
      </c>
      <c r="F202" s="146" t="s">
        <v>140</v>
      </c>
      <c r="G202" s="148" t="s">
        <v>300</v>
      </c>
      <c r="H202" s="146">
        <v>0</v>
      </c>
      <c r="I202" s="146">
        <v>13</v>
      </c>
      <c r="J202" s="146" t="s">
        <v>314</v>
      </c>
      <c r="K202" s="146" t="s">
        <v>281</v>
      </c>
      <c r="L202" s="148" t="s">
        <v>3</v>
      </c>
      <c r="M202" s="146" t="s">
        <v>142</v>
      </c>
      <c r="N202" s="149">
        <v>1000</v>
      </c>
      <c r="O202" s="152">
        <f>SUMIF('GUDANG BESAR'!C:C,K:K,'GUDANG BESAR'!I:I)</f>
        <v>23590.51</v>
      </c>
      <c r="P202" s="153">
        <f>SUMIF('GUDANG BESAR'!C:C,K:K,'GUDANG BESAR'!K:K)</f>
        <v>26185.466099999998</v>
      </c>
      <c r="Q202" s="150">
        <v>120</v>
      </c>
      <c r="R202" s="149">
        <v>120</v>
      </c>
      <c r="S202" s="149">
        <v>0</v>
      </c>
      <c r="T202" s="145">
        <f t="shared" si="9"/>
        <v>2830861.1999999997</v>
      </c>
      <c r="U202" s="145">
        <f t="shared" si="10"/>
        <v>3142255.9319999996</v>
      </c>
      <c r="V202" s="135" t="str">
        <f>VLOOKUP(K202,Sheet1!$B$5:$C$131,2,0)</f>
        <v>CK</v>
      </c>
      <c r="W202" s="181">
        <f t="shared" si="11"/>
        <v>0.12</v>
      </c>
    </row>
    <row r="203" spans="1:23" s="139" customFormat="1">
      <c r="A203" s="146" t="s">
        <v>479</v>
      </c>
      <c r="B203" s="147" t="s">
        <v>480</v>
      </c>
      <c r="C203" s="146" t="s">
        <v>137</v>
      </c>
      <c r="D203" s="146" t="s">
        <v>138</v>
      </c>
      <c r="E203" s="146" t="s">
        <v>139</v>
      </c>
      <c r="F203" s="146" t="s">
        <v>162</v>
      </c>
      <c r="G203" s="148" t="s">
        <v>214</v>
      </c>
      <c r="H203" s="146">
        <v>0</v>
      </c>
      <c r="I203" s="146">
        <v>19</v>
      </c>
      <c r="J203" s="146" t="s">
        <v>377</v>
      </c>
      <c r="K203" s="146" t="s">
        <v>372</v>
      </c>
      <c r="L203" s="148" t="s">
        <v>3</v>
      </c>
      <c r="M203" s="146" t="s">
        <v>142</v>
      </c>
      <c r="N203" s="149">
        <v>1000</v>
      </c>
      <c r="O203" s="152">
        <f>SUMIF('GUDANG BESAR'!C:C,K:K,'GUDANG BESAR'!I:I)</f>
        <v>5500</v>
      </c>
      <c r="P203" s="153">
        <f>SUMIF('GUDANG BESAR'!C:C,K:K,'GUDANG BESAR'!K:K)</f>
        <v>6105</v>
      </c>
      <c r="Q203" s="150">
        <v>775</v>
      </c>
      <c r="R203" s="149">
        <v>775</v>
      </c>
      <c r="S203" s="149">
        <v>0</v>
      </c>
      <c r="T203" s="145">
        <f t="shared" si="9"/>
        <v>4262500</v>
      </c>
      <c r="U203" s="145">
        <f t="shared" si="10"/>
        <v>4731375</v>
      </c>
      <c r="V203" s="135" t="str">
        <f>VLOOKUP(K203,Sheet1!$B$5:$C$131,2,0)</f>
        <v>LIMBAH</v>
      </c>
      <c r="W203" s="181">
        <f t="shared" si="11"/>
        <v>0.77500000000000002</v>
      </c>
    </row>
    <row r="204" spans="1:23" s="139" customFormat="1">
      <c r="A204" s="146" t="s">
        <v>479</v>
      </c>
      <c r="B204" s="147" t="s">
        <v>480</v>
      </c>
      <c r="C204" s="146" t="s">
        <v>137</v>
      </c>
      <c r="D204" s="146" t="s">
        <v>138</v>
      </c>
      <c r="E204" s="146" t="s">
        <v>139</v>
      </c>
      <c r="F204" s="146" t="s">
        <v>167</v>
      </c>
      <c r="G204" s="148" t="s">
        <v>298</v>
      </c>
      <c r="H204" s="146">
        <v>0</v>
      </c>
      <c r="I204" s="146">
        <v>18</v>
      </c>
      <c r="J204" s="146" t="s">
        <v>183</v>
      </c>
      <c r="K204" s="146" t="s">
        <v>20</v>
      </c>
      <c r="L204" s="148" t="s">
        <v>3</v>
      </c>
      <c r="M204" s="146" t="s">
        <v>142</v>
      </c>
      <c r="N204" s="149">
        <v>1000</v>
      </c>
      <c r="O204" s="152">
        <f>SUMIF('GUDANG BESAR'!C:C,K:K,'GUDANG BESAR'!I:I)</f>
        <v>39120</v>
      </c>
      <c r="P204" s="153">
        <f>SUMIF('GUDANG BESAR'!C:C,K:K,'GUDANG BESAR'!K:K)</f>
        <v>43423.199999999997</v>
      </c>
      <c r="Q204" s="150">
        <v>4</v>
      </c>
      <c r="R204" s="149">
        <v>4</v>
      </c>
      <c r="S204" s="149">
        <v>0</v>
      </c>
      <c r="T204" s="145">
        <f t="shared" si="9"/>
        <v>156480</v>
      </c>
      <c r="U204" s="145">
        <f t="shared" si="10"/>
        <v>173692.79999999999</v>
      </c>
      <c r="V204" s="135" t="str">
        <f>VLOOKUP(K204,Sheet1!$B$5:$C$131,2,0)</f>
        <v>FINISHING</v>
      </c>
      <c r="W204" s="181">
        <f t="shared" si="11"/>
        <v>4.0000000000000001E-3</v>
      </c>
    </row>
    <row r="205" spans="1:23" s="139" customFormat="1">
      <c r="A205" s="146" t="s">
        <v>479</v>
      </c>
      <c r="B205" s="147" t="s">
        <v>480</v>
      </c>
      <c r="C205" s="146" t="s">
        <v>137</v>
      </c>
      <c r="D205" s="146" t="s">
        <v>138</v>
      </c>
      <c r="E205" s="146" t="s">
        <v>139</v>
      </c>
      <c r="F205" s="146" t="s">
        <v>153</v>
      </c>
      <c r="G205" s="148" t="s">
        <v>301</v>
      </c>
      <c r="H205" s="146">
        <v>0</v>
      </c>
      <c r="I205" s="146">
        <v>17</v>
      </c>
      <c r="J205" s="146" t="s">
        <v>317</v>
      </c>
      <c r="K205" s="146" t="s">
        <v>17</v>
      </c>
      <c r="L205" s="148" t="s">
        <v>3</v>
      </c>
      <c r="M205" s="146" t="s">
        <v>142</v>
      </c>
      <c r="N205" s="149">
        <v>1000</v>
      </c>
      <c r="O205" s="152">
        <f>SUMIF('GUDANG BESAR'!C:C,K:K,'GUDANG BESAR'!I:I)</f>
        <v>25269.5</v>
      </c>
      <c r="P205" s="153">
        <f>SUMIF('GUDANG BESAR'!C:C,K:K,'GUDANG BESAR'!K:K)</f>
        <v>28049.145</v>
      </c>
      <c r="Q205" s="150">
        <v>28</v>
      </c>
      <c r="R205" s="149">
        <v>28</v>
      </c>
      <c r="S205" s="149">
        <v>0</v>
      </c>
      <c r="T205" s="145">
        <f t="shared" si="9"/>
        <v>707546</v>
      </c>
      <c r="U205" s="145">
        <f t="shared" si="10"/>
        <v>785376.06</v>
      </c>
      <c r="V205" s="135" t="str">
        <f>VLOOKUP(K205,Sheet1!$B$5:$C$131,2,0)</f>
        <v>DYEING</v>
      </c>
      <c r="W205" s="181">
        <f t="shared" si="11"/>
        <v>2.8000000000000001E-2</v>
      </c>
    </row>
    <row r="206" spans="1:23" s="139" customFormat="1">
      <c r="A206" s="146" t="s">
        <v>479</v>
      </c>
      <c r="B206" s="147" t="s">
        <v>480</v>
      </c>
      <c r="C206" s="146" t="s">
        <v>137</v>
      </c>
      <c r="D206" s="146" t="s">
        <v>138</v>
      </c>
      <c r="E206" s="146" t="s">
        <v>139</v>
      </c>
      <c r="F206" s="146" t="s">
        <v>153</v>
      </c>
      <c r="G206" s="148" t="s">
        <v>301</v>
      </c>
      <c r="H206" s="146">
        <v>0</v>
      </c>
      <c r="I206" s="146">
        <v>16</v>
      </c>
      <c r="J206" s="146" t="s">
        <v>251</v>
      </c>
      <c r="K206" s="146" t="s">
        <v>249</v>
      </c>
      <c r="L206" s="148" t="s">
        <v>3</v>
      </c>
      <c r="M206" s="146" t="s">
        <v>142</v>
      </c>
      <c r="N206" s="149">
        <v>1000</v>
      </c>
      <c r="O206" s="152">
        <f>SUMIF('GUDANG BESAR'!C:C,K:K,'GUDANG BESAR'!I:I)</f>
        <v>9119.6</v>
      </c>
      <c r="P206" s="153">
        <f>SUMIF('GUDANG BESAR'!C:C,K:K,'GUDANG BESAR'!K:K)</f>
        <v>10122.756000000001</v>
      </c>
      <c r="Q206" s="150">
        <v>15</v>
      </c>
      <c r="R206" s="149">
        <v>15</v>
      </c>
      <c r="S206" s="149">
        <v>0</v>
      </c>
      <c r="T206" s="145">
        <f t="shared" si="9"/>
        <v>136794</v>
      </c>
      <c r="U206" s="145">
        <f t="shared" si="10"/>
        <v>151841.34000000003</v>
      </c>
      <c r="V206" s="135" t="str">
        <f>VLOOKUP(K206,Sheet1!$B$5:$C$131,2,0)</f>
        <v>DYEING</v>
      </c>
      <c r="W206" s="181">
        <f t="shared" si="11"/>
        <v>1.4999999999999999E-2</v>
      </c>
    </row>
    <row r="207" spans="1:23" s="139" customFormat="1">
      <c r="A207" s="146" t="s">
        <v>479</v>
      </c>
      <c r="B207" s="147" t="s">
        <v>480</v>
      </c>
      <c r="C207" s="146" t="s">
        <v>137</v>
      </c>
      <c r="D207" s="146" t="s">
        <v>138</v>
      </c>
      <c r="E207" s="146" t="s">
        <v>139</v>
      </c>
      <c r="F207" s="146" t="s">
        <v>162</v>
      </c>
      <c r="G207" s="148" t="s">
        <v>214</v>
      </c>
      <c r="H207" s="146">
        <v>0</v>
      </c>
      <c r="I207" s="146">
        <v>25</v>
      </c>
      <c r="J207" s="146" t="s">
        <v>165</v>
      </c>
      <c r="K207" s="146" t="s">
        <v>80</v>
      </c>
      <c r="L207" s="148" t="s">
        <v>3</v>
      </c>
      <c r="M207" s="146" t="s">
        <v>142</v>
      </c>
      <c r="N207" s="149">
        <v>1000</v>
      </c>
      <c r="O207" s="152">
        <f>SUMIF('GUDANG BESAR'!C:C,K:K,'GUDANG BESAR'!I:I)</f>
        <v>1550000</v>
      </c>
      <c r="P207" s="153">
        <f>SUMIF('GUDANG BESAR'!C:C,K:K,'GUDANG BESAR'!K:K)</f>
        <v>1720500</v>
      </c>
      <c r="Q207" s="150">
        <v>0.05</v>
      </c>
      <c r="R207" s="149">
        <v>0</v>
      </c>
      <c r="S207" s="149">
        <v>50</v>
      </c>
      <c r="T207" s="145">
        <f t="shared" si="9"/>
        <v>77500</v>
      </c>
      <c r="U207" s="145">
        <f t="shared" si="10"/>
        <v>86025</v>
      </c>
      <c r="V207" s="135" t="str">
        <f>VLOOKUP(K207,Sheet1!$B$5:$C$131,2,0)</f>
        <v>LIMBAH</v>
      </c>
      <c r="W207" s="181">
        <f t="shared" si="11"/>
        <v>5.0000000000000002E-5</v>
      </c>
    </row>
    <row r="208" spans="1:23" s="139" customFormat="1">
      <c r="A208" s="146" t="s">
        <v>479</v>
      </c>
      <c r="B208" s="147" t="s">
        <v>480</v>
      </c>
      <c r="C208" s="146" t="s">
        <v>137</v>
      </c>
      <c r="D208" s="146" t="s">
        <v>138</v>
      </c>
      <c r="E208" s="146" t="s">
        <v>139</v>
      </c>
      <c r="F208" s="146" t="s">
        <v>162</v>
      </c>
      <c r="G208" s="148" t="s">
        <v>214</v>
      </c>
      <c r="H208" s="146">
        <v>0</v>
      </c>
      <c r="I208" s="146">
        <v>24</v>
      </c>
      <c r="J208" s="146" t="s">
        <v>164</v>
      </c>
      <c r="K208" s="146" t="s">
        <v>74</v>
      </c>
      <c r="L208" s="148" t="s">
        <v>5</v>
      </c>
      <c r="M208" s="146" t="s">
        <v>142</v>
      </c>
      <c r="N208" s="149">
        <v>1000</v>
      </c>
      <c r="O208" s="152">
        <f>SUMIF('GUDANG BESAR'!C:C,K:K,'GUDANG BESAR'!I:I)</f>
        <v>13180</v>
      </c>
      <c r="P208" s="153">
        <f>SUMIF('GUDANG BESAR'!C:C,K:K,'GUDANG BESAR'!K:K)</f>
        <v>14629.8</v>
      </c>
      <c r="Q208" s="150">
        <v>15</v>
      </c>
      <c r="R208" s="149">
        <v>15</v>
      </c>
      <c r="S208" s="149">
        <v>0</v>
      </c>
      <c r="T208" s="145">
        <f t="shared" si="9"/>
        <v>197700</v>
      </c>
      <c r="U208" s="145">
        <f t="shared" si="10"/>
        <v>219447</v>
      </c>
      <c r="V208" s="135" t="str">
        <f>VLOOKUP(K208,Sheet1!$B$5:$C$131,2,0)</f>
        <v>LIMBAH</v>
      </c>
      <c r="W208" s="181">
        <f t="shared" si="11"/>
        <v>1.4999999999999999E-2</v>
      </c>
    </row>
    <row r="209" spans="1:23" s="139" customFormat="1">
      <c r="A209" s="146" t="s">
        <v>479</v>
      </c>
      <c r="B209" s="147" t="s">
        <v>480</v>
      </c>
      <c r="C209" s="146" t="s">
        <v>137</v>
      </c>
      <c r="D209" s="146" t="s">
        <v>138</v>
      </c>
      <c r="E209" s="146" t="s">
        <v>139</v>
      </c>
      <c r="F209" s="146" t="s">
        <v>162</v>
      </c>
      <c r="G209" s="148" t="s">
        <v>214</v>
      </c>
      <c r="H209" s="146">
        <v>0</v>
      </c>
      <c r="I209" s="146">
        <v>20</v>
      </c>
      <c r="J209" s="146" t="s">
        <v>262</v>
      </c>
      <c r="K209" s="146" t="s">
        <v>258</v>
      </c>
      <c r="L209" s="148" t="s">
        <v>3</v>
      </c>
      <c r="M209" s="146" t="s">
        <v>142</v>
      </c>
      <c r="N209" s="149">
        <v>1000</v>
      </c>
      <c r="O209" s="152">
        <f>SUMIF('GUDANG BESAR'!C:C,K:K,'GUDANG BESAR'!I:I)</f>
        <v>33000</v>
      </c>
      <c r="P209" s="153">
        <f>SUMIF('GUDANG BESAR'!C:C,K:K,'GUDANG BESAR'!K:K)</f>
        <v>36630</v>
      </c>
      <c r="Q209" s="150">
        <v>14</v>
      </c>
      <c r="R209" s="149">
        <v>14</v>
      </c>
      <c r="S209" s="149">
        <v>0</v>
      </c>
      <c r="T209" s="145">
        <f t="shared" si="9"/>
        <v>462000</v>
      </c>
      <c r="U209" s="145">
        <f t="shared" si="10"/>
        <v>512820</v>
      </c>
      <c r="V209" s="135" t="str">
        <f>VLOOKUP(K209,Sheet1!$B$5:$C$131,2,0)</f>
        <v>LIMBAH</v>
      </c>
      <c r="W209" s="181">
        <f t="shared" si="11"/>
        <v>1.4E-2</v>
      </c>
    </row>
    <row r="210" spans="1:23" s="139" customFormat="1">
      <c r="A210" s="146" t="s">
        <v>479</v>
      </c>
      <c r="B210" s="147" t="s">
        <v>480</v>
      </c>
      <c r="C210" s="146" t="s">
        <v>137</v>
      </c>
      <c r="D210" s="146" t="s">
        <v>138</v>
      </c>
      <c r="E210" s="146" t="s">
        <v>139</v>
      </c>
      <c r="F210" s="146" t="s">
        <v>162</v>
      </c>
      <c r="G210" s="148" t="s">
        <v>214</v>
      </c>
      <c r="H210" s="146">
        <v>0</v>
      </c>
      <c r="I210" s="146">
        <v>21</v>
      </c>
      <c r="J210" s="146" t="s">
        <v>263</v>
      </c>
      <c r="K210" s="146" t="s">
        <v>259</v>
      </c>
      <c r="L210" s="148" t="s">
        <v>3</v>
      </c>
      <c r="M210" s="146" t="s">
        <v>142</v>
      </c>
      <c r="N210" s="149">
        <v>1000</v>
      </c>
      <c r="O210" s="152">
        <f>SUMIF('GUDANG BESAR'!C:C,K:K,'GUDANG BESAR'!I:I)</f>
        <v>47500</v>
      </c>
      <c r="P210" s="153">
        <f>SUMIF('GUDANG BESAR'!C:C,K:K,'GUDANG BESAR'!K:K)</f>
        <v>52725</v>
      </c>
      <c r="Q210" s="150">
        <v>14</v>
      </c>
      <c r="R210" s="149">
        <v>14</v>
      </c>
      <c r="S210" s="149">
        <v>0</v>
      </c>
      <c r="T210" s="145">
        <f t="shared" si="9"/>
        <v>665000</v>
      </c>
      <c r="U210" s="145">
        <f t="shared" si="10"/>
        <v>738150</v>
      </c>
      <c r="V210" s="135" t="str">
        <f>VLOOKUP(K210,Sheet1!$B$5:$C$131,2,0)</f>
        <v>LIMBAH</v>
      </c>
      <c r="W210" s="181">
        <f t="shared" si="11"/>
        <v>1.4E-2</v>
      </c>
    </row>
    <row r="211" spans="1:23" s="139" customFormat="1">
      <c r="A211" s="146" t="s">
        <v>481</v>
      </c>
      <c r="B211" s="147" t="s">
        <v>482</v>
      </c>
      <c r="C211" s="146" t="s">
        <v>137</v>
      </c>
      <c r="D211" s="146" t="s">
        <v>138</v>
      </c>
      <c r="E211" s="146" t="s">
        <v>139</v>
      </c>
      <c r="F211" s="146" t="s">
        <v>166</v>
      </c>
      <c r="G211" s="148" t="s">
        <v>336</v>
      </c>
      <c r="H211" s="146">
        <v>0</v>
      </c>
      <c r="I211" s="146">
        <v>15</v>
      </c>
      <c r="J211" s="146" t="s">
        <v>157</v>
      </c>
      <c r="K211" s="146" t="s">
        <v>48</v>
      </c>
      <c r="L211" s="148" t="s">
        <v>93</v>
      </c>
      <c r="M211" s="146" t="s">
        <v>158</v>
      </c>
      <c r="N211" s="149">
        <v>1000</v>
      </c>
      <c r="O211" s="152">
        <f>SUMIF('GUDANG BESAR'!C:C,K:K,'GUDANG BESAR'!I:I)</f>
        <v>18500</v>
      </c>
      <c r="P211" s="153">
        <f>SUMIF('GUDANG BESAR'!C:C,K:K,'GUDANG BESAR'!K:K)</f>
        <v>20535</v>
      </c>
      <c r="Q211" s="150">
        <v>20</v>
      </c>
      <c r="R211" s="149">
        <v>20</v>
      </c>
      <c r="S211" s="149">
        <v>0</v>
      </c>
      <c r="T211" s="145">
        <f t="shared" si="9"/>
        <v>370000</v>
      </c>
      <c r="U211" s="145">
        <f t="shared" si="10"/>
        <v>410700</v>
      </c>
      <c r="V211" s="135" t="str">
        <f>VLOOKUP(K211,Sheet1!$B$5:$C$131,2,0)</f>
        <v>ENGGRAVING</v>
      </c>
      <c r="W211" s="181">
        <f t="shared" si="11"/>
        <v>0.02</v>
      </c>
    </row>
    <row r="212" spans="1:23" s="139" customFormat="1">
      <c r="A212" s="146" t="s">
        <v>481</v>
      </c>
      <c r="B212" s="147" t="s">
        <v>482</v>
      </c>
      <c r="C212" s="146" t="s">
        <v>137</v>
      </c>
      <c r="D212" s="146" t="s">
        <v>138</v>
      </c>
      <c r="E212" s="146" t="s">
        <v>139</v>
      </c>
      <c r="F212" s="146" t="s">
        <v>166</v>
      </c>
      <c r="G212" s="148" t="s">
        <v>336</v>
      </c>
      <c r="H212" s="146">
        <v>0</v>
      </c>
      <c r="I212" s="146">
        <v>16</v>
      </c>
      <c r="J212" s="146" t="s">
        <v>319</v>
      </c>
      <c r="K212" s="146" t="s">
        <v>72</v>
      </c>
      <c r="L212" s="148" t="s">
        <v>3</v>
      </c>
      <c r="M212" s="146" t="s">
        <v>142</v>
      </c>
      <c r="N212" s="149">
        <v>1000</v>
      </c>
      <c r="O212" s="152">
        <f>SUMIF('GUDANG BESAR'!C:C,K:K,'GUDANG BESAR'!I:I)</f>
        <v>113890</v>
      </c>
      <c r="P212" s="153">
        <f>SUMIF('GUDANG BESAR'!C:C,K:K,'GUDANG BESAR'!K:K)</f>
        <v>126417.9</v>
      </c>
      <c r="Q212" s="150">
        <v>50</v>
      </c>
      <c r="R212" s="149">
        <v>50</v>
      </c>
      <c r="S212" s="149">
        <v>0</v>
      </c>
      <c r="T212" s="145">
        <f t="shared" si="9"/>
        <v>5694500</v>
      </c>
      <c r="U212" s="145">
        <f t="shared" si="10"/>
        <v>6320895</v>
      </c>
      <c r="V212" s="135" t="str">
        <f>VLOOKUP(K212,Sheet1!$B$5:$C$131,2,0)</f>
        <v>ENGGRAVING</v>
      </c>
      <c r="W212" s="181">
        <f t="shared" si="11"/>
        <v>0.05</v>
      </c>
    </row>
    <row r="213" spans="1:23" s="139" customFormat="1">
      <c r="A213" s="146" t="s">
        <v>481</v>
      </c>
      <c r="B213" s="147" t="s">
        <v>482</v>
      </c>
      <c r="C213" s="146" t="s">
        <v>137</v>
      </c>
      <c r="D213" s="146" t="s">
        <v>138</v>
      </c>
      <c r="E213" s="146" t="s">
        <v>139</v>
      </c>
      <c r="F213" s="146" t="s">
        <v>140</v>
      </c>
      <c r="G213" s="148" t="s">
        <v>303</v>
      </c>
      <c r="H213" s="146">
        <v>0</v>
      </c>
      <c r="I213" s="146">
        <v>1</v>
      </c>
      <c r="J213" s="146" t="s">
        <v>141</v>
      </c>
      <c r="K213" s="146" t="s">
        <v>37</v>
      </c>
      <c r="L213" s="148" t="s">
        <v>3</v>
      </c>
      <c r="M213" s="146" t="s">
        <v>142</v>
      </c>
      <c r="N213" s="149">
        <v>1000</v>
      </c>
      <c r="O213" s="152">
        <f>SUMIF('GUDANG BESAR'!C:C,K:K,'GUDANG BESAR'!I:I)</f>
        <v>51276</v>
      </c>
      <c r="P213" s="153">
        <f>SUMIF('GUDANG BESAR'!C:C,K:K,'GUDANG BESAR'!K:K)</f>
        <v>56916.36</v>
      </c>
      <c r="Q213" s="150">
        <v>12.242000000000001</v>
      </c>
      <c r="R213" s="149">
        <v>12</v>
      </c>
      <c r="S213" s="149">
        <v>242</v>
      </c>
      <c r="T213" s="145">
        <f t="shared" si="9"/>
        <v>627720.79200000002</v>
      </c>
      <c r="U213" s="145">
        <f t="shared" si="10"/>
        <v>696770.07912000001</v>
      </c>
      <c r="V213" s="135" t="str">
        <f>VLOOKUP(K213,Sheet1!$B$5:$C$131,2,0)</f>
        <v>DYESTUFF</v>
      </c>
      <c r="W213" s="181">
        <f t="shared" si="11"/>
        <v>1.2242000000000001E-2</v>
      </c>
    </row>
    <row r="214" spans="1:23" s="139" customFormat="1">
      <c r="A214" s="146" t="s">
        <v>481</v>
      </c>
      <c r="B214" s="147" t="s">
        <v>482</v>
      </c>
      <c r="C214" s="146" t="s">
        <v>137</v>
      </c>
      <c r="D214" s="146" t="s">
        <v>138</v>
      </c>
      <c r="E214" s="146" t="s">
        <v>139</v>
      </c>
      <c r="F214" s="146" t="s">
        <v>140</v>
      </c>
      <c r="G214" s="148" t="s">
        <v>303</v>
      </c>
      <c r="H214" s="146">
        <v>0</v>
      </c>
      <c r="I214" s="146">
        <v>3</v>
      </c>
      <c r="J214" s="146" t="s">
        <v>143</v>
      </c>
      <c r="K214" s="146" t="s">
        <v>90</v>
      </c>
      <c r="L214" s="148" t="s">
        <v>3</v>
      </c>
      <c r="M214" s="146" t="s">
        <v>142</v>
      </c>
      <c r="N214" s="149">
        <v>1000</v>
      </c>
      <c r="O214" s="152">
        <f>SUMIF('GUDANG BESAR'!C:C,K:K,'GUDANG BESAR'!I:I)</f>
        <v>194556</v>
      </c>
      <c r="P214" s="153">
        <f>SUMIF('GUDANG BESAR'!C:C,K:K,'GUDANG BESAR'!K:K)</f>
        <v>215957.16</v>
      </c>
      <c r="Q214" s="150">
        <v>0.10299999999999999</v>
      </c>
      <c r="R214" s="149">
        <v>0</v>
      </c>
      <c r="S214" s="149">
        <v>103</v>
      </c>
      <c r="T214" s="145">
        <f t="shared" si="9"/>
        <v>20039.268</v>
      </c>
      <c r="U214" s="145">
        <f t="shared" si="10"/>
        <v>22243.587479999998</v>
      </c>
      <c r="V214" s="135" t="str">
        <f>VLOOKUP(K214,Sheet1!$B$5:$C$131,2,0)</f>
        <v>DYESTUFF</v>
      </c>
      <c r="W214" s="181">
        <f t="shared" si="11"/>
        <v>1.03E-4</v>
      </c>
    </row>
    <row r="215" spans="1:23" s="139" customFormat="1">
      <c r="A215" s="146" t="s">
        <v>481</v>
      </c>
      <c r="B215" s="147" t="s">
        <v>482</v>
      </c>
      <c r="C215" s="146" t="s">
        <v>137</v>
      </c>
      <c r="D215" s="146" t="s">
        <v>138</v>
      </c>
      <c r="E215" s="146" t="s">
        <v>139</v>
      </c>
      <c r="F215" s="146" t="s">
        <v>140</v>
      </c>
      <c r="G215" s="148" t="s">
        <v>303</v>
      </c>
      <c r="H215" s="146">
        <v>0</v>
      </c>
      <c r="I215" s="146">
        <v>2</v>
      </c>
      <c r="J215" s="146" t="s">
        <v>346</v>
      </c>
      <c r="K215" s="146" t="s">
        <v>343</v>
      </c>
      <c r="L215" s="148" t="s">
        <v>3</v>
      </c>
      <c r="M215" s="146" t="s">
        <v>142</v>
      </c>
      <c r="N215" s="149">
        <v>1000</v>
      </c>
      <c r="O215" s="152">
        <f>SUMIF('GUDANG BESAR'!C:C,K:K,'GUDANG BESAR'!I:I)</f>
        <v>60680</v>
      </c>
      <c r="P215" s="153">
        <f>SUMIF('GUDANG BESAR'!C:C,K:K,'GUDANG BESAR'!K:K)</f>
        <v>67354.8</v>
      </c>
      <c r="Q215" s="150">
        <v>17.82</v>
      </c>
      <c r="R215" s="149">
        <v>17</v>
      </c>
      <c r="S215" s="149">
        <v>820</v>
      </c>
      <c r="T215" s="145">
        <f t="shared" si="9"/>
        <v>1081317.6000000001</v>
      </c>
      <c r="U215" s="145">
        <f t="shared" si="10"/>
        <v>1200262.5360000001</v>
      </c>
      <c r="V215" s="135" t="str">
        <f>VLOOKUP(K215,Sheet1!$B$5:$C$131,2,0)</f>
        <v>DYESTUFF</v>
      </c>
      <c r="W215" s="181">
        <f t="shared" si="11"/>
        <v>1.7819999999999999E-2</v>
      </c>
    </row>
    <row r="216" spans="1:23" s="139" customFormat="1">
      <c r="A216" s="146" t="s">
        <v>481</v>
      </c>
      <c r="B216" s="147" t="s">
        <v>482</v>
      </c>
      <c r="C216" s="146" t="s">
        <v>137</v>
      </c>
      <c r="D216" s="146" t="s">
        <v>138</v>
      </c>
      <c r="E216" s="146" t="s">
        <v>139</v>
      </c>
      <c r="F216" s="146" t="s">
        <v>140</v>
      </c>
      <c r="G216" s="148" t="s">
        <v>303</v>
      </c>
      <c r="H216" s="146">
        <v>0</v>
      </c>
      <c r="I216" s="146">
        <v>11</v>
      </c>
      <c r="J216" s="146" t="s">
        <v>151</v>
      </c>
      <c r="K216" s="146" t="s">
        <v>28</v>
      </c>
      <c r="L216" s="148" t="s">
        <v>3</v>
      </c>
      <c r="M216" s="146" t="s">
        <v>142</v>
      </c>
      <c r="N216" s="149">
        <v>1000</v>
      </c>
      <c r="O216" s="152">
        <f>SUMIF('GUDANG BESAR'!C:C,K:K,'GUDANG BESAR'!I:I)</f>
        <v>413967</v>
      </c>
      <c r="P216" s="153">
        <f>SUMIF('GUDANG BESAR'!C:C,K:K,'GUDANG BESAR'!K:K)</f>
        <v>459503.37</v>
      </c>
      <c r="Q216" s="150">
        <v>6.6000000000000003E-2</v>
      </c>
      <c r="R216" s="149">
        <v>0</v>
      </c>
      <c r="S216" s="149">
        <v>66</v>
      </c>
      <c r="T216" s="145">
        <f t="shared" si="9"/>
        <v>27321.822</v>
      </c>
      <c r="U216" s="145">
        <f t="shared" si="10"/>
        <v>30327.222420000002</v>
      </c>
      <c r="V216" s="135" t="str">
        <f>VLOOKUP(K216,Sheet1!$B$5:$C$131,2,0)</f>
        <v>DYESTUFF</v>
      </c>
      <c r="W216" s="181">
        <f t="shared" si="11"/>
        <v>6.6000000000000005E-5</v>
      </c>
    </row>
    <row r="217" spans="1:23" s="139" customFormat="1">
      <c r="A217" s="146" t="s">
        <v>481</v>
      </c>
      <c r="B217" s="147" t="s">
        <v>482</v>
      </c>
      <c r="C217" s="146" t="s">
        <v>137</v>
      </c>
      <c r="D217" s="146" t="s">
        <v>138</v>
      </c>
      <c r="E217" s="146" t="s">
        <v>139</v>
      </c>
      <c r="F217" s="146" t="s">
        <v>140</v>
      </c>
      <c r="G217" s="148" t="s">
        <v>303</v>
      </c>
      <c r="H217" s="146">
        <v>0</v>
      </c>
      <c r="I217" s="146">
        <v>4</v>
      </c>
      <c r="J217" s="146" t="s">
        <v>250</v>
      </c>
      <c r="K217" s="146" t="s">
        <v>38</v>
      </c>
      <c r="L217" s="148" t="s">
        <v>3</v>
      </c>
      <c r="M217" s="146" t="s">
        <v>142</v>
      </c>
      <c r="N217" s="149">
        <v>1000</v>
      </c>
      <c r="O217" s="152">
        <f>SUMIF('GUDANG BESAR'!C:C,K:K,'GUDANG BESAR'!I:I)</f>
        <v>366255</v>
      </c>
      <c r="P217" s="153">
        <f>SUMIF('GUDANG BESAR'!C:C,K:K,'GUDANG BESAR'!K:K)</f>
        <v>406543.05</v>
      </c>
      <c r="Q217" s="150">
        <v>0.313</v>
      </c>
      <c r="R217" s="149">
        <v>0</v>
      </c>
      <c r="S217" s="149">
        <v>313</v>
      </c>
      <c r="T217" s="145">
        <f t="shared" si="9"/>
        <v>114637.815</v>
      </c>
      <c r="U217" s="145">
        <f t="shared" si="10"/>
        <v>127247.97465</v>
      </c>
      <c r="V217" s="135" t="str">
        <f>VLOOKUP(K217,Sheet1!$B$5:$C$131,2,0)</f>
        <v>DYESTUFF</v>
      </c>
      <c r="W217" s="181">
        <f t="shared" si="11"/>
        <v>3.1300000000000002E-4</v>
      </c>
    </row>
    <row r="218" spans="1:23" s="139" customFormat="1">
      <c r="A218" s="146" t="s">
        <v>481</v>
      </c>
      <c r="B218" s="147" t="s">
        <v>482</v>
      </c>
      <c r="C218" s="146" t="s">
        <v>137</v>
      </c>
      <c r="D218" s="146" t="s">
        <v>138</v>
      </c>
      <c r="E218" s="146" t="s">
        <v>139</v>
      </c>
      <c r="F218" s="146" t="s">
        <v>140</v>
      </c>
      <c r="G218" s="148" t="s">
        <v>303</v>
      </c>
      <c r="H218" s="146">
        <v>0</v>
      </c>
      <c r="I218" s="146">
        <v>5</v>
      </c>
      <c r="J218" s="146" t="s">
        <v>144</v>
      </c>
      <c r="K218" s="146" t="s">
        <v>26</v>
      </c>
      <c r="L218" s="148" t="s">
        <v>3</v>
      </c>
      <c r="M218" s="146" t="s">
        <v>142</v>
      </c>
      <c r="N218" s="149">
        <v>1000</v>
      </c>
      <c r="O218" s="152">
        <f>SUMIF('GUDANG BESAR'!C:C,K:K,'GUDANG BESAR'!I:I)</f>
        <v>52016</v>
      </c>
      <c r="P218" s="153">
        <f>SUMIF('GUDANG BESAR'!C:C,K:K,'GUDANG BESAR'!K:K)</f>
        <v>57737.760000000002</v>
      </c>
      <c r="Q218" s="150">
        <v>9.4120000000000008</v>
      </c>
      <c r="R218" s="149">
        <v>9</v>
      </c>
      <c r="S218" s="149">
        <v>412</v>
      </c>
      <c r="T218" s="145">
        <f t="shared" si="9"/>
        <v>489574.59200000006</v>
      </c>
      <c r="U218" s="145">
        <f t="shared" si="10"/>
        <v>543427.79712000012</v>
      </c>
      <c r="V218" s="135" t="str">
        <f>VLOOKUP(K218,Sheet1!$B$5:$C$131,2,0)</f>
        <v>DYESTUFF</v>
      </c>
      <c r="W218" s="181">
        <f t="shared" si="11"/>
        <v>9.4120000000000002E-3</v>
      </c>
    </row>
    <row r="219" spans="1:23" s="139" customFormat="1">
      <c r="A219" s="146" t="s">
        <v>481</v>
      </c>
      <c r="B219" s="147" t="s">
        <v>482</v>
      </c>
      <c r="C219" s="146" t="s">
        <v>137</v>
      </c>
      <c r="D219" s="146" t="s">
        <v>138</v>
      </c>
      <c r="E219" s="146" t="s">
        <v>139</v>
      </c>
      <c r="F219" s="146" t="s">
        <v>140</v>
      </c>
      <c r="G219" s="148" t="s">
        <v>303</v>
      </c>
      <c r="H219" s="146">
        <v>0</v>
      </c>
      <c r="I219" s="146">
        <v>6</v>
      </c>
      <c r="J219" s="146" t="s">
        <v>145</v>
      </c>
      <c r="K219" s="146" t="s">
        <v>27</v>
      </c>
      <c r="L219" s="148" t="s">
        <v>3</v>
      </c>
      <c r="M219" s="146" t="s">
        <v>142</v>
      </c>
      <c r="N219" s="149">
        <v>1000</v>
      </c>
      <c r="O219" s="152">
        <f>SUMIF('GUDANG BESAR'!C:C,K:K,'GUDANG BESAR'!I:I)</f>
        <v>71148</v>
      </c>
      <c r="P219" s="153">
        <f>SUMIF('GUDANG BESAR'!C:C,K:K,'GUDANG BESAR'!K:K)</f>
        <v>78974.28</v>
      </c>
      <c r="Q219" s="150">
        <v>2.161</v>
      </c>
      <c r="R219" s="149">
        <v>2</v>
      </c>
      <c r="S219" s="149">
        <v>161</v>
      </c>
      <c r="T219" s="145">
        <f t="shared" si="9"/>
        <v>153750.82800000001</v>
      </c>
      <c r="U219" s="145">
        <f t="shared" si="10"/>
        <v>170663.41907999999</v>
      </c>
      <c r="V219" s="135" t="str">
        <f>VLOOKUP(K219,Sheet1!$B$5:$C$131,2,0)</f>
        <v>DYESTUFF</v>
      </c>
      <c r="W219" s="181">
        <f t="shared" si="11"/>
        <v>2.1610000000000002E-3</v>
      </c>
    </row>
    <row r="220" spans="1:23" s="139" customFormat="1">
      <c r="A220" s="146" t="s">
        <v>481</v>
      </c>
      <c r="B220" s="147" t="s">
        <v>482</v>
      </c>
      <c r="C220" s="146" t="s">
        <v>137</v>
      </c>
      <c r="D220" s="146" t="s">
        <v>138</v>
      </c>
      <c r="E220" s="146" t="s">
        <v>139</v>
      </c>
      <c r="F220" s="146" t="s">
        <v>140</v>
      </c>
      <c r="G220" s="148" t="s">
        <v>303</v>
      </c>
      <c r="H220" s="146">
        <v>0</v>
      </c>
      <c r="I220" s="146">
        <v>7</v>
      </c>
      <c r="J220" s="146" t="s">
        <v>289</v>
      </c>
      <c r="K220" s="146" t="s">
        <v>255</v>
      </c>
      <c r="L220" s="148" t="s">
        <v>3</v>
      </c>
      <c r="M220" s="146" t="s">
        <v>142</v>
      </c>
      <c r="N220" s="149">
        <v>1000</v>
      </c>
      <c r="O220" s="152">
        <f>SUMIF('GUDANG BESAR'!C:C,K:K,'GUDANG BESAR'!I:I)</f>
        <v>195336</v>
      </c>
      <c r="P220" s="153">
        <f>SUMIF('GUDANG BESAR'!C:C,K:K,'GUDANG BESAR'!K:K)</f>
        <v>216822.96</v>
      </c>
      <c r="Q220" s="150">
        <v>3.0000000000000001E-3</v>
      </c>
      <c r="R220" s="149">
        <v>0</v>
      </c>
      <c r="S220" s="149">
        <v>3</v>
      </c>
      <c r="T220" s="145">
        <f t="shared" si="9"/>
        <v>586.00800000000004</v>
      </c>
      <c r="U220" s="145">
        <f t="shared" si="10"/>
        <v>650.46888000000001</v>
      </c>
      <c r="V220" s="135" t="str">
        <f>VLOOKUP(K220,Sheet1!$B$5:$C$131,2,0)</f>
        <v>DYESTUFF</v>
      </c>
      <c r="W220" s="181">
        <f t="shared" si="11"/>
        <v>3.0000000000000001E-6</v>
      </c>
    </row>
    <row r="221" spans="1:23" s="139" customFormat="1">
      <c r="A221" s="146" t="s">
        <v>481</v>
      </c>
      <c r="B221" s="147" t="s">
        <v>482</v>
      </c>
      <c r="C221" s="146" t="s">
        <v>137</v>
      </c>
      <c r="D221" s="146" t="s">
        <v>138</v>
      </c>
      <c r="E221" s="146" t="s">
        <v>139</v>
      </c>
      <c r="F221" s="146" t="s">
        <v>140</v>
      </c>
      <c r="G221" s="148" t="s">
        <v>303</v>
      </c>
      <c r="H221" s="146">
        <v>0</v>
      </c>
      <c r="I221" s="146">
        <v>8</v>
      </c>
      <c r="J221" s="146" t="s">
        <v>171</v>
      </c>
      <c r="K221" s="146" t="s">
        <v>102</v>
      </c>
      <c r="L221" s="148" t="s">
        <v>3</v>
      </c>
      <c r="M221" s="146" t="s">
        <v>142</v>
      </c>
      <c r="N221" s="149">
        <v>1000</v>
      </c>
      <c r="O221" s="152">
        <f>SUMIF('GUDANG BESAR'!C:C,K:K,'GUDANG BESAR'!I:I)</f>
        <v>385283</v>
      </c>
      <c r="P221" s="153">
        <f>SUMIF('GUDANG BESAR'!C:C,K:K,'GUDANG BESAR'!K:K)</f>
        <v>427664.13</v>
      </c>
      <c r="Q221" s="150">
        <v>2E-3</v>
      </c>
      <c r="R221" s="149">
        <v>0</v>
      </c>
      <c r="S221" s="149">
        <v>2</v>
      </c>
      <c r="T221" s="145">
        <f t="shared" si="9"/>
        <v>770.56600000000003</v>
      </c>
      <c r="U221" s="145">
        <f t="shared" si="10"/>
        <v>855.32826</v>
      </c>
      <c r="V221" s="135" t="str">
        <f>VLOOKUP(K221,Sheet1!$B$5:$C$131,2,0)</f>
        <v>DYESTUFF</v>
      </c>
      <c r="W221" s="181">
        <f t="shared" si="11"/>
        <v>1.9999999999999999E-6</v>
      </c>
    </row>
    <row r="222" spans="1:23" s="139" customFormat="1">
      <c r="A222" s="146" t="s">
        <v>481</v>
      </c>
      <c r="B222" s="147" t="s">
        <v>482</v>
      </c>
      <c r="C222" s="146" t="s">
        <v>137</v>
      </c>
      <c r="D222" s="146" t="s">
        <v>138</v>
      </c>
      <c r="E222" s="146" t="s">
        <v>139</v>
      </c>
      <c r="F222" s="146" t="s">
        <v>140</v>
      </c>
      <c r="G222" s="148" t="s">
        <v>303</v>
      </c>
      <c r="H222" s="146">
        <v>0</v>
      </c>
      <c r="I222" s="146">
        <v>9</v>
      </c>
      <c r="J222" s="146" t="s">
        <v>146</v>
      </c>
      <c r="K222" s="146" t="s">
        <v>46</v>
      </c>
      <c r="L222" s="148" t="s">
        <v>3</v>
      </c>
      <c r="M222" s="146" t="s">
        <v>142</v>
      </c>
      <c r="N222" s="149">
        <v>1000</v>
      </c>
      <c r="O222" s="152">
        <f>SUMIF('GUDANG BESAR'!C:C,K:K,'GUDANG BESAR'!I:I)</f>
        <v>100812</v>
      </c>
      <c r="P222" s="153">
        <f>SUMIF('GUDANG BESAR'!C:C,K:K,'GUDANG BESAR'!K:K)</f>
        <v>111901.32</v>
      </c>
      <c r="Q222" s="150">
        <v>0.64100000000000001</v>
      </c>
      <c r="R222" s="149">
        <v>0</v>
      </c>
      <c r="S222" s="149">
        <v>641</v>
      </c>
      <c r="T222" s="145">
        <f t="shared" si="9"/>
        <v>64620.491999999998</v>
      </c>
      <c r="U222" s="145">
        <f t="shared" si="10"/>
        <v>71728.746120000011</v>
      </c>
      <c r="V222" s="135" t="str">
        <f>VLOOKUP(K222,Sheet1!$B$5:$C$131,2,0)</f>
        <v>DYESTUFF</v>
      </c>
      <c r="W222" s="181">
        <f t="shared" si="11"/>
        <v>6.4099999999999997E-4</v>
      </c>
    </row>
    <row r="223" spans="1:23" s="139" customFormat="1">
      <c r="A223" s="146" t="s">
        <v>481</v>
      </c>
      <c r="B223" s="147" t="s">
        <v>482</v>
      </c>
      <c r="C223" s="146" t="s">
        <v>137</v>
      </c>
      <c r="D223" s="146" t="s">
        <v>138</v>
      </c>
      <c r="E223" s="146" t="s">
        <v>139</v>
      </c>
      <c r="F223" s="146" t="s">
        <v>140</v>
      </c>
      <c r="G223" s="148" t="s">
        <v>303</v>
      </c>
      <c r="H223" s="146">
        <v>0</v>
      </c>
      <c r="I223" s="146">
        <v>10</v>
      </c>
      <c r="J223" s="146" t="s">
        <v>147</v>
      </c>
      <c r="K223" s="146" t="s">
        <v>41</v>
      </c>
      <c r="L223" s="148" t="s">
        <v>3</v>
      </c>
      <c r="M223" s="146" t="s">
        <v>142</v>
      </c>
      <c r="N223" s="149">
        <v>1000</v>
      </c>
      <c r="O223" s="152">
        <f>SUMIF('GUDANG BESAR'!C:C,K:K,'GUDANG BESAR'!I:I)</f>
        <v>54071</v>
      </c>
      <c r="P223" s="153">
        <f>SUMIF('GUDANG BESAR'!C:C,K:K,'GUDANG BESAR'!K:K)</f>
        <v>60018.81</v>
      </c>
      <c r="Q223" s="150">
        <v>5.8</v>
      </c>
      <c r="R223" s="149">
        <v>5</v>
      </c>
      <c r="S223" s="149">
        <v>800</v>
      </c>
      <c r="T223" s="145">
        <f t="shared" si="9"/>
        <v>313611.8</v>
      </c>
      <c r="U223" s="145">
        <f t="shared" si="10"/>
        <v>348109.098</v>
      </c>
      <c r="V223" s="135" t="str">
        <f>VLOOKUP(K223,Sheet1!$B$5:$C$131,2,0)</f>
        <v>DYESTUFF</v>
      </c>
      <c r="W223" s="181">
        <f t="shared" si="11"/>
        <v>5.7999999999999996E-3</v>
      </c>
    </row>
    <row r="224" spans="1:23" s="139" customFormat="1">
      <c r="A224" s="146" t="s">
        <v>481</v>
      </c>
      <c r="B224" s="147" t="s">
        <v>482</v>
      </c>
      <c r="C224" s="146" t="s">
        <v>137</v>
      </c>
      <c r="D224" s="146" t="s">
        <v>138</v>
      </c>
      <c r="E224" s="146" t="s">
        <v>139</v>
      </c>
      <c r="F224" s="146" t="s">
        <v>140</v>
      </c>
      <c r="G224" s="148" t="s">
        <v>303</v>
      </c>
      <c r="H224" s="146">
        <v>0</v>
      </c>
      <c r="I224" s="146">
        <v>12</v>
      </c>
      <c r="J224" s="146" t="s">
        <v>170</v>
      </c>
      <c r="K224" s="146" t="s">
        <v>29</v>
      </c>
      <c r="L224" s="148" t="s">
        <v>3</v>
      </c>
      <c r="M224" s="146" t="s">
        <v>142</v>
      </c>
      <c r="N224" s="149">
        <v>1000</v>
      </c>
      <c r="O224" s="152">
        <f>SUMIF('GUDANG BESAR'!C:C,K:K,'GUDANG BESAR'!I:I)</f>
        <v>100590</v>
      </c>
      <c r="P224" s="153">
        <f>SUMIF('GUDANG BESAR'!C:C,K:K,'GUDANG BESAR'!K:K)</f>
        <v>111654.9</v>
      </c>
      <c r="Q224" s="150">
        <v>1E-3</v>
      </c>
      <c r="R224" s="149">
        <v>0</v>
      </c>
      <c r="S224" s="149">
        <v>1</v>
      </c>
      <c r="T224" s="145">
        <f t="shared" si="9"/>
        <v>100.59</v>
      </c>
      <c r="U224" s="145">
        <f t="shared" si="10"/>
        <v>111.6549</v>
      </c>
      <c r="V224" s="135" t="str">
        <f>VLOOKUP(K224,Sheet1!$B$5:$C$131,2,0)</f>
        <v>DYESTUFF</v>
      </c>
      <c r="W224" s="181">
        <f t="shared" si="11"/>
        <v>9.9999999999999995E-7</v>
      </c>
    </row>
    <row r="225" spans="1:23" s="139" customFormat="1">
      <c r="A225" s="146" t="s">
        <v>481</v>
      </c>
      <c r="B225" s="147" t="s">
        <v>482</v>
      </c>
      <c r="C225" s="146" t="s">
        <v>137</v>
      </c>
      <c r="D225" s="146" t="s">
        <v>138</v>
      </c>
      <c r="E225" s="146" t="s">
        <v>139</v>
      </c>
      <c r="F225" s="146" t="s">
        <v>140</v>
      </c>
      <c r="G225" s="148" t="s">
        <v>303</v>
      </c>
      <c r="H225" s="146">
        <v>0</v>
      </c>
      <c r="I225" s="146">
        <v>13</v>
      </c>
      <c r="J225" s="146" t="s">
        <v>148</v>
      </c>
      <c r="K225" s="146" t="s">
        <v>30</v>
      </c>
      <c r="L225" s="148" t="s">
        <v>3</v>
      </c>
      <c r="M225" s="146" t="s">
        <v>142</v>
      </c>
      <c r="N225" s="149">
        <v>1000</v>
      </c>
      <c r="O225" s="152">
        <f>SUMIF('GUDANG BESAR'!C:C,K:K,'GUDANG BESAR'!I:I)</f>
        <v>77089.399999999994</v>
      </c>
      <c r="P225" s="153">
        <f>SUMIF('GUDANG BESAR'!C:C,K:K,'GUDANG BESAR'!K:K)</f>
        <v>85569.233999999997</v>
      </c>
      <c r="Q225" s="150">
        <v>3.8759999999999999</v>
      </c>
      <c r="R225" s="149">
        <v>3</v>
      </c>
      <c r="S225" s="149">
        <v>876</v>
      </c>
      <c r="T225" s="145">
        <f t="shared" si="9"/>
        <v>298798.51439999999</v>
      </c>
      <c r="U225" s="145">
        <f t="shared" si="10"/>
        <v>331666.35098399996</v>
      </c>
      <c r="V225" s="135" t="str">
        <f>VLOOKUP(K225,Sheet1!$B$5:$C$131,2,0)</f>
        <v>DYESTUFF</v>
      </c>
      <c r="W225" s="181">
        <f t="shared" si="11"/>
        <v>3.8760000000000001E-3</v>
      </c>
    </row>
    <row r="226" spans="1:23" s="139" customFormat="1">
      <c r="A226" s="146" t="s">
        <v>481</v>
      </c>
      <c r="B226" s="147" t="s">
        <v>482</v>
      </c>
      <c r="C226" s="146" t="s">
        <v>137</v>
      </c>
      <c r="D226" s="146" t="s">
        <v>138</v>
      </c>
      <c r="E226" s="146" t="s">
        <v>139</v>
      </c>
      <c r="F226" s="146" t="s">
        <v>140</v>
      </c>
      <c r="G226" s="148" t="s">
        <v>300</v>
      </c>
      <c r="H226" s="146">
        <v>0</v>
      </c>
      <c r="I226" s="146">
        <v>14</v>
      </c>
      <c r="J226" s="146" t="s">
        <v>314</v>
      </c>
      <c r="K226" s="146" t="s">
        <v>281</v>
      </c>
      <c r="L226" s="148" t="s">
        <v>3</v>
      </c>
      <c r="M226" s="146" t="s">
        <v>142</v>
      </c>
      <c r="N226" s="149">
        <v>1000</v>
      </c>
      <c r="O226" s="152">
        <f>SUMIF('GUDANG BESAR'!C:C,K:K,'GUDANG BESAR'!I:I)</f>
        <v>23590.51</v>
      </c>
      <c r="P226" s="153">
        <f>SUMIF('GUDANG BESAR'!C:C,K:K,'GUDANG BESAR'!K:K)</f>
        <v>26185.466099999998</v>
      </c>
      <c r="Q226" s="150">
        <v>180</v>
      </c>
      <c r="R226" s="149">
        <v>180</v>
      </c>
      <c r="S226" s="149">
        <v>0</v>
      </c>
      <c r="T226" s="145">
        <f t="shared" si="9"/>
        <v>4246291.8</v>
      </c>
      <c r="U226" s="145">
        <f t="shared" si="10"/>
        <v>4713383.898</v>
      </c>
      <c r="V226" s="135" t="str">
        <f>VLOOKUP(K226,Sheet1!$B$5:$C$131,2,0)</f>
        <v>CK</v>
      </c>
      <c r="W226" s="181">
        <f t="shared" si="11"/>
        <v>0.18</v>
      </c>
    </row>
    <row r="227" spans="1:23" s="139" customFormat="1">
      <c r="A227" s="146" t="s">
        <v>481</v>
      </c>
      <c r="B227" s="147" t="s">
        <v>482</v>
      </c>
      <c r="C227" s="146" t="s">
        <v>137</v>
      </c>
      <c r="D227" s="146" t="s">
        <v>138</v>
      </c>
      <c r="E227" s="146" t="s">
        <v>139</v>
      </c>
      <c r="F227" s="146" t="s">
        <v>162</v>
      </c>
      <c r="G227" s="148" t="s">
        <v>214</v>
      </c>
      <c r="H227" s="146">
        <v>0</v>
      </c>
      <c r="I227" s="146">
        <v>17</v>
      </c>
      <c r="J227" s="146" t="s">
        <v>377</v>
      </c>
      <c r="K227" s="146" t="s">
        <v>372</v>
      </c>
      <c r="L227" s="148" t="s">
        <v>3</v>
      </c>
      <c r="M227" s="146" t="s">
        <v>142</v>
      </c>
      <c r="N227" s="149">
        <v>1000</v>
      </c>
      <c r="O227" s="152">
        <f>SUMIF('GUDANG BESAR'!C:C,K:K,'GUDANG BESAR'!I:I)</f>
        <v>5500</v>
      </c>
      <c r="P227" s="153">
        <f>SUMIF('GUDANG BESAR'!C:C,K:K,'GUDANG BESAR'!K:K)</f>
        <v>6105</v>
      </c>
      <c r="Q227" s="150">
        <v>100</v>
      </c>
      <c r="R227" s="149">
        <v>100</v>
      </c>
      <c r="S227" s="149">
        <v>0</v>
      </c>
      <c r="T227" s="145">
        <f t="shared" si="9"/>
        <v>550000</v>
      </c>
      <c r="U227" s="145">
        <f t="shared" si="10"/>
        <v>610500</v>
      </c>
      <c r="V227" s="135" t="str">
        <f>VLOOKUP(K227,Sheet1!$B$5:$C$131,2,0)</f>
        <v>LIMBAH</v>
      </c>
      <c r="W227" s="181">
        <f t="shared" si="11"/>
        <v>0.1</v>
      </c>
    </row>
    <row r="228" spans="1:23" s="139" customFormat="1">
      <c r="A228" s="146" t="s">
        <v>481</v>
      </c>
      <c r="B228" s="147" t="s">
        <v>482</v>
      </c>
      <c r="C228" s="146" t="s">
        <v>137</v>
      </c>
      <c r="D228" s="146" t="s">
        <v>138</v>
      </c>
      <c r="E228" s="146" t="s">
        <v>139</v>
      </c>
      <c r="F228" s="146" t="s">
        <v>162</v>
      </c>
      <c r="G228" s="148" t="s">
        <v>214</v>
      </c>
      <c r="H228" s="146">
        <v>0</v>
      </c>
      <c r="I228" s="146">
        <v>21</v>
      </c>
      <c r="J228" s="146" t="s">
        <v>165</v>
      </c>
      <c r="K228" s="146" t="s">
        <v>80</v>
      </c>
      <c r="L228" s="148" t="s">
        <v>3</v>
      </c>
      <c r="M228" s="146" t="s">
        <v>142</v>
      </c>
      <c r="N228" s="149">
        <v>1000</v>
      </c>
      <c r="O228" s="152">
        <f>SUMIF('GUDANG BESAR'!C:C,K:K,'GUDANG BESAR'!I:I)</f>
        <v>1550000</v>
      </c>
      <c r="P228" s="153">
        <f>SUMIF('GUDANG BESAR'!C:C,K:K,'GUDANG BESAR'!K:K)</f>
        <v>1720500</v>
      </c>
      <c r="Q228" s="150">
        <v>0.05</v>
      </c>
      <c r="R228" s="149">
        <v>0</v>
      </c>
      <c r="S228" s="149">
        <v>50</v>
      </c>
      <c r="T228" s="145">
        <f t="shared" si="9"/>
        <v>77500</v>
      </c>
      <c r="U228" s="145">
        <f t="shared" si="10"/>
        <v>86025</v>
      </c>
      <c r="V228" s="135" t="str">
        <f>VLOOKUP(K228,Sheet1!$B$5:$C$131,2,0)</f>
        <v>LIMBAH</v>
      </c>
      <c r="W228" s="181">
        <f t="shared" si="11"/>
        <v>5.0000000000000002E-5</v>
      </c>
    </row>
    <row r="229" spans="1:23" s="139" customFormat="1">
      <c r="A229" s="146" t="s">
        <v>481</v>
      </c>
      <c r="B229" s="147" t="s">
        <v>482</v>
      </c>
      <c r="C229" s="146" t="s">
        <v>137</v>
      </c>
      <c r="D229" s="146" t="s">
        <v>138</v>
      </c>
      <c r="E229" s="146" t="s">
        <v>139</v>
      </c>
      <c r="F229" s="146" t="s">
        <v>162</v>
      </c>
      <c r="G229" s="148" t="s">
        <v>214</v>
      </c>
      <c r="H229" s="146">
        <v>0</v>
      </c>
      <c r="I229" s="146">
        <v>20</v>
      </c>
      <c r="J229" s="146" t="s">
        <v>164</v>
      </c>
      <c r="K229" s="146" t="s">
        <v>74</v>
      </c>
      <c r="L229" s="148" t="s">
        <v>5</v>
      </c>
      <c r="M229" s="146" t="s">
        <v>142</v>
      </c>
      <c r="N229" s="149">
        <v>1000</v>
      </c>
      <c r="O229" s="152">
        <f>SUMIF('GUDANG BESAR'!C:C,K:K,'GUDANG BESAR'!I:I)</f>
        <v>13180</v>
      </c>
      <c r="P229" s="153">
        <f>SUMIF('GUDANG BESAR'!C:C,K:K,'GUDANG BESAR'!K:K)</f>
        <v>14629.8</v>
      </c>
      <c r="Q229" s="150">
        <v>15</v>
      </c>
      <c r="R229" s="149">
        <v>15</v>
      </c>
      <c r="S229" s="149">
        <v>0</v>
      </c>
      <c r="T229" s="145">
        <f t="shared" si="9"/>
        <v>197700</v>
      </c>
      <c r="U229" s="145">
        <f t="shared" si="10"/>
        <v>219447</v>
      </c>
      <c r="V229" s="135" t="str">
        <f>VLOOKUP(K229,Sheet1!$B$5:$C$131,2,0)</f>
        <v>LIMBAH</v>
      </c>
      <c r="W229" s="181">
        <f t="shared" si="11"/>
        <v>1.4999999999999999E-2</v>
      </c>
    </row>
    <row r="230" spans="1:23" s="139" customFormat="1">
      <c r="A230" s="146" t="s">
        <v>481</v>
      </c>
      <c r="B230" s="147" t="s">
        <v>482</v>
      </c>
      <c r="C230" s="146" t="s">
        <v>137</v>
      </c>
      <c r="D230" s="146" t="s">
        <v>138</v>
      </c>
      <c r="E230" s="146" t="s">
        <v>139</v>
      </c>
      <c r="F230" s="146" t="s">
        <v>162</v>
      </c>
      <c r="G230" s="148" t="s">
        <v>214</v>
      </c>
      <c r="H230" s="146">
        <v>0</v>
      </c>
      <c r="I230" s="146">
        <v>18</v>
      </c>
      <c r="J230" s="146" t="s">
        <v>262</v>
      </c>
      <c r="K230" s="146" t="s">
        <v>258</v>
      </c>
      <c r="L230" s="148" t="s">
        <v>3</v>
      </c>
      <c r="M230" s="146" t="s">
        <v>142</v>
      </c>
      <c r="N230" s="149">
        <v>1000</v>
      </c>
      <c r="O230" s="152">
        <f>SUMIF('GUDANG BESAR'!C:C,K:K,'GUDANG BESAR'!I:I)</f>
        <v>33000</v>
      </c>
      <c r="P230" s="153">
        <f>SUMIF('GUDANG BESAR'!C:C,K:K,'GUDANG BESAR'!K:K)</f>
        <v>36630</v>
      </c>
      <c r="Q230" s="150">
        <v>3</v>
      </c>
      <c r="R230" s="149">
        <v>3</v>
      </c>
      <c r="S230" s="149">
        <v>0</v>
      </c>
      <c r="T230" s="145">
        <f t="shared" si="9"/>
        <v>99000</v>
      </c>
      <c r="U230" s="145">
        <f t="shared" si="10"/>
        <v>109890</v>
      </c>
      <c r="V230" s="135" t="str">
        <f>VLOOKUP(K230,Sheet1!$B$5:$C$131,2,0)</f>
        <v>LIMBAH</v>
      </c>
      <c r="W230" s="181">
        <f t="shared" si="11"/>
        <v>3.0000000000000001E-3</v>
      </c>
    </row>
    <row r="231" spans="1:23" s="139" customFormat="1">
      <c r="A231" s="146" t="s">
        <v>481</v>
      </c>
      <c r="B231" s="147" t="s">
        <v>482</v>
      </c>
      <c r="C231" s="146" t="s">
        <v>137</v>
      </c>
      <c r="D231" s="146" t="s">
        <v>138</v>
      </c>
      <c r="E231" s="146" t="s">
        <v>139</v>
      </c>
      <c r="F231" s="146" t="s">
        <v>162</v>
      </c>
      <c r="G231" s="148" t="s">
        <v>214</v>
      </c>
      <c r="H231" s="146">
        <v>0</v>
      </c>
      <c r="I231" s="146">
        <v>19</v>
      </c>
      <c r="J231" s="146" t="s">
        <v>263</v>
      </c>
      <c r="K231" s="146" t="s">
        <v>259</v>
      </c>
      <c r="L231" s="148" t="s">
        <v>3</v>
      </c>
      <c r="M231" s="146" t="s">
        <v>142</v>
      </c>
      <c r="N231" s="149">
        <v>1000</v>
      </c>
      <c r="O231" s="152">
        <f>SUMIF('GUDANG BESAR'!C:C,K:K,'GUDANG BESAR'!I:I)</f>
        <v>47500</v>
      </c>
      <c r="P231" s="153">
        <f>SUMIF('GUDANG BESAR'!C:C,K:K,'GUDANG BESAR'!K:K)</f>
        <v>52725</v>
      </c>
      <c r="Q231" s="150">
        <v>5</v>
      </c>
      <c r="R231" s="149">
        <v>5</v>
      </c>
      <c r="S231" s="149">
        <v>0</v>
      </c>
      <c r="T231" s="145">
        <f t="shared" si="9"/>
        <v>237500</v>
      </c>
      <c r="U231" s="145">
        <f t="shared" si="10"/>
        <v>263625</v>
      </c>
      <c r="V231" s="135" t="str">
        <f>VLOOKUP(K231,Sheet1!$B$5:$C$131,2,0)</f>
        <v>LIMBAH</v>
      </c>
      <c r="W231" s="181">
        <f t="shared" si="11"/>
        <v>5.0000000000000001E-3</v>
      </c>
    </row>
    <row r="232" spans="1:23" s="139" customFormat="1">
      <c r="A232" s="146" t="s">
        <v>483</v>
      </c>
      <c r="B232" s="147" t="s">
        <v>484</v>
      </c>
      <c r="C232" s="146" t="s">
        <v>137</v>
      </c>
      <c r="D232" s="146" t="s">
        <v>138</v>
      </c>
      <c r="E232" s="146" t="s">
        <v>139</v>
      </c>
      <c r="F232" s="146" t="s">
        <v>153</v>
      </c>
      <c r="G232" s="148" t="s">
        <v>299</v>
      </c>
      <c r="H232" s="146">
        <v>0</v>
      </c>
      <c r="I232" s="146">
        <v>16</v>
      </c>
      <c r="J232" s="146" t="s">
        <v>154</v>
      </c>
      <c r="K232" s="146" t="s">
        <v>23</v>
      </c>
      <c r="L232" s="148" t="s">
        <v>3</v>
      </c>
      <c r="M232" s="146" t="s">
        <v>142</v>
      </c>
      <c r="N232" s="149">
        <v>1000</v>
      </c>
      <c r="O232" s="152">
        <f>SUMIF('GUDANG BESAR'!C:C,K:K,'GUDANG BESAR'!I:I)</f>
        <v>28844</v>
      </c>
      <c r="P232" s="153">
        <f>SUMIF('GUDANG BESAR'!C:C,K:K,'GUDANG BESAR'!K:K)</f>
        <v>32016.84</v>
      </c>
      <c r="Q232" s="150">
        <v>300</v>
      </c>
      <c r="R232" s="149">
        <v>300</v>
      </c>
      <c r="S232" s="149">
        <v>0</v>
      </c>
      <c r="T232" s="145">
        <f t="shared" si="9"/>
        <v>8653200</v>
      </c>
      <c r="U232" s="145">
        <f t="shared" si="10"/>
        <v>9605052</v>
      </c>
      <c r="V232" s="135" t="str">
        <f>VLOOKUP(K232,Sheet1!$B$5:$C$131,2,0)</f>
        <v>RC</v>
      </c>
      <c r="W232" s="181">
        <f t="shared" si="11"/>
        <v>0.3</v>
      </c>
    </row>
    <row r="233" spans="1:23" s="139" customFormat="1">
      <c r="A233" s="146" t="s">
        <v>483</v>
      </c>
      <c r="B233" s="147" t="s">
        <v>484</v>
      </c>
      <c r="C233" s="146" t="s">
        <v>137</v>
      </c>
      <c r="D233" s="146" t="s">
        <v>138</v>
      </c>
      <c r="E233" s="146" t="s">
        <v>139</v>
      </c>
      <c r="F233" s="146" t="s">
        <v>159</v>
      </c>
      <c r="G233" s="148" t="s">
        <v>302</v>
      </c>
      <c r="H233" s="146">
        <v>0</v>
      </c>
      <c r="I233" s="146">
        <v>25</v>
      </c>
      <c r="J233" s="146" t="s">
        <v>375</v>
      </c>
      <c r="K233" s="146" t="s">
        <v>62</v>
      </c>
      <c r="L233" s="148" t="s">
        <v>3</v>
      </c>
      <c r="M233" s="146" t="s">
        <v>142</v>
      </c>
      <c r="N233" s="149">
        <v>1000</v>
      </c>
      <c r="O233" s="152">
        <f>SUMIF('GUDANG BESAR'!C:C,K:K,'GUDANG BESAR'!I:I)</f>
        <v>24000</v>
      </c>
      <c r="P233" s="153">
        <f>SUMIF('GUDANG BESAR'!C:C,K:K,'GUDANG BESAR'!K:K)</f>
        <v>26640</v>
      </c>
      <c r="Q233" s="150">
        <v>60</v>
      </c>
      <c r="R233" s="149">
        <v>60</v>
      </c>
      <c r="S233" s="149">
        <v>0</v>
      </c>
      <c r="T233" s="145">
        <f t="shared" si="9"/>
        <v>1440000</v>
      </c>
      <c r="U233" s="145">
        <f t="shared" si="10"/>
        <v>1598400</v>
      </c>
      <c r="V233" s="135" t="str">
        <f>VLOOKUP(K233,Sheet1!$B$5:$C$131,2,0)</f>
        <v>BOILER</v>
      </c>
      <c r="W233" s="181">
        <f t="shared" si="11"/>
        <v>0.06</v>
      </c>
    </row>
    <row r="234" spans="1:23" s="139" customFormat="1">
      <c r="A234" s="146" t="s">
        <v>483</v>
      </c>
      <c r="B234" s="147" t="s">
        <v>484</v>
      </c>
      <c r="C234" s="146" t="s">
        <v>137</v>
      </c>
      <c r="D234" s="146" t="s">
        <v>138</v>
      </c>
      <c r="E234" s="146" t="s">
        <v>139</v>
      </c>
      <c r="F234" s="146" t="s">
        <v>159</v>
      </c>
      <c r="G234" s="148" t="s">
        <v>302</v>
      </c>
      <c r="H234" s="146">
        <v>0</v>
      </c>
      <c r="I234" s="146">
        <v>26</v>
      </c>
      <c r="J234" s="146" t="s">
        <v>161</v>
      </c>
      <c r="K234" s="146" t="s">
        <v>63</v>
      </c>
      <c r="L234" s="148" t="s">
        <v>3</v>
      </c>
      <c r="M234" s="146" t="s">
        <v>142</v>
      </c>
      <c r="N234" s="149">
        <v>1000</v>
      </c>
      <c r="O234" s="152">
        <f>SUMIF('GUDANG BESAR'!C:C,K:K,'GUDANG BESAR'!I:I)</f>
        <v>23000</v>
      </c>
      <c r="P234" s="153">
        <f>SUMIF('GUDANG BESAR'!C:C,K:K,'GUDANG BESAR'!K:K)</f>
        <v>25530</v>
      </c>
      <c r="Q234" s="150">
        <v>60</v>
      </c>
      <c r="R234" s="149">
        <v>60</v>
      </c>
      <c r="S234" s="149">
        <v>0</v>
      </c>
      <c r="T234" s="145">
        <f t="shared" si="9"/>
        <v>1380000</v>
      </c>
      <c r="U234" s="145">
        <f t="shared" si="10"/>
        <v>1531800</v>
      </c>
      <c r="V234" s="135" t="str">
        <f>VLOOKUP(K234,Sheet1!$B$5:$C$131,2,0)</f>
        <v>BOILER</v>
      </c>
      <c r="W234" s="181">
        <f t="shared" si="11"/>
        <v>0.06</v>
      </c>
    </row>
    <row r="235" spans="1:23" s="139" customFormat="1">
      <c r="A235" s="146" t="s">
        <v>483</v>
      </c>
      <c r="B235" s="147" t="s">
        <v>484</v>
      </c>
      <c r="C235" s="146" t="s">
        <v>137</v>
      </c>
      <c r="D235" s="146" t="s">
        <v>138</v>
      </c>
      <c r="E235" s="146" t="s">
        <v>139</v>
      </c>
      <c r="F235" s="146" t="s">
        <v>140</v>
      </c>
      <c r="G235" s="148" t="s">
        <v>300</v>
      </c>
      <c r="H235" s="146">
        <v>0</v>
      </c>
      <c r="I235" s="146">
        <v>14</v>
      </c>
      <c r="J235" s="146" t="s">
        <v>149</v>
      </c>
      <c r="K235" s="146" t="s">
        <v>24</v>
      </c>
      <c r="L235" s="148" t="s">
        <v>3</v>
      </c>
      <c r="M235" s="146" t="s">
        <v>142</v>
      </c>
      <c r="N235" s="149">
        <v>1000</v>
      </c>
      <c r="O235" s="152">
        <f>SUMIF('GUDANG BESAR'!C:C,K:K,'GUDANG BESAR'!I:I)</f>
        <v>12250</v>
      </c>
      <c r="P235" s="153">
        <f>SUMIF('GUDANG BESAR'!C:C,K:K,'GUDANG BESAR'!K:K)</f>
        <v>13597.5</v>
      </c>
      <c r="Q235" s="150">
        <v>4</v>
      </c>
      <c r="R235" s="149">
        <v>4</v>
      </c>
      <c r="S235" s="149">
        <v>0</v>
      </c>
      <c r="T235" s="145">
        <f t="shared" si="9"/>
        <v>49000</v>
      </c>
      <c r="U235" s="145">
        <f t="shared" si="10"/>
        <v>54390</v>
      </c>
      <c r="V235" s="135" t="str">
        <f>VLOOKUP(K235,Sheet1!$B$5:$C$131,2,0)</f>
        <v>CK</v>
      </c>
      <c r="W235" s="181">
        <f t="shared" si="11"/>
        <v>4.0000000000000001E-3</v>
      </c>
    </row>
    <row r="236" spans="1:23" s="139" customFormat="1">
      <c r="A236" s="146" t="s">
        <v>483</v>
      </c>
      <c r="B236" s="147" t="s">
        <v>484</v>
      </c>
      <c r="C236" s="146" t="s">
        <v>137</v>
      </c>
      <c r="D236" s="146" t="s">
        <v>138</v>
      </c>
      <c r="E236" s="146" t="s">
        <v>139</v>
      </c>
      <c r="F236" s="146" t="s">
        <v>153</v>
      </c>
      <c r="G236" s="148" t="s">
        <v>299</v>
      </c>
      <c r="H236" s="146">
        <v>0</v>
      </c>
      <c r="I236" s="146">
        <v>17</v>
      </c>
      <c r="J236" s="146" t="s">
        <v>155</v>
      </c>
      <c r="K236" s="146" t="s">
        <v>33</v>
      </c>
      <c r="L236" s="148" t="s">
        <v>3</v>
      </c>
      <c r="M236" s="146" t="s">
        <v>142</v>
      </c>
      <c r="N236" s="149">
        <v>1000</v>
      </c>
      <c r="O236" s="152">
        <f>SUMIF('GUDANG BESAR'!C:C,K:K,'GUDANG BESAR'!I:I)</f>
        <v>11087.5</v>
      </c>
      <c r="P236" s="153">
        <f>SUMIF('GUDANG BESAR'!C:C,K:K,'GUDANG BESAR'!K:K)</f>
        <v>12307.125</v>
      </c>
      <c r="Q236" s="150">
        <v>150</v>
      </c>
      <c r="R236" s="149">
        <v>150</v>
      </c>
      <c r="S236" s="149">
        <v>0</v>
      </c>
      <c r="T236" s="145">
        <f t="shared" si="9"/>
        <v>1663125</v>
      </c>
      <c r="U236" s="145">
        <f t="shared" si="10"/>
        <v>1846068.75</v>
      </c>
      <c r="V236" s="135" t="str">
        <f>VLOOKUP(K236,Sheet1!$B$5:$C$131,2,0)</f>
        <v>RC</v>
      </c>
      <c r="W236" s="181">
        <f t="shared" si="11"/>
        <v>0.15</v>
      </c>
    </row>
    <row r="237" spans="1:23" s="139" customFormat="1">
      <c r="A237" s="146" t="s">
        <v>483</v>
      </c>
      <c r="B237" s="147" t="s">
        <v>484</v>
      </c>
      <c r="C237" s="146" t="s">
        <v>137</v>
      </c>
      <c r="D237" s="146" t="s">
        <v>138</v>
      </c>
      <c r="E237" s="146" t="s">
        <v>139</v>
      </c>
      <c r="F237" s="146" t="s">
        <v>140</v>
      </c>
      <c r="G237" s="148" t="s">
        <v>303</v>
      </c>
      <c r="H237" s="146">
        <v>0</v>
      </c>
      <c r="I237" s="146">
        <v>1</v>
      </c>
      <c r="J237" s="146" t="s">
        <v>141</v>
      </c>
      <c r="K237" s="146" t="s">
        <v>37</v>
      </c>
      <c r="L237" s="148" t="s">
        <v>3</v>
      </c>
      <c r="M237" s="146" t="s">
        <v>142</v>
      </c>
      <c r="N237" s="149">
        <v>1000</v>
      </c>
      <c r="O237" s="152">
        <f>SUMIF('GUDANG BESAR'!C:C,K:K,'GUDANG BESAR'!I:I)</f>
        <v>51276</v>
      </c>
      <c r="P237" s="153">
        <f>SUMIF('GUDANG BESAR'!C:C,K:K,'GUDANG BESAR'!K:K)</f>
        <v>56916.36</v>
      </c>
      <c r="Q237" s="150">
        <v>21.027000000000001</v>
      </c>
      <c r="R237" s="149">
        <v>21</v>
      </c>
      <c r="S237" s="149">
        <v>27</v>
      </c>
      <c r="T237" s="145">
        <f t="shared" si="9"/>
        <v>1078180.452</v>
      </c>
      <c r="U237" s="145">
        <f t="shared" si="10"/>
        <v>1196780.3017200001</v>
      </c>
      <c r="V237" s="135" t="str">
        <f>VLOOKUP(K237,Sheet1!$B$5:$C$131,2,0)</f>
        <v>DYESTUFF</v>
      </c>
      <c r="W237" s="181">
        <f t="shared" si="11"/>
        <v>2.1027000000000001E-2</v>
      </c>
    </row>
    <row r="238" spans="1:23" s="139" customFormat="1">
      <c r="A238" s="146" t="s">
        <v>483</v>
      </c>
      <c r="B238" s="147" t="s">
        <v>484</v>
      </c>
      <c r="C238" s="146" t="s">
        <v>137</v>
      </c>
      <c r="D238" s="146" t="s">
        <v>138</v>
      </c>
      <c r="E238" s="146" t="s">
        <v>139</v>
      </c>
      <c r="F238" s="146" t="s">
        <v>140</v>
      </c>
      <c r="G238" s="148" t="s">
        <v>303</v>
      </c>
      <c r="H238" s="146">
        <v>0</v>
      </c>
      <c r="I238" s="146">
        <v>3</v>
      </c>
      <c r="J238" s="146" t="s">
        <v>143</v>
      </c>
      <c r="K238" s="146" t="s">
        <v>90</v>
      </c>
      <c r="L238" s="148" t="s">
        <v>3</v>
      </c>
      <c r="M238" s="146" t="s">
        <v>142</v>
      </c>
      <c r="N238" s="149">
        <v>1000</v>
      </c>
      <c r="O238" s="152">
        <f>SUMIF('GUDANG BESAR'!C:C,K:K,'GUDANG BESAR'!I:I)</f>
        <v>194556</v>
      </c>
      <c r="P238" s="153">
        <f>SUMIF('GUDANG BESAR'!C:C,K:K,'GUDANG BESAR'!K:K)</f>
        <v>215957.16</v>
      </c>
      <c r="Q238" s="150">
        <v>2.6419999999999999</v>
      </c>
      <c r="R238" s="149">
        <v>2</v>
      </c>
      <c r="S238" s="149">
        <v>642</v>
      </c>
      <c r="T238" s="145">
        <f t="shared" si="9"/>
        <v>514016.95199999999</v>
      </c>
      <c r="U238" s="145">
        <f t="shared" si="10"/>
        <v>570558.81672</v>
      </c>
      <c r="V238" s="135" t="str">
        <f>VLOOKUP(K238,Sheet1!$B$5:$C$131,2,0)</f>
        <v>DYESTUFF</v>
      </c>
      <c r="W238" s="181">
        <f t="shared" si="11"/>
        <v>2.6419999999999998E-3</v>
      </c>
    </row>
    <row r="239" spans="1:23" s="139" customFormat="1">
      <c r="A239" s="146" t="s">
        <v>483</v>
      </c>
      <c r="B239" s="147" t="s">
        <v>484</v>
      </c>
      <c r="C239" s="146" t="s">
        <v>137</v>
      </c>
      <c r="D239" s="146" t="s">
        <v>138</v>
      </c>
      <c r="E239" s="146" t="s">
        <v>139</v>
      </c>
      <c r="F239" s="146" t="s">
        <v>140</v>
      </c>
      <c r="G239" s="148" t="s">
        <v>303</v>
      </c>
      <c r="H239" s="146">
        <v>0</v>
      </c>
      <c r="I239" s="146">
        <v>2</v>
      </c>
      <c r="J239" s="146" t="s">
        <v>346</v>
      </c>
      <c r="K239" s="146" t="s">
        <v>343</v>
      </c>
      <c r="L239" s="148" t="s">
        <v>3</v>
      </c>
      <c r="M239" s="146" t="s">
        <v>142</v>
      </c>
      <c r="N239" s="149">
        <v>1000</v>
      </c>
      <c r="O239" s="152">
        <f>SUMIF('GUDANG BESAR'!C:C,K:K,'GUDANG BESAR'!I:I)</f>
        <v>60680</v>
      </c>
      <c r="P239" s="153">
        <f>SUMIF('GUDANG BESAR'!C:C,K:K,'GUDANG BESAR'!K:K)</f>
        <v>67354.8</v>
      </c>
      <c r="Q239" s="150">
        <v>14.379</v>
      </c>
      <c r="R239" s="149">
        <v>14</v>
      </c>
      <c r="S239" s="149">
        <v>379</v>
      </c>
      <c r="T239" s="145">
        <f t="shared" si="9"/>
        <v>872517.72</v>
      </c>
      <c r="U239" s="145">
        <f t="shared" si="10"/>
        <v>968494.6692</v>
      </c>
      <c r="V239" s="135" t="str">
        <f>VLOOKUP(K239,Sheet1!$B$5:$C$131,2,0)</f>
        <v>DYESTUFF</v>
      </c>
      <c r="W239" s="181">
        <f t="shared" si="11"/>
        <v>1.4378999999999999E-2</v>
      </c>
    </row>
    <row r="240" spans="1:23" s="139" customFormat="1">
      <c r="A240" s="146" t="s">
        <v>483</v>
      </c>
      <c r="B240" s="147" t="s">
        <v>484</v>
      </c>
      <c r="C240" s="146" t="s">
        <v>137</v>
      </c>
      <c r="D240" s="146" t="s">
        <v>138</v>
      </c>
      <c r="E240" s="146" t="s">
        <v>139</v>
      </c>
      <c r="F240" s="146" t="s">
        <v>140</v>
      </c>
      <c r="G240" s="148" t="s">
        <v>303</v>
      </c>
      <c r="H240" s="146">
        <v>0</v>
      </c>
      <c r="I240" s="146">
        <v>10</v>
      </c>
      <c r="J240" s="146" t="s">
        <v>151</v>
      </c>
      <c r="K240" s="146" t="s">
        <v>28</v>
      </c>
      <c r="L240" s="148" t="s">
        <v>3</v>
      </c>
      <c r="M240" s="146" t="s">
        <v>142</v>
      </c>
      <c r="N240" s="149">
        <v>1000</v>
      </c>
      <c r="O240" s="152">
        <f>SUMIF('GUDANG BESAR'!C:C,K:K,'GUDANG BESAR'!I:I)</f>
        <v>413967</v>
      </c>
      <c r="P240" s="153">
        <f>SUMIF('GUDANG BESAR'!C:C,K:K,'GUDANG BESAR'!K:K)</f>
        <v>459503.37</v>
      </c>
      <c r="Q240" s="150">
        <v>0.71399999999999997</v>
      </c>
      <c r="R240" s="149">
        <v>0</v>
      </c>
      <c r="S240" s="149">
        <v>714</v>
      </c>
      <c r="T240" s="145">
        <f t="shared" si="9"/>
        <v>295572.43799999997</v>
      </c>
      <c r="U240" s="145">
        <f t="shared" si="10"/>
        <v>328085.40617999999</v>
      </c>
      <c r="V240" s="135" t="str">
        <f>VLOOKUP(K240,Sheet1!$B$5:$C$131,2,0)</f>
        <v>DYESTUFF</v>
      </c>
      <c r="W240" s="181">
        <f t="shared" si="11"/>
        <v>7.1400000000000001E-4</v>
      </c>
    </row>
    <row r="241" spans="1:23" s="139" customFormat="1">
      <c r="A241" s="146" t="s">
        <v>483</v>
      </c>
      <c r="B241" s="147" t="s">
        <v>484</v>
      </c>
      <c r="C241" s="146" t="s">
        <v>137</v>
      </c>
      <c r="D241" s="146" t="s">
        <v>138</v>
      </c>
      <c r="E241" s="146" t="s">
        <v>139</v>
      </c>
      <c r="F241" s="146" t="s">
        <v>140</v>
      </c>
      <c r="G241" s="148" t="s">
        <v>303</v>
      </c>
      <c r="H241" s="146">
        <v>0</v>
      </c>
      <c r="I241" s="146">
        <v>4</v>
      </c>
      <c r="J241" s="146" t="s">
        <v>169</v>
      </c>
      <c r="K241" s="146" t="s">
        <v>64</v>
      </c>
      <c r="L241" s="148" t="s">
        <v>3</v>
      </c>
      <c r="M241" s="146" t="s">
        <v>142</v>
      </c>
      <c r="N241" s="149">
        <v>1000</v>
      </c>
      <c r="O241" s="152">
        <f>SUMIF('GUDANG BESAR'!C:C,K:K,'GUDANG BESAR'!I:I)</f>
        <v>506080</v>
      </c>
      <c r="P241" s="153">
        <f>SUMIF('GUDANG BESAR'!C:C,K:K,'GUDANG BESAR'!K:K)</f>
        <v>561748.80000000005</v>
      </c>
      <c r="Q241" s="150">
        <v>0.01</v>
      </c>
      <c r="R241" s="149">
        <v>0</v>
      </c>
      <c r="S241" s="149">
        <v>10</v>
      </c>
      <c r="T241" s="145">
        <f t="shared" si="9"/>
        <v>5060.8</v>
      </c>
      <c r="U241" s="145">
        <f t="shared" si="10"/>
        <v>5617.4880000000003</v>
      </c>
      <c r="V241" s="135" t="str">
        <f>VLOOKUP(K241,Sheet1!$B$5:$C$131,2,0)</f>
        <v>DYESTUFF</v>
      </c>
      <c r="W241" s="181">
        <f t="shared" si="11"/>
        <v>1.0000000000000001E-5</v>
      </c>
    </row>
    <row r="242" spans="1:23" s="139" customFormat="1">
      <c r="A242" s="146" t="s">
        <v>483</v>
      </c>
      <c r="B242" s="147" t="s">
        <v>484</v>
      </c>
      <c r="C242" s="146" t="s">
        <v>137</v>
      </c>
      <c r="D242" s="146" t="s">
        <v>138</v>
      </c>
      <c r="E242" s="146" t="s">
        <v>139</v>
      </c>
      <c r="F242" s="146" t="s">
        <v>140</v>
      </c>
      <c r="G242" s="148" t="s">
        <v>303</v>
      </c>
      <c r="H242" s="146">
        <v>0</v>
      </c>
      <c r="I242" s="146">
        <v>5</v>
      </c>
      <c r="J242" s="146" t="s">
        <v>250</v>
      </c>
      <c r="K242" s="146" t="s">
        <v>38</v>
      </c>
      <c r="L242" s="148" t="s">
        <v>3</v>
      </c>
      <c r="M242" s="146" t="s">
        <v>142</v>
      </c>
      <c r="N242" s="149">
        <v>1000</v>
      </c>
      <c r="O242" s="152">
        <f>SUMIF('GUDANG BESAR'!C:C,K:K,'GUDANG BESAR'!I:I)</f>
        <v>366255</v>
      </c>
      <c r="P242" s="153">
        <f>SUMIF('GUDANG BESAR'!C:C,K:K,'GUDANG BESAR'!K:K)</f>
        <v>406543.05</v>
      </c>
      <c r="Q242" s="150">
        <v>0.84499999999999997</v>
      </c>
      <c r="R242" s="149">
        <v>0</v>
      </c>
      <c r="S242" s="149">
        <v>845</v>
      </c>
      <c r="T242" s="145">
        <f t="shared" si="9"/>
        <v>309485.47499999998</v>
      </c>
      <c r="U242" s="145">
        <f t="shared" si="10"/>
        <v>343528.87724999996</v>
      </c>
      <c r="V242" s="135" t="str">
        <f>VLOOKUP(K242,Sheet1!$B$5:$C$131,2,0)</f>
        <v>DYESTUFF</v>
      </c>
      <c r="W242" s="181">
        <f t="shared" si="11"/>
        <v>8.4499999999999994E-4</v>
      </c>
    </row>
    <row r="243" spans="1:23" s="139" customFormat="1">
      <c r="A243" s="146" t="s">
        <v>483</v>
      </c>
      <c r="B243" s="147" t="s">
        <v>484</v>
      </c>
      <c r="C243" s="146" t="s">
        <v>137</v>
      </c>
      <c r="D243" s="146" t="s">
        <v>138</v>
      </c>
      <c r="E243" s="146" t="s">
        <v>139</v>
      </c>
      <c r="F243" s="146" t="s">
        <v>140</v>
      </c>
      <c r="G243" s="148" t="s">
        <v>303</v>
      </c>
      <c r="H243" s="146">
        <v>0</v>
      </c>
      <c r="I243" s="146">
        <v>6</v>
      </c>
      <c r="J243" s="146" t="s">
        <v>144</v>
      </c>
      <c r="K243" s="146" t="s">
        <v>26</v>
      </c>
      <c r="L243" s="148" t="s">
        <v>3</v>
      </c>
      <c r="M243" s="146" t="s">
        <v>142</v>
      </c>
      <c r="N243" s="149">
        <v>1000</v>
      </c>
      <c r="O243" s="152">
        <f>SUMIF('GUDANG BESAR'!C:C,K:K,'GUDANG BESAR'!I:I)</f>
        <v>52016</v>
      </c>
      <c r="P243" s="153">
        <f>SUMIF('GUDANG BESAR'!C:C,K:K,'GUDANG BESAR'!K:K)</f>
        <v>57737.760000000002</v>
      </c>
      <c r="Q243" s="150">
        <v>9.5939999999999994</v>
      </c>
      <c r="R243" s="149">
        <v>9</v>
      </c>
      <c r="S243" s="149">
        <v>594</v>
      </c>
      <c r="T243" s="145">
        <f t="shared" si="9"/>
        <v>499041.50399999996</v>
      </c>
      <c r="U243" s="145">
        <f t="shared" si="10"/>
        <v>553936.06943999999</v>
      </c>
      <c r="V243" s="135" t="str">
        <f>VLOOKUP(K243,Sheet1!$B$5:$C$131,2,0)</f>
        <v>DYESTUFF</v>
      </c>
      <c r="W243" s="181">
        <f t="shared" si="11"/>
        <v>9.5940000000000001E-3</v>
      </c>
    </row>
    <row r="244" spans="1:23" s="139" customFormat="1">
      <c r="A244" s="146" t="s">
        <v>483</v>
      </c>
      <c r="B244" s="147" t="s">
        <v>484</v>
      </c>
      <c r="C244" s="146" t="s">
        <v>137</v>
      </c>
      <c r="D244" s="146" t="s">
        <v>138</v>
      </c>
      <c r="E244" s="146" t="s">
        <v>139</v>
      </c>
      <c r="F244" s="146" t="s">
        <v>140</v>
      </c>
      <c r="G244" s="148" t="s">
        <v>303</v>
      </c>
      <c r="H244" s="146">
        <v>0</v>
      </c>
      <c r="I244" s="146">
        <v>7</v>
      </c>
      <c r="J244" s="146" t="s">
        <v>145</v>
      </c>
      <c r="K244" s="146" t="s">
        <v>27</v>
      </c>
      <c r="L244" s="148" t="s">
        <v>3</v>
      </c>
      <c r="M244" s="146" t="s">
        <v>142</v>
      </c>
      <c r="N244" s="149">
        <v>1000</v>
      </c>
      <c r="O244" s="152">
        <f>SUMIF('GUDANG BESAR'!C:C,K:K,'GUDANG BESAR'!I:I)</f>
        <v>71148</v>
      </c>
      <c r="P244" s="153">
        <f>SUMIF('GUDANG BESAR'!C:C,K:K,'GUDANG BESAR'!K:K)</f>
        <v>78974.28</v>
      </c>
      <c r="Q244" s="150">
        <v>5.8209999999999997</v>
      </c>
      <c r="R244" s="149">
        <v>5</v>
      </c>
      <c r="S244" s="149">
        <v>821</v>
      </c>
      <c r="T244" s="145">
        <f t="shared" si="9"/>
        <v>414152.50799999997</v>
      </c>
      <c r="U244" s="145">
        <f t="shared" si="10"/>
        <v>459709.28387999994</v>
      </c>
      <c r="V244" s="135" t="str">
        <f>VLOOKUP(K244,Sheet1!$B$5:$C$131,2,0)</f>
        <v>DYESTUFF</v>
      </c>
      <c r="W244" s="181">
        <f t="shared" si="11"/>
        <v>5.8209999999999998E-3</v>
      </c>
    </row>
    <row r="245" spans="1:23" s="139" customFormat="1">
      <c r="A245" s="146" t="s">
        <v>483</v>
      </c>
      <c r="B245" s="147" t="s">
        <v>484</v>
      </c>
      <c r="C245" s="146" t="s">
        <v>137</v>
      </c>
      <c r="D245" s="146" t="s">
        <v>138</v>
      </c>
      <c r="E245" s="146" t="s">
        <v>139</v>
      </c>
      <c r="F245" s="146" t="s">
        <v>140</v>
      </c>
      <c r="G245" s="148" t="s">
        <v>303</v>
      </c>
      <c r="H245" s="146">
        <v>0</v>
      </c>
      <c r="I245" s="146">
        <v>8</v>
      </c>
      <c r="J245" s="146" t="s">
        <v>146</v>
      </c>
      <c r="K245" s="146" t="s">
        <v>46</v>
      </c>
      <c r="L245" s="148" t="s">
        <v>3</v>
      </c>
      <c r="M245" s="146" t="s">
        <v>142</v>
      </c>
      <c r="N245" s="149">
        <v>1000</v>
      </c>
      <c r="O245" s="152">
        <f>SUMIF('GUDANG BESAR'!C:C,K:K,'GUDANG BESAR'!I:I)</f>
        <v>100812</v>
      </c>
      <c r="P245" s="153">
        <f>SUMIF('GUDANG BESAR'!C:C,K:K,'GUDANG BESAR'!K:K)</f>
        <v>111901.32</v>
      </c>
      <c r="Q245" s="150">
        <v>1.6830000000000001</v>
      </c>
      <c r="R245" s="149">
        <v>1</v>
      </c>
      <c r="S245" s="149">
        <v>683</v>
      </c>
      <c r="T245" s="145">
        <f t="shared" si="9"/>
        <v>169666.59600000002</v>
      </c>
      <c r="U245" s="145">
        <f t="shared" si="10"/>
        <v>188329.92156000002</v>
      </c>
      <c r="V245" s="135" t="str">
        <f>VLOOKUP(K245,Sheet1!$B$5:$C$131,2,0)</f>
        <v>DYESTUFF</v>
      </c>
      <c r="W245" s="181">
        <f t="shared" si="11"/>
        <v>1.683E-3</v>
      </c>
    </row>
    <row r="246" spans="1:23" s="139" customFormat="1">
      <c r="A246" s="146" t="s">
        <v>483</v>
      </c>
      <c r="B246" s="147" t="s">
        <v>484</v>
      </c>
      <c r="C246" s="146" t="s">
        <v>137</v>
      </c>
      <c r="D246" s="146" t="s">
        <v>138</v>
      </c>
      <c r="E246" s="146" t="s">
        <v>139</v>
      </c>
      <c r="F246" s="146" t="s">
        <v>140</v>
      </c>
      <c r="G246" s="148" t="s">
        <v>303</v>
      </c>
      <c r="H246" s="146">
        <v>0</v>
      </c>
      <c r="I246" s="146">
        <v>9</v>
      </c>
      <c r="J246" s="146" t="s">
        <v>147</v>
      </c>
      <c r="K246" s="146" t="s">
        <v>41</v>
      </c>
      <c r="L246" s="148" t="s">
        <v>3</v>
      </c>
      <c r="M246" s="146" t="s">
        <v>142</v>
      </c>
      <c r="N246" s="149">
        <v>1000</v>
      </c>
      <c r="O246" s="152">
        <f>SUMIF('GUDANG BESAR'!C:C,K:K,'GUDANG BESAR'!I:I)</f>
        <v>54071</v>
      </c>
      <c r="P246" s="153">
        <f>SUMIF('GUDANG BESAR'!C:C,K:K,'GUDANG BESAR'!K:K)</f>
        <v>60018.81</v>
      </c>
      <c r="Q246" s="150">
        <v>12.22</v>
      </c>
      <c r="R246" s="149">
        <v>12</v>
      </c>
      <c r="S246" s="149">
        <v>220</v>
      </c>
      <c r="T246" s="145">
        <f t="shared" si="9"/>
        <v>660747.62</v>
      </c>
      <c r="U246" s="145">
        <f t="shared" si="10"/>
        <v>733429.85820000002</v>
      </c>
      <c r="V246" s="135" t="str">
        <f>VLOOKUP(K246,Sheet1!$B$5:$C$131,2,0)</f>
        <v>DYESTUFF</v>
      </c>
      <c r="W246" s="181">
        <f t="shared" si="11"/>
        <v>1.222E-2</v>
      </c>
    </row>
    <row r="247" spans="1:23" s="139" customFormat="1">
      <c r="A247" s="146" t="s">
        <v>483</v>
      </c>
      <c r="B247" s="147" t="s">
        <v>484</v>
      </c>
      <c r="C247" s="146" t="s">
        <v>137</v>
      </c>
      <c r="D247" s="146" t="s">
        <v>138</v>
      </c>
      <c r="E247" s="146" t="s">
        <v>139</v>
      </c>
      <c r="F247" s="146" t="s">
        <v>140</v>
      </c>
      <c r="G247" s="148" t="s">
        <v>303</v>
      </c>
      <c r="H247" s="146">
        <v>0</v>
      </c>
      <c r="I247" s="146">
        <v>11</v>
      </c>
      <c r="J247" s="146" t="s">
        <v>148</v>
      </c>
      <c r="K247" s="146" t="s">
        <v>30</v>
      </c>
      <c r="L247" s="148" t="s">
        <v>3</v>
      </c>
      <c r="M247" s="146" t="s">
        <v>142</v>
      </c>
      <c r="N247" s="149">
        <v>1000</v>
      </c>
      <c r="O247" s="152">
        <f>SUMIF('GUDANG BESAR'!C:C,K:K,'GUDANG BESAR'!I:I)</f>
        <v>77089.399999999994</v>
      </c>
      <c r="P247" s="153">
        <f>SUMIF('GUDANG BESAR'!C:C,K:K,'GUDANG BESAR'!K:K)</f>
        <v>85569.233999999997</v>
      </c>
      <c r="Q247" s="150">
        <v>6.16</v>
      </c>
      <c r="R247" s="149">
        <v>6</v>
      </c>
      <c r="S247" s="149">
        <v>160</v>
      </c>
      <c r="T247" s="145">
        <f t="shared" si="9"/>
        <v>474870.70399999997</v>
      </c>
      <c r="U247" s="145">
        <f t="shared" si="10"/>
        <v>527106.48144</v>
      </c>
      <c r="V247" s="135" t="str">
        <f>VLOOKUP(K247,Sheet1!$B$5:$C$131,2,0)</f>
        <v>DYESTUFF</v>
      </c>
      <c r="W247" s="181">
        <f t="shared" si="11"/>
        <v>6.1600000000000005E-3</v>
      </c>
    </row>
    <row r="248" spans="1:23" s="139" customFormat="1">
      <c r="A248" s="146" t="s">
        <v>483</v>
      </c>
      <c r="B248" s="147" t="s">
        <v>484</v>
      </c>
      <c r="C248" s="146" t="s">
        <v>137</v>
      </c>
      <c r="D248" s="146" t="s">
        <v>138</v>
      </c>
      <c r="E248" s="146" t="s">
        <v>139</v>
      </c>
      <c r="F248" s="146" t="s">
        <v>162</v>
      </c>
      <c r="G248" s="148" t="s">
        <v>214</v>
      </c>
      <c r="H248" s="146">
        <v>0</v>
      </c>
      <c r="I248" s="146">
        <v>31</v>
      </c>
      <c r="J248" s="146" t="s">
        <v>163</v>
      </c>
      <c r="K248" s="146" t="s">
        <v>14</v>
      </c>
      <c r="L248" s="148" t="s">
        <v>3</v>
      </c>
      <c r="M248" s="146" t="s">
        <v>142</v>
      </c>
      <c r="N248" s="149">
        <v>1000</v>
      </c>
      <c r="O248" s="152">
        <f>SUMIF('GUDANG BESAR'!C:C,K:K,'GUDANG BESAR'!I:I)</f>
        <v>30500</v>
      </c>
      <c r="P248" s="153">
        <f>SUMIF('GUDANG BESAR'!C:C,K:K,'GUDANG BESAR'!K:K)</f>
        <v>33855</v>
      </c>
      <c r="Q248" s="150">
        <v>25</v>
      </c>
      <c r="R248" s="149">
        <v>25</v>
      </c>
      <c r="S248" s="149">
        <v>0</v>
      </c>
      <c r="T248" s="145">
        <f t="shared" si="9"/>
        <v>762500</v>
      </c>
      <c r="U248" s="145">
        <f t="shared" si="10"/>
        <v>846375</v>
      </c>
      <c r="V248" s="135" t="str">
        <f>VLOOKUP(K248,Sheet1!$B$5:$C$131,2,0)</f>
        <v>LIMBAH</v>
      </c>
      <c r="W248" s="181">
        <f t="shared" si="11"/>
        <v>2.5000000000000001E-2</v>
      </c>
    </row>
    <row r="249" spans="1:23" s="139" customFormat="1">
      <c r="A249" s="146" t="s">
        <v>483</v>
      </c>
      <c r="B249" s="147" t="s">
        <v>484</v>
      </c>
      <c r="C249" s="146" t="s">
        <v>137</v>
      </c>
      <c r="D249" s="146" t="s">
        <v>138</v>
      </c>
      <c r="E249" s="146" t="s">
        <v>139</v>
      </c>
      <c r="F249" s="146" t="s">
        <v>159</v>
      </c>
      <c r="G249" s="148" t="s">
        <v>302</v>
      </c>
      <c r="H249" s="146">
        <v>0</v>
      </c>
      <c r="I249" s="146">
        <v>24</v>
      </c>
      <c r="J249" s="146" t="s">
        <v>261</v>
      </c>
      <c r="K249" s="146" t="s">
        <v>49</v>
      </c>
      <c r="L249" s="148" t="s">
        <v>3</v>
      </c>
      <c r="M249" s="146" t="s">
        <v>142</v>
      </c>
      <c r="N249" s="149">
        <v>1000</v>
      </c>
      <c r="O249" s="152">
        <f>SUMIF('GUDANG BESAR'!C:C,K:K,'GUDANG BESAR'!I:I)</f>
        <v>1500</v>
      </c>
      <c r="P249" s="153">
        <f>SUMIF('GUDANG BESAR'!C:C,K:K,'GUDANG BESAR'!K:K)</f>
        <v>1500</v>
      </c>
      <c r="Q249" s="150">
        <v>200</v>
      </c>
      <c r="R249" s="149">
        <v>200</v>
      </c>
      <c r="S249" s="149">
        <v>0</v>
      </c>
      <c r="T249" s="145">
        <f t="shared" si="9"/>
        <v>300000</v>
      </c>
      <c r="U249" s="145">
        <f t="shared" si="10"/>
        <v>300000</v>
      </c>
      <c r="V249" s="135" t="str">
        <f>VLOOKUP(K249,Sheet1!$B$5:$C$131,2,0)</f>
        <v>BOILER</v>
      </c>
      <c r="W249" s="181">
        <f t="shared" si="11"/>
        <v>0.2</v>
      </c>
    </row>
    <row r="250" spans="1:23" s="139" customFormat="1">
      <c r="A250" s="146" t="s">
        <v>483</v>
      </c>
      <c r="B250" s="147" t="s">
        <v>484</v>
      </c>
      <c r="C250" s="146" t="s">
        <v>137</v>
      </c>
      <c r="D250" s="146" t="s">
        <v>138</v>
      </c>
      <c r="E250" s="146" t="s">
        <v>139</v>
      </c>
      <c r="F250" s="146" t="s">
        <v>140</v>
      </c>
      <c r="G250" s="148" t="s">
        <v>300</v>
      </c>
      <c r="H250" s="146">
        <v>0</v>
      </c>
      <c r="I250" s="146">
        <v>12</v>
      </c>
      <c r="J250" s="146" t="s">
        <v>314</v>
      </c>
      <c r="K250" s="146" t="s">
        <v>281</v>
      </c>
      <c r="L250" s="148" t="s">
        <v>3</v>
      </c>
      <c r="M250" s="146" t="s">
        <v>142</v>
      </c>
      <c r="N250" s="149">
        <v>1000</v>
      </c>
      <c r="O250" s="152">
        <f>SUMIF('GUDANG BESAR'!C:C,K:K,'GUDANG BESAR'!I:I)</f>
        <v>23590.51</v>
      </c>
      <c r="P250" s="153">
        <f>SUMIF('GUDANG BESAR'!C:C,K:K,'GUDANG BESAR'!K:K)</f>
        <v>26185.466099999998</v>
      </c>
      <c r="Q250" s="150">
        <v>240</v>
      </c>
      <c r="R250" s="149">
        <v>240</v>
      </c>
      <c r="S250" s="149">
        <v>0</v>
      </c>
      <c r="T250" s="145">
        <f t="shared" si="9"/>
        <v>5661722.3999999994</v>
      </c>
      <c r="U250" s="145">
        <f t="shared" si="10"/>
        <v>6284511.8639999991</v>
      </c>
      <c r="V250" s="135" t="str">
        <f>VLOOKUP(K250,Sheet1!$B$5:$C$131,2,0)</f>
        <v>CK</v>
      </c>
      <c r="W250" s="181">
        <f t="shared" si="11"/>
        <v>0.24</v>
      </c>
    </row>
    <row r="251" spans="1:23" s="139" customFormat="1">
      <c r="A251" s="146" t="s">
        <v>483</v>
      </c>
      <c r="B251" s="147" t="s">
        <v>484</v>
      </c>
      <c r="C251" s="146" t="s">
        <v>137</v>
      </c>
      <c r="D251" s="146" t="s">
        <v>138</v>
      </c>
      <c r="E251" s="146" t="s">
        <v>139</v>
      </c>
      <c r="F251" s="146" t="s">
        <v>162</v>
      </c>
      <c r="G251" s="148" t="s">
        <v>214</v>
      </c>
      <c r="H251" s="146">
        <v>0</v>
      </c>
      <c r="I251" s="146">
        <v>28</v>
      </c>
      <c r="J251" s="146" t="s">
        <v>234</v>
      </c>
      <c r="K251" s="146" t="s">
        <v>233</v>
      </c>
      <c r="L251" s="148" t="s">
        <v>3</v>
      </c>
      <c r="M251" s="146" t="s">
        <v>142</v>
      </c>
      <c r="N251" s="149">
        <v>1000</v>
      </c>
      <c r="O251" s="152">
        <f>SUMIF('GUDANG BESAR'!C:C,K:K,'GUDANG BESAR'!I:I)</f>
        <v>5500</v>
      </c>
      <c r="P251" s="153">
        <f>SUMIF('GUDANG BESAR'!C:C,K:K,'GUDANG BESAR'!K:K)</f>
        <v>6105</v>
      </c>
      <c r="Q251" s="150">
        <v>275</v>
      </c>
      <c r="R251" s="149">
        <v>275</v>
      </c>
      <c r="S251" s="149">
        <v>0</v>
      </c>
      <c r="T251" s="145">
        <f t="shared" si="9"/>
        <v>1512500</v>
      </c>
      <c r="U251" s="145">
        <f t="shared" si="10"/>
        <v>1678875</v>
      </c>
      <c r="V251" s="135" t="str">
        <f>VLOOKUP(K251,Sheet1!$B$5:$C$131,2,0)</f>
        <v>LIMBAH</v>
      </c>
      <c r="W251" s="181">
        <f t="shared" si="11"/>
        <v>0.27500000000000002</v>
      </c>
    </row>
    <row r="252" spans="1:23" s="139" customFormat="1">
      <c r="A252" s="146" t="s">
        <v>483</v>
      </c>
      <c r="B252" s="147" t="s">
        <v>484</v>
      </c>
      <c r="C252" s="146" t="s">
        <v>137</v>
      </c>
      <c r="D252" s="146" t="s">
        <v>138</v>
      </c>
      <c r="E252" s="146" t="s">
        <v>139</v>
      </c>
      <c r="F252" s="146" t="s">
        <v>162</v>
      </c>
      <c r="G252" s="148" t="s">
        <v>214</v>
      </c>
      <c r="H252" s="146">
        <v>0</v>
      </c>
      <c r="I252" s="146">
        <v>27</v>
      </c>
      <c r="J252" s="146" t="s">
        <v>377</v>
      </c>
      <c r="K252" s="146" t="s">
        <v>372</v>
      </c>
      <c r="L252" s="148" t="s">
        <v>3</v>
      </c>
      <c r="M252" s="146" t="s">
        <v>142</v>
      </c>
      <c r="N252" s="149">
        <v>1000</v>
      </c>
      <c r="O252" s="152">
        <f>SUMIF('GUDANG BESAR'!C:C,K:K,'GUDANG BESAR'!I:I)</f>
        <v>5500</v>
      </c>
      <c r="P252" s="153">
        <f>SUMIF('GUDANG BESAR'!C:C,K:K,'GUDANG BESAR'!K:K)</f>
        <v>6105</v>
      </c>
      <c r="Q252" s="150">
        <v>400</v>
      </c>
      <c r="R252" s="149">
        <v>400</v>
      </c>
      <c r="S252" s="149">
        <v>0</v>
      </c>
      <c r="T252" s="145">
        <f t="shared" si="9"/>
        <v>2200000</v>
      </c>
      <c r="U252" s="145">
        <f t="shared" si="10"/>
        <v>2442000</v>
      </c>
      <c r="V252" s="135" t="str">
        <f>VLOOKUP(K252,Sheet1!$B$5:$C$131,2,0)</f>
        <v>LIMBAH</v>
      </c>
      <c r="W252" s="181">
        <f t="shared" si="11"/>
        <v>0.4</v>
      </c>
    </row>
    <row r="253" spans="1:23" s="139" customFormat="1">
      <c r="A253" s="146" t="s">
        <v>483</v>
      </c>
      <c r="B253" s="147" t="s">
        <v>484</v>
      </c>
      <c r="C253" s="146" t="s">
        <v>137</v>
      </c>
      <c r="D253" s="146" t="s">
        <v>138</v>
      </c>
      <c r="E253" s="146" t="s">
        <v>139</v>
      </c>
      <c r="F253" s="146" t="s">
        <v>167</v>
      </c>
      <c r="G253" s="148" t="s">
        <v>298</v>
      </c>
      <c r="H253" s="146">
        <v>0</v>
      </c>
      <c r="I253" s="146">
        <v>21</v>
      </c>
      <c r="J253" s="146" t="s">
        <v>183</v>
      </c>
      <c r="K253" s="146" t="s">
        <v>20</v>
      </c>
      <c r="L253" s="148" t="s">
        <v>3</v>
      </c>
      <c r="M253" s="146" t="s">
        <v>142</v>
      </c>
      <c r="N253" s="149">
        <v>1000</v>
      </c>
      <c r="O253" s="152">
        <f>SUMIF('GUDANG BESAR'!C:C,K:K,'GUDANG BESAR'!I:I)</f>
        <v>39120</v>
      </c>
      <c r="P253" s="153">
        <f>SUMIF('GUDANG BESAR'!C:C,K:K,'GUDANG BESAR'!K:K)</f>
        <v>43423.199999999997</v>
      </c>
      <c r="Q253" s="150">
        <v>6</v>
      </c>
      <c r="R253" s="149">
        <v>6</v>
      </c>
      <c r="S253" s="149">
        <v>0</v>
      </c>
      <c r="T253" s="145">
        <f t="shared" si="9"/>
        <v>234720</v>
      </c>
      <c r="U253" s="145">
        <f t="shared" si="10"/>
        <v>260539.19999999998</v>
      </c>
      <c r="V253" s="135" t="str">
        <f>VLOOKUP(K253,Sheet1!$B$5:$C$131,2,0)</f>
        <v>FINISHING</v>
      </c>
      <c r="W253" s="181">
        <f t="shared" si="11"/>
        <v>6.0000000000000001E-3</v>
      </c>
    </row>
    <row r="254" spans="1:23" s="139" customFormat="1">
      <c r="A254" s="146" t="s">
        <v>483</v>
      </c>
      <c r="B254" s="147" t="s">
        <v>484</v>
      </c>
      <c r="C254" s="146" t="s">
        <v>137</v>
      </c>
      <c r="D254" s="146" t="s">
        <v>138</v>
      </c>
      <c r="E254" s="146" t="s">
        <v>139</v>
      </c>
      <c r="F254" s="146" t="s">
        <v>140</v>
      </c>
      <c r="G254" s="148" t="s">
        <v>300</v>
      </c>
      <c r="H254" s="146">
        <v>0</v>
      </c>
      <c r="I254" s="146">
        <v>15</v>
      </c>
      <c r="J254" s="146" t="s">
        <v>150</v>
      </c>
      <c r="K254" s="146" t="s">
        <v>32</v>
      </c>
      <c r="L254" s="148" t="s">
        <v>3</v>
      </c>
      <c r="M254" s="146" t="s">
        <v>142</v>
      </c>
      <c r="N254" s="149">
        <v>1000</v>
      </c>
      <c r="O254" s="152">
        <f>SUMIF('GUDANG BESAR'!C:C,K:K,'GUDANG BESAR'!I:I)</f>
        <v>15500</v>
      </c>
      <c r="P254" s="153">
        <f>SUMIF('GUDANG BESAR'!C:C,K:K,'GUDANG BESAR'!K:K)</f>
        <v>17205</v>
      </c>
      <c r="Q254" s="150">
        <v>1</v>
      </c>
      <c r="R254" s="149">
        <v>1</v>
      </c>
      <c r="S254" s="149">
        <v>0</v>
      </c>
      <c r="T254" s="145">
        <f t="shared" si="9"/>
        <v>15500</v>
      </c>
      <c r="U254" s="145">
        <f t="shared" si="10"/>
        <v>17205</v>
      </c>
      <c r="V254" s="135" t="str">
        <f>VLOOKUP(K254,Sheet1!$B$5:$C$131,2,0)</f>
        <v>CK</v>
      </c>
      <c r="W254" s="181">
        <f t="shared" si="11"/>
        <v>1E-3</v>
      </c>
    </row>
    <row r="255" spans="1:23" s="139" customFormat="1">
      <c r="A255" s="146" t="s">
        <v>483</v>
      </c>
      <c r="B255" s="147" t="s">
        <v>484</v>
      </c>
      <c r="C255" s="146" t="s">
        <v>137</v>
      </c>
      <c r="D255" s="146" t="s">
        <v>138</v>
      </c>
      <c r="E255" s="146" t="s">
        <v>139</v>
      </c>
      <c r="F255" s="146" t="s">
        <v>153</v>
      </c>
      <c r="G255" s="148" t="s">
        <v>301</v>
      </c>
      <c r="H255" s="146">
        <v>0</v>
      </c>
      <c r="I255" s="146">
        <v>19</v>
      </c>
      <c r="J255" s="146" t="s">
        <v>317</v>
      </c>
      <c r="K255" s="146" t="s">
        <v>17</v>
      </c>
      <c r="L255" s="148" t="s">
        <v>3</v>
      </c>
      <c r="M255" s="146" t="s">
        <v>142</v>
      </c>
      <c r="N255" s="149">
        <v>1000</v>
      </c>
      <c r="O255" s="152">
        <f>SUMIF('GUDANG BESAR'!C:C,K:K,'GUDANG BESAR'!I:I)</f>
        <v>25269.5</v>
      </c>
      <c r="P255" s="153">
        <f>SUMIF('GUDANG BESAR'!C:C,K:K,'GUDANG BESAR'!K:K)</f>
        <v>28049.145</v>
      </c>
      <c r="Q255" s="150">
        <v>63</v>
      </c>
      <c r="R255" s="149">
        <v>63</v>
      </c>
      <c r="S255" s="149">
        <v>0</v>
      </c>
      <c r="T255" s="145">
        <f t="shared" si="9"/>
        <v>1591978.5</v>
      </c>
      <c r="U255" s="145">
        <f t="shared" si="10"/>
        <v>1767096.135</v>
      </c>
      <c r="V255" s="135" t="str">
        <f>VLOOKUP(K255,Sheet1!$B$5:$C$131,2,0)</f>
        <v>DYEING</v>
      </c>
      <c r="W255" s="181">
        <f t="shared" si="11"/>
        <v>6.3E-2</v>
      </c>
    </row>
    <row r="256" spans="1:23" s="139" customFormat="1">
      <c r="A256" s="146" t="s">
        <v>483</v>
      </c>
      <c r="B256" s="147" t="s">
        <v>484</v>
      </c>
      <c r="C256" s="146" t="s">
        <v>137</v>
      </c>
      <c r="D256" s="146" t="s">
        <v>138</v>
      </c>
      <c r="E256" s="146" t="s">
        <v>139</v>
      </c>
      <c r="F256" s="146" t="s">
        <v>153</v>
      </c>
      <c r="G256" s="148" t="s">
        <v>301</v>
      </c>
      <c r="H256" s="146">
        <v>0</v>
      </c>
      <c r="I256" s="146">
        <v>18</v>
      </c>
      <c r="J256" s="146" t="s">
        <v>251</v>
      </c>
      <c r="K256" s="146" t="s">
        <v>249</v>
      </c>
      <c r="L256" s="148" t="s">
        <v>3</v>
      </c>
      <c r="M256" s="146" t="s">
        <v>142</v>
      </c>
      <c r="N256" s="149">
        <v>1000</v>
      </c>
      <c r="O256" s="152">
        <f>SUMIF('GUDANG BESAR'!C:C,K:K,'GUDANG BESAR'!I:I)</f>
        <v>9119.6</v>
      </c>
      <c r="P256" s="153">
        <f>SUMIF('GUDANG BESAR'!C:C,K:K,'GUDANG BESAR'!K:K)</f>
        <v>10122.756000000001</v>
      </c>
      <c r="Q256" s="150">
        <v>15</v>
      </c>
      <c r="R256" s="149">
        <v>15</v>
      </c>
      <c r="S256" s="149">
        <v>0</v>
      </c>
      <c r="T256" s="145">
        <f t="shared" si="9"/>
        <v>136794</v>
      </c>
      <c r="U256" s="145">
        <f t="shared" si="10"/>
        <v>151841.34000000003</v>
      </c>
      <c r="V256" s="135" t="str">
        <f>VLOOKUP(K256,Sheet1!$B$5:$C$131,2,0)</f>
        <v>DYEING</v>
      </c>
      <c r="W256" s="181">
        <f t="shared" si="11"/>
        <v>1.4999999999999999E-2</v>
      </c>
    </row>
    <row r="257" spans="1:23" s="139" customFormat="1">
      <c r="A257" s="146" t="s">
        <v>483</v>
      </c>
      <c r="B257" s="147" t="s">
        <v>484</v>
      </c>
      <c r="C257" s="146" t="s">
        <v>137</v>
      </c>
      <c r="D257" s="146" t="s">
        <v>138</v>
      </c>
      <c r="E257" s="146" t="s">
        <v>139</v>
      </c>
      <c r="F257" s="146" t="s">
        <v>153</v>
      </c>
      <c r="G257" s="148" t="s">
        <v>301</v>
      </c>
      <c r="H257" s="146">
        <v>0</v>
      </c>
      <c r="I257" s="146">
        <v>20</v>
      </c>
      <c r="J257" s="146" t="s">
        <v>168</v>
      </c>
      <c r="K257" s="146" t="s">
        <v>34</v>
      </c>
      <c r="L257" s="148" t="s">
        <v>3</v>
      </c>
      <c r="M257" s="146" t="s">
        <v>142</v>
      </c>
      <c r="N257" s="149">
        <v>1000</v>
      </c>
      <c r="O257" s="152">
        <f>SUMIF('GUDANG BESAR'!C:C,K:K,'GUDANG BESAR'!I:I)</f>
        <v>68397</v>
      </c>
      <c r="P257" s="153">
        <f>SUMIF('GUDANG BESAR'!C:C,K:K,'GUDANG BESAR'!K:K)</f>
        <v>75920.67</v>
      </c>
      <c r="Q257" s="150">
        <v>2.8</v>
      </c>
      <c r="R257" s="149">
        <v>2</v>
      </c>
      <c r="S257" s="149">
        <v>800</v>
      </c>
      <c r="T257" s="145">
        <f t="shared" si="9"/>
        <v>191511.59999999998</v>
      </c>
      <c r="U257" s="145">
        <f t="shared" si="10"/>
        <v>212577.87599999999</v>
      </c>
      <c r="V257" s="135" t="str">
        <f>VLOOKUP(K257,Sheet1!$B$5:$C$131,2,0)</f>
        <v>DYEING</v>
      </c>
      <c r="W257" s="181">
        <f t="shared" si="11"/>
        <v>2.8E-3</v>
      </c>
    </row>
    <row r="258" spans="1:23" s="139" customFormat="1">
      <c r="A258" s="146" t="s">
        <v>483</v>
      </c>
      <c r="B258" s="147" t="s">
        <v>484</v>
      </c>
      <c r="C258" s="146" t="s">
        <v>137</v>
      </c>
      <c r="D258" s="146" t="s">
        <v>138</v>
      </c>
      <c r="E258" s="146" t="s">
        <v>139</v>
      </c>
      <c r="F258" s="146" t="s">
        <v>162</v>
      </c>
      <c r="G258" s="148" t="s">
        <v>214</v>
      </c>
      <c r="H258" s="146">
        <v>0</v>
      </c>
      <c r="I258" s="146">
        <v>33</v>
      </c>
      <c r="J258" s="146" t="s">
        <v>165</v>
      </c>
      <c r="K258" s="146" t="s">
        <v>80</v>
      </c>
      <c r="L258" s="148" t="s">
        <v>3</v>
      </c>
      <c r="M258" s="146" t="s">
        <v>142</v>
      </c>
      <c r="N258" s="149">
        <v>1000</v>
      </c>
      <c r="O258" s="152">
        <f>SUMIF('GUDANG BESAR'!C:C,K:K,'GUDANG BESAR'!I:I)</f>
        <v>1550000</v>
      </c>
      <c r="P258" s="153">
        <f>SUMIF('GUDANG BESAR'!C:C,K:K,'GUDANG BESAR'!K:K)</f>
        <v>1720500</v>
      </c>
      <c r="Q258" s="150">
        <v>0.05</v>
      </c>
      <c r="R258" s="149">
        <v>0</v>
      </c>
      <c r="S258" s="149">
        <v>50</v>
      </c>
      <c r="T258" s="145">
        <f t="shared" si="9"/>
        <v>77500</v>
      </c>
      <c r="U258" s="145">
        <f t="shared" si="10"/>
        <v>86025</v>
      </c>
      <c r="V258" s="135" t="str">
        <f>VLOOKUP(K258,Sheet1!$B$5:$C$131,2,0)</f>
        <v>LIMBAH</v>
      </c>
      <c r="W258" s="181">
        <f t="shared" si="11"/>
        <v>5.0000000000000002E-5</v>
      </c>
    </row>
    <row r="259" spans="1:23" s="139" customFormat="1">
      <c r="A259" s="146" t="s">
        <v>483</v>
      </c>
      <c r="B259" s="147" t="s">
        <v>484</v>
      </c>
      <c r="C259" s="146" t="s">
        <v>137</v>
      </c>
      <c r="D259" s="146" t="s">
        <v>138</v>
      </c>
      <c r="E259" s="146" t="s">
        <v>139</v>
      </c>
      <c r="F259" s="146" t="s">
        <v>162</v>
      </c>
      <c r="G259" s="148" t="s">
        <v>214</v>
      </c>
      <c r="H259" s="146">
        <v>0</v>
      </c>
      <c r="I259" s="146">
        <v>32</v>
      </c>
      <c r="J259" s="146" t="s">
        <v>164</v>
      </c>
      <c r="K259" s="146" t="s">
        <v>74</v>
      </c>
      <c r="L259" s="148" t="s">
        <v>5</v>
      </c>
      <c r="M259" s="146" t="s">
        <v>142</v>
      </c>
      <c r="N259" s="149">
        <v>1000</v>
      </c>
      <c r="O259" s="152">
        <f>SUMIF('GUDANG BESAR'!C:C,K:K,'GUDANG BESAR'!I:I)</f>
        <v>13180</v>
      </c>
      <c r="P259" s="153">
        <f>SUMIF('GUDANG BESAR'!C:C,K:K,'GUDANG BESAR'!K:K)</f>
        <v>14629.8</v>
      </c>
      <c r="Q259" s="150">
        <v>15</v>
      </c>
      <c r="R259" s="149">
        <v>15</v>
      </c>
      <c r="S259" s="149">
        <v>0</v>
      </c>
      <c r="T259" s="145">
        <f t="shared" si="9"/>
        <v>197700</v>
      </c>
      <c r="U259" s="145">
        <f t="shared" si="10"/>
        <v>219447</v>
      </c>
      <c r="V259" s="135" t="str">
        <f>VLOOKUP(K259,Sheet1!$B$5:$C$131,2,0)</f>
        <v>LIMBAH</v>
      </c>
      <c r="W259" s="181">
        <f t="shared" si="11"/>
        <v>1.4999999999999999E-2</v>
      </c>
    </row>
    <row r="260" spans="1:23" s="139" customFormat="1">
      <c r="A260" s="146" t="s">
        <v>483</v>
      </c>
      <c r="B260" s="147" t="s">
        <v>484</v>
      </c>
      <c r="C260" s="146" t="s">
        <v>137</v>
      </c>
      <c r="D260" s="146" t="s">
        <v>138</v>
      </c>
      <c r="E260" s="146" t="s">
        <v>139</v>
      </c>
      <c r="F260" s="146" t="s">
        <v>140</v>
      </c>
      <c r="G260" s="148" t="s">
        <v>300</v>
      </c>
      <c r="H260" s="146">
        <v>0</v>
      </c>
      <c r="I260" s="146">
        <v>13</v>
      </c>
      <c r="J260" s="146" t="s">
        <v>152</v>
      </c>
      <c r="K260" s="146" t="s">
        <v>57</v>
      </c>
      <c r="L260" s="148" t="s">
        <v>3</v>
      </c>
      <c r="M260" s="146" t="s">
        <v>142</v>
      </c>
      <c r="N260" s="149">
        <v>1000</v>
      </c>
      <c r="O260" s="152">
        <f>SUMIF('GUDANG BESAR'!C:C,K:K,'GUDANG BESAR'!I:I)</f>
        <v>21870</v>
      </c>
      <c r="P260" s="153">
        <f>SUMIF('GUDANG BESAR'!C:C,K:K,'GUDANG BESAR'!K:K)</f>
        <v>24275.7</v>
      </c>
      <c r="Q260" s="150">
        <v>50</v>
      </c>
      <c r="R260" s="149">
        <v>50</v>
      </c>
      <c r="S260" s="149">
        <v>0</v>
      </c>
      <c r="T260" s="145">
        <f t="shared" si="9"/>
        <v>1093500</v>
      </c>
      <c r="U260" s="145">
        <f t="shared" si="10"/>
        <v>1213785</v>
      </c>
      <c r="V260" s="135" t="str">
        <f>VLOOKUP(K260,Sheet1!$B$5:$C$131,2,0)</f>
        <v>CK</v>
      </c>
      <c r="W260" s="181">
        <f t="shared" si="11"/>
        <v>0.05</v>
      </c>
    </row>
    <row r="261" spans="1:23" s="139" customFormat="1">
      <c r="A261" s="146" t="s">
        <v>483</v>
      </c>
      <c r="B261" s="147" t="s">
        <v>484</v>
      </c>
      <c r="C261" s="146" t="s">
        <v>137</v>
      </c>
      <c r="D261" s="146" t="s">
        <v>138</v>
      </c>
      <c r="E261" s="146" t="s">
        <v>139</v>
      </c>
      <c r="F261" s="146" t="s">
        <v>162</v>
      </c>
      <c r="G261" s="148" t="s">
        <v>214</v>
      </c>
      <c r="H261" s="146">
        <v>0</v>
      </c>
      <c r="I261" s="146">
        <v>29</v>
      </c>
      <c r="J261" s="146" t="s">
        <v>262</v>
      </c>
      <c r="K261" s="146" t="s">
        <v>258</v>
      </c>
      <c r="L261" s="148" t="s">
        <v>3</v>
      </c>
      <c r="M261" s="146" t="s">
        <v>142</v>
      </c>
      <c r="N261" s="149">
        <v>1000</v>
      </c>
      <c r="O261" s="152">
        <f>SUMIF('GUDANG BESAR'!C:C,K:K,'GUDANG BESAR'!I:I)</f>
        <v>33000</v>
      </c>
      <c r="P261" s="153">
        <f>SUMIF('GUDANG BESAR'!C:C,K:K,'GUDANG BESAR'!K:K)</f>
        <v>36630</v>
      </c>
      <c r="Q261" s="150">
        <v>13</v>
      </c>
      <c r="R261" s="149">
        <v>13</v>
      </c>
      <c r="S261" s="149">
        <v>0</v>
      </c>
      <c r="T261" s="145">
        <f t="shared" si="9"/>
        <v>429000</v>
      </c>
      <c r="U261" s="145">
        <f t="shared" si="10"/>
        <v>476190</v>
      </c>
      <c r="V261" s="135" t="str">
        <f>VLOOKUP(K261,Sheet1!$B$5:$C$131,2,0)</f>
        <v>LIMBAH</v>
      </c>
      <c r="W261" s="181">
        <f t="shared" si="11"/>
        <v>1.2999999999999999E-2</v>
      </c>
    </row>
    <row r="262" spans="1:23" s="139" customFormat="1">
      <c r="A262" s="146" t="s">
        <v>483</v>
      </c>
      <c r="B262" s="147" t="s">
        <v>484</v>
      </c>
      <c r="C262" s="146" t="s">
        <v>137</v>
      </c>
      <c r="D262" s="146" t="s">
        <v>138</v>
      </c>
      <c r="E262" s="146" t="s">
        <v>139</v>
      </c>
      <c r="F262" s="146" t="s">
        <v>162</v>
      </c>
      <c r="G262" s="148" t="s">
        <v>214</v>
      </c>
      <c r="H262" s="146">
        <v>0</v>
      </c>
      <c r="I262" s="146">
        <v>30</v>
      </c>
      <c r="J262" s="146" t="s">
        <v>263</v>
      </c>
      <c r="K262" s="146" t="s">
        <v>259</v>
      </c>
      <c r="L262" s="148" t="s">
        <v>3</v>
      </c>
      <c r="M262" s="146" t="s">
        <v>142</v>
      </c>
      <c r="N262" s="149">
        <v>1000</v>
      </c>
      <c r="O262" s="152">
        <f>SUMIF('GUDANG BESAR'!C:C,K:K,'GUDANG BESAR'!I:I)</f>
        <v>47500</v>
      </c>
      <c r="P262" s="153">
        <f>SUMIF('GUDANG BESAR'!C:C,K:K,'GUDANG BESAR'!K:K)</f>
        <v>52725</v>
      </c>
      <c r="Q262" s="150">
        <v>13</v>
      </c>
      <c r="R262" s="149">
        <v>13</v>
      </c>
      <c r="S262" s="149">
        <v>0</v>
      </c>
      <c r="T262" s="145">
        <f t="shared" ref="T262:T325" si="12">O262*Q262</f>
        <v>617500</v>
      </c>
      <c r="U262" s="145">
        <f t="shared" ref="U262:U325" si="13">P262*Q262</f>
        <v>685425</v>
      </c>
      <c r="V262" s="135" t="str">
        <f>VLOOKUP(K262,Sheet1!$B$5:$C$131,2,0)</f>
        <v>LIMBAH</v>
      </c>
      <c r="W262" s="181">
        <f t="shared" ref="W262:W325" si="14">Q262/$W$5</f>
        <v>1.2999999999999999E-2</v>
      </c>
    </row>
    <row r="263" spans="1:23" s="139" customFormat="1">
      <c r="A263" s="146" t="s">
        <v>485</v>
      </c>
      <c r="B263" s="147" t="s">
        <v>486</v>
      </c>
      <c r="C263" s="146" t="s">
        <v>137</v>
      </c>
      <c r="D263" s="146" t="s">
        <v>138</v>
      </c>
      <c r="E263" s="146" t="s">
        <v>139</v>
      </c>
      <c r="F263" s="146" t="s">
        <v>153</v>
      </c>
      <c r="G263" s="148" t="s">
        <v>298</v>
      </c>
      <c r="H263" s="146">
        <v>0</v>
      </c>
      <c r="I263" s="146">
        <v>18</v>
      </c>
      <c r="J263" s="146" t="s">
        <v>315</v>
      </c>
      <c r="K263" s="146" t="s">
        <v>47</v>
      </c>
      <c r="L263" s="148" t="s">
        <v>3</v>
      </c>
      <c r="M263" s="146" t="s">
        <v>142</v>
      </c>
      <c r="N263" s="149">
        <v>1000</v>
      </c>
      <c r="O263" s="152">
        <f>SUMIF('GUDANG BESAR'!C:C,K:K,'GUDANG BESAR'!I:I)</f>
        <v>13000</v>
      </c>
      <c r="P263" s="153">
        <f>SUMIF('GUDANG BESAR'!C:C,K:K,'GUDANG BESAR'!K:K)</f>
        <v>14430</v>
      </c>
      <c r="Q263" s="150">
        <v>2</v>
      </c>
      <c r="R263" s="149">
        <v>2</v>
      </c>
      <c r="S263" s="149">
        <v>0</v>
      </c>
      <c r="T263" s="145">
        <f t="shared" si="12"/>
        <v>26000</v>
      </c>
      <c r="U263" s="145">
        <f t="shared" si="13"/>
        <v>28860</v>
      </c>
      <c r="V263" s="135" t="str">
        <f>VLOOKUP(K263,Sheet1!$B$5:$C$131,2,0)</f>
        <v>FINISHING</v>
      </c>
      <c r="W263" s="181">
        <f t="shared" si="14"/>
        <v>2E-3</v>
      </c>
    </row>
    <row r="264" spans="1:23" s="139" customFormat="1">
      <c r="A264" s="146" t="s">
        <v>485</v>
      </c>
      <c r="B264" s="147" t="s">
        <v>486</v>
      </c>
      <c r="C264" s="146" t="s">
        <v>137</v>
      </c>
      <c r="D264" s="146" t="s">
        <v>138</v>
      </c>
      <c r="E264" s="146" t="s">
        <v>139</v>
      </c>
      <c r="F264" s="146" t="s">
        <v>153</v>
      </c>
      <c r="G264" s="148" t="s">
        <v>299</v>
      </c>
      <c r="H264" s="146">
        <v>0</v>
      </c>
      <c r="I264" s="146">
        <v>13</v>
      </c>
      <c r="J264" s="146" t="s">
        <v>154</v>
      </c>
      <c r="K264" s="146" t="s">
        <v>23</v>
      </c>
      <c r="L264" s="148" t="s">
        <v>3</v>
      </c>
      <c r="M264" s="146" t="s">
        <v>142</v>
      </c>
      <c r="N264" s="149">
        <v>1000</v>
      </c>
      <c r="O264" s="152">
        <f>SUMIF('GUDANG BESAR'!C:C,K:K,'GUDANG BESAR'!I:I)</f>
        <v>28844</v>
      </c>
      <c r="P264" s="153">
        <f>SUMIF('GUDANG BESAR'!C:C,K:K,'GUDANG BESAR'!K:K)</f>
        <v>32016.84</v>
      </c>
      <c r="Q264" s="150">
        <v>100</v>
      </c>
      <c r="R264" s="149">
        <v>100</v>
      </c>
      <c r="S264" s="149">
        <v>0</v>
      </c>
      <c r="T264" s="145">
        <f t="shared" si="12"/>
        <v>2884400</v>
      </c>
      <c r="U264" s="145">
        <f t="shared" si="13"/>
        <v>3201684</v>
      </c>
      <c r="V264" s="135" t="str">
        <f>VLOOKUP(K264,Sheet1!$B$5:$C$131,2,0)</f>
        <v>RC</v>
      </c>
      <c r="W264" s="181">
        <f t="shared" si="14"/>
        <v>0.1</v>
      </c>
    </row>
    <row r="265" spans="1:23" s="139" customFormat="1">
      <c r="A265" s="146" t="s">
        <v>485</v>
      </c>
      <c r="B265" s="147" t="s">
        <v>486</v>
      </c>
      <c r="C265" s="146" t="s">
        <v>137</v>
      </c>
      <c r="D265" s="146" t="s">
        <v>138</v>
      </c>
      <c r="E265" s="146" t="s">
        <v>139</v>
      </c>
      <c r="F265" s="146" t="s">
        <v>153</v>
      </c>
      <c r="G265" s="148" t="s">
        <v>301</v>
      </c>
      <c r="H265" s="146">
        <v>0</v>
      </c>
      <c r="I265" s="146">
        <v>20</v>
      </c>
      <c r="J265" s="146" t="s">
        <v>246</v>
      </c>
      <c r="K265" s="146" t="s">
        <v>7</v>
      </c>
      <c r="L265" s="148" t="s">
        <v>3</v>
      </c>
      <c r="M265" s="146" t="s">
        <v>142</v>
      </c>
      <c r="N265" s="149">
        <v>1000</v>
      </c>
      <c r="O265" s="152">
        <f>SUMIF('GUDANG BESAR'!C:C,K:K,'GUDANG BESAR'!I:I)</f>
        <v>29502</v>
      </c>
      <c r="P265" s="153">
        <f>SUMIF('GUDANG BESAR'!C:C,K:K,'GUDANG BESAR'!K:K)</f>
        <v>32747.22</v>
      </c>
      <c r="Q265" s="150">
        <v>4</v>
      </c>
      <c r="R265" s="149">
        <v>4</v>
      </c>
      <c r="S265" s="149">
        <v>0</v>
      </c>
      <c r="T265" s="145">
        <f t="shared" si="12"/>
        <v>118008</v>
      </c>
      <c r="U265" s="145">
        <f t="shared" si="13"/>
        <v>130988.88</v>
      </c>
      <c r="V265" s="135" t="str">
        <f>VLOOKUP(K265,Sheet1!$B$5:$C$131,2,0)</f>
        <v>DYEING</v>
      </c>
      <c r="W265" s="181">
        <f t="shared" si="14"/>
        <v>4.0000000000000001E-3</v>
      </c>
    </row>
    <row r="266" spans="1:23" s="139" customFormat="1">
      <c r="A266" s="146" t="s">
        <v>485</v>
      </c>
      <c r="B266" s="147" t="s">
        <v>486</v>
      </c>
      <c r="C266" s="146" t="s">
        <v>137</v>
      </c>
      <c r="D266" s="146" t="s">
        <v>138</v>
      </c>
      <c r="E266" s="146" t="s">
        <v>139</v>
      </c>
      <c r="F266" s="146" t="s">
        <v>153</v>
      </c>
      <c r="G266" s="148" t="s">
        <v>299</v>
      </c>
      <c r="H266" s="146">
        <v>0</v>
      </c>
      <c r="I266" s="146">
        <v>14</v>
      </c>
      <c r="J266" s="146" t="s">
        <v>155</v>
      </c>
      <c r="K266" s="146" t="s">
        <v>33</v>
      </c>
      <c r="L266" s="148" t="s">
        <v>3</v>
      </c>
      <c r="M266" s="146" t="s">
        <v>142</v>
      </c>
      <c r="N266" s="149">
        <v>1000</v>
      </c>
      <c r="O266" s="152">
        <f>SUMIF('GUDANG BESAR'!C:C,K:K,'GUDANG BESAR'!I:I)</f>
        <v>11087.5</v>
      </c>
      <c r="P266" s="153">
        <f>SUMIF('GUDANG BESAR'!C:C,K:K,'GUDANG BESAR'!K:K)</f>
        <v>12307.125</v>
      </c>
      <c r="Q266" s="150">
        <v>75</v>
      </c>
      <c r="R266" s="149">
        <v>75</v>
      </c>
      <c r="S266" s="149">
        <v>0</v>
      </c>
      <c r="T266" s="145">
        <f t="shared" si="12"/>
        <v>831562.5</v>
      </c>
      <c r="U266" s="145">
        <f t="shared" si="13"/>
        <v>923034.375</v>
      </c>
      <c r="V266" s="135" t="str">
        <f>VLOOKUP(K266,Sheet1!$B$5:$C$131,2,0)</f>
        <v>RC</v>
      </c>
      <c r="W266" s="181">
        <f t="shared" si="14"/>
        <v>7.4999999999999997E-2</v>
      </c>
    </row>
    <row r="267" spans="1:23" s="139" customFormat="1">
      <c r="A267" s="146" t="s">
        <v>485</v>
      </c>
      <c r="B267" s="147" t="s">
        <v>486</v>
      </c>
      <c r="C267" s="146" t="s">
        <v>137</v>
      </c>
      <c r="D267" s="146" t="s">
        <v>138</v>
      </c>
      <c r="E267" s="146" t="s">
        <v>139</v>
      </c>
      <c r="F267" s="146" t="s">
        <v>140</v>
      </c>
      <c r="G267" s="148" t="s">
        <v>303</v>
      </c>
      <c r="H267" s="146">
        <v>0</v>
      </c>
      <c r="I267" s="146">
        <v>1</v>
      </c>
      <c r="J267" s="146" t="s">
        <v>141</v>
      </c>
      <c r="K267" s="146" t="s">
        <v>37</v>
      </c>
      <c r="L267" s="148" t="s">
        <v>3</v>
      </c>
      <c r="M267" s="146" t="s">
        <v>142</v>
      </c>
      <c r="N267" s="149">
        <v>1000</v>
      </c>
      <c r="O267" s="152">
        <f>SUMIF('GUDANG BESAR'!C:C,K:K,'GUDANG BESAR'!I:I)</f>
        <v>51276</v>
      </c>
      <c r="P267" s="153">
        <f>SUMIF('GUDANG BESAR'!C:C,K:K,'GUDANG BESAR'!K:K)</f>
        <v>56916.36</v>
      </c>
      <c r="Q267" s="150">
        <v>8.5609999999999999</v>
      </c>
      <c r="R267" s="149">
        <v>8</v>
      </c>
      <c r="S267" s="149">
        <v>561</v>
      </c>
      <c r="T267" s="145">
        <f t="shared" si="12"/>
        <v>438973.83600000001</v>
      </c>
      <c r="U267" s="145">
        <f t="shared" si="13"/>
        <v>487260.95796000003</v>
      </c>
      <c r="V267" s="135" t="str">
        <f>VLOOKUP(K267,Sheet1!$B$5:$C$131,2,0)</f>
        <v>DYESTUFF</v>
      </c>
      <c r="W267" s="181">
        <f t="shared" si="14"/>
        <v>8.5609999999999992E-3</v>
      </c>
    </row>
    <row r="268" spans="1:23" s="139" customFormat="1">
      <c r="A268" s="146" t="s">
        <v>485</v>
      </c>
      <c r="B268" s="147" t="s">
        <v>486</v>
      </c>
      <c r="C268" s="146" t="s">
        <v>137</v>
      </c>
      <c r="D268" s="146" t="s">
        <v>138</v>
      </c>
      <c r="E268" s="146" t="s">
        <v>139</v>
      </c>
      <c r="F268" s="146" t="s">
        <v>153</v>
      </c>
      <c r="G268" s="148" t="s">
        <v>301</v>
      </c>
      <c r="H268" s="146">
        <v>0</v>
      </c>
      <c r="I268" s="146">
        <v>22</v>
      </c>
      <c r="J268" s="146" t="s">
        <v>172</v>
      </c>
      <c r="K268" s="146" t="s">
        <v>8</v>
      </c>
      <c r="L268" s="148" t="s">
        <v>3</v>
      </c>
      <c r="M268" s="146" t="s">
        <v>142</v>
      </c>
      <c r="N268" s="149">
        <v>1000</v>
      </c>
      <c r="O268" s="152">
        <f>SUMIF('GUDANG BESAR'!C:C,K:K,'GUDANG BESAR'!I:I)</f>
        <v>441045</v>
      </c>
      <c r="P268" s="153">
        <f>SUMIF('GUDANG BESAR'!C:C,K:K,'GUDANG BESAR'!K:K)</f>
        <v>489559.95</v>
      </c>
      <c r="Q268" s="150">
        <v>0.45700000000000002</v>
      </c>
      <c r="R268" s="149">
        <v>0</v>
      </c>
      <c r="S268" s="149">
        <v>457</v>
      </c>
      <c r="T268" s="145">
        <f t="shared" si="12"/>
        <v>201557.565</v>
      </c>
      <c r="U268" s="145">
        <f t="shared" si="13"/>
        <v>223728.89715</v>
      </c>
      <c r="V268" s="135" t="str">
        <f>VLOOKUP(K268,Sheet1!$B$5:$C$131,2,0)</f>
        <v>DYEING</v>
      </c>
      <c r="W268" s="181">
        <f t="shared" si="14"/>
        <v>4.57E-4</v>
      </c>
    </row>
    <row r="269" spans="1:23" s="139" customFormat="1">
      <c r="A269" s="146" t="s">
        <v>485</v>
      </c>
      <c r="B269" s="147" t="s">
        <v>486</v>
      </c>
      <c r="C269" s="146" t="s">
        <v>137</v>
      </c>
      <c r="D269" s="146" t="s">
        <v>138</v>
      </c>
      <c r="E269" s="146" t="s">
        <v>139</v>
      </c>
      <c r="F269" s="146" t="s">
        <v>140</v>
      </c>
      <c r="G269" s="148" t="s">
        <v>303</v>
      </c>
      <c r="H269" s="146">
        <v>0</v>
      </c>
      <c r="I269" s="146">
        <v>4</v>
      </c>
      <c r="J269" s="146" t="s">
        <v>143</v>
      </c>
      <c r="K269" s="146" t="s">
        <v>90</v>
      </c>
      <c r="L269" s="148" t="s">
        <v>3</v>
      </c>
      <c r="M269" s="146" t="s">
        <v>142</v>
      </c>
      <c r="N269" s="149">
        <v>1000</v>
      </c>
      <c r="O269" s="152">
        <f>SUMIF('GUDANG BESAR'!C:C,K:K,'GUDANG BESAR'!I:I)</f>
        <v>194556</v>
      </c>
      <c r="P269" s="153">
        <f>SUMIF('GUDANG BESAR'!C:C,K:K,'GUDANG BESAR'!K:K)</f>
        <v>215957.16</v>
      </c>
      <c r="Q269" s="150">
        <v>2.6509999999999998</v>
      </c>
      <c r="R269" s="149">
        <v>2</v>
      </c>
      <c r="S269" s="149">
        <v>651</v>
      </c>
      <c r="T269" s="145">
        <f t="shared" si="12"/>
        <v>515767.95599999995</v>
      </c>
      <c r="U269" s="145">
        <f t="shared" si="13"/>
        <v>572502.43115999992</v>
      </c>
      <c r="V269" s="135" t="str">
        <f>VLOOKUP(K269,Sheet1!$B$5:$C$131,2,0)</f>
        <v>DYESTUFF</v>
      </c>
      <c r="W269" s="181">
        <f t="shared" si="14"/>
        <v>2.6509999999999997E-3</v>
      </c>
    </row>
    <row r="270" spans="1:23" s="139" customFormat="1">
      <c r="A270" s="146" t="s">
        <v>485</v>
      </c>
      <c r="B270" s="147" t="s">
        <v>486</v>
      </c>
      <c r="C270" s="146" t="s">
        <v>137</v>
      </c>
      <c r="D270" s="146" t="s">
        <v>138</v>
      </c>
      <c r="E270" s="146" t="s">
        <v>139</v>
      </c>
      <c r="F270" s="146" t="s">
        <v>140</v>
      </c>
      <c r="G270" s="148" t="s">
        <v>303</v>
      </c>
      <c r="H270" s="146">
        <v>0</v>
      </c>
      <c r="I270" s="146">
        <v>2</v>
      </c>
      <c r="J270" s="146" t="s">
        <v>346</v>
      </c>
      <c r="K270" s="146" t="s">
        <v>343</v>
      </c>
      <c r="L270" s="148" t="s">
        <v>3</v>
      </c>
      <c r="M270" s="146" t="s">
        <v>142</v>
      </c>
      <c r="N270" s="149">
        <v>1000</v>
      </c>
      <c r="O270" s="152">
        <f>SUMIF('GUDANG BESAR'!C:C,K:K,'GUDANG BESAR'!I:I)</f>
        <v>60680</v>
      </c>
      <c r="P270" s="153">
        <f>SUMIF('GUDANG BESAR'!C:C,K:K,'GUDANG BESAR'!K:K)</f>
        <v>67354.8</v>
      </c>
      <c r="Q270" s="150">
        <v>35.31</v>
      </c>
      <c r="R270" s="149">
        <v>35</v>
      </c>
      <c r="S270" s="149">
        <v>310</v>
      </c>
      <c r="T270" s="145">
        <f t="shared" si="12"/>
        <v>2142610.8000000003</v>
      </c>
      <c r="U270" s="145">
        <f t="shared" si="13"/>
        <v>2378297.9880000004</v>
      </c>
      <c r="V270" s="135" t="str">
        <f>VLOOKUP(K270,Sheet1!$B$5:$C$131,2,0)</f>
        <v>DYESTUFF</v>
      </c>
      <c r="W270" s="181">
        <f t="shared" si="14"/>
        <v>3.5310000000000001E-2</v>
      </c>
    </row>
    <row r="271" spans="1:23" s="139" customFormat="1">
      <c r="A271" s="146" t="s">
        <v>485</v>
      </c>
      <c r="B271" s="147" t="s">
        <v>486</v>
      </c>
      <c r="C271" s="146" t="s">
        <v>137</v>
      </c>
      <c r="D271" s="146" t="s">
        <v>138</v>
      </c>
      <c r="E271" s="146" t="s">
        <v>139</v>
      </c>
      <c r="F271" s="146" t="s">
        <v>140</v>
      </c>
      <c r="G271" s="148" t="s">
        <v>303</v>
      </c>
      <c r="H271" s="146">
        <v>0</v>
      </c>
      <c r="I271" s="146">
        <v>9</v>
      </c>
      <c r="J271" s="146" t="s">
        <v>151</v>
      </c>
      <c r="K271" s="146" t="s">
        <v>28</v>
      </c>
      <c r="L271" s="148" t="s">
        <v>3</v>
      </c>
      <c r="M271" s="146" t="s">
        <v>142</v>
      </c>
      <c r="N271" s="149">
        <v>1000</v>
      </c>
      <c r="O271" s="152">
        <f>SUMIF('GUDANG BESAR'!C:C,K:K,'GUDANG BESAR'!I:I)</f>
        <v>413967</v>
      </c>
      <c r="P271" s="153">
        <f>SUMIF('GUDANG BESAR'!C:C,K:K,'GUDANG BESAR'!K:K)</f>
        <v>459503.37</v>
      </c>
      <c r="Q271" s="150">
        <v>7.6999999999999999E-2</v>
      </c>
      <c r="R271" s="149">
        <v>0</v>
      </c>
      <c r="S271" s="149">
        <v>77</v>
      </c>
      <c r="T271" s="145">
        <f t="shared" si="12"/>
        <v>31875.458999999999</v>
      </c>
      <c r="U271" s="145">
        <f t="shared" si="13"/>
        <v>35381.759489999997</v>
      </c>
      <c r="V271" s="135" t="str">
        <f>VLOOKUP(K271,Sheet1!$B$5:$C$131,2,0)</f>
        <v>DYESTUFF</v>
      </c>
      <c r="W271" s="181">
        <f t="shared" si="14"/>
        <v>7.7000000000000001E-5</v>
      </c>
    </row>
    <row r="272" spans="1:23" s="139" customFormat="1">
      <c r="A272" s="146" t="s">
        <v>485</v>
      </c>
      <c r="B272" s="147" t="s">
        <v>486</v>
      </c>
      <c r="C272" s="146" t="s">
        <v>137</v>
      </c>
      <c r="D272" s="146" t="s">
        <v>138</v>
      </c>
      <c r="E272" s="146" t="s">
        <v>139</v>
      </c>
      <c r="F272" s="146" t="s">
        <v>140</v>
      </c>
      <c r="G272" s="148" t="s">
        <v>303</v>
      </c>
      <c r="H272" s="146">
        <v>0</v>
      </c>
      <c r="I272" s="146">
        <v>3</v>
      </c>
      <c r="J272" s="146" t="s">
        <v>169</v>
      </c>
      <c r="K272" s="146" t="s">
        <v>64</v>
      </c>
      <c r="L272" s="148" t="s">
        <v>3</v>
      </c>
      <c r="M272" s="146" t="s">
        <v>142</v>
      </c>
      <c r="N272" s="149">
        <v>1000</v>
      </c>
      <c r="O272" s="152">
        <f>SUMIF('GUDANG BESAR'!C:C,K:K,'GUDANG BESAR'!I:I)</f>
        <v>506080</v>
      </c>
      <c r="P272" s="153">
        <f>SUMIF('GUDANG BESAR'!C:C,K:K,'GUDANG BESAR'!K:K)</f>
        <v>561748.80000000005</v>
      </c>
      <c r="Q272" s="150">
        <v>3.0000000000000001E-3</v>
      </c>
      <c r="R272" s="149">
        <v>0</v>
      </c>
      <c r="S272" s="149">
        <v>3</v>
      </c>
      <c r="T272" s="145">
        <f t="shared" si="12"/>
        <v>1518.24</v>
      </c>
      <c r="U272" s="145">
        <f t="shared" si="13"/>
        <v>1685.2464000000002</v>
      </c>
      <c r="V272" s="135" t="str">
        <f>VLOOKUP(K272,Sheet1!$B$5:$C$131,2,0)</f>
        <v>DYESTUFF</v>
      </c>
      <c r="W272" s="181">
        <f t="shared" si="14"/>
        <v>3.0000000000000001E-6</v>
      </c>
    </row>
    <row r="273" spans="1:23" s="139" customFormat="1">
      <c r="A273" s="146" t="s">
        <v>485</v>
      </c>
      <c r="B273" s="147" t="s">
        <v>486</v>
      </c>
      <c r="C273" s="146" t="s">
        <v>137</v>
      </c>
      <c r="D273" s="146" t="s">
        <v>138</v>
      </c>
      <c r="E273" s="146" t="s">
        <v>139</v>
      </c>
      <c r="F273" s="146" t="s">
        <v>140</v>
      </c>
      <c r="G273" s="148" t="s">
        <v>303</v>
      </c>
      <c r="H273" s="146">
        <v>0</v>
      </c>
      <c r="I273" s="146">
        <v>5</v>
      </c>
      <c r="J273" s="146" t="s">
        <v>250</v>
      </c>
      <c r="K273" s="146" t="s">
        <v>38</v>
      </c>
      <c r="L273" s="148" t="s">
        <v>3</v>
      </c>
      <c r="M273" s="146" t="s">
        <v>142</v>
      </c>
      <c r="N273" s="149">
        <v>1000</v>
      </c>
      <c r="O273" s="152">
        <f>SUMIF('GUDANG BESAR'!C:C,K:K,'GUDANG BESAR'!I:I)</f>
        <v>366255</v>
      </c>
      <c r="P273" s="153">
        <f>SUMIF('GUDANG BESAR'!C:C,K:K,'GUDANG BESAR'!K:K)</f>
        <v>406543.05</v>
      </c>
      <c r="Q273" s="150">
        <v>0.26100000000000001</v>
      </c>
      <c r="R273" s="149">
        <v>0</v>
      </c>
      <c r="S273" s="149">
        <v>261</v>
      </c>
      <c r="T273" s="145">
        <f t="shared" si="12"/>
        <v>95592.555000000008</v>
      </c>
      <c r="U273" s="145">
        <f t="shared" si="13"/>
        <v>106107.73605000001</v>
      </c>
      <c r="V273" s="135" t="str">
        <f>VLOOKUP(K273,Sheet1!$B$5:$C$131,2,0)</f>
        <v>DYESTUFF</v>
      </c>
      <c r="W273" s="181">
        <f t="shared" si="14"/>
        <v>2.61E-4</v>
      </c>
    </row>
    <row r="274" spans="1:23" s="139" customFormat="1">
      <c r="A274" s="146" t="s">
        <v>485</v>
      </c>
      <c r="B274" s="147" t="s">
        <v>486</v>
      </c>
      <c r="C274" s="146" t="s">
        <v>137</v>
      </c>
      <c r="D274" s="146" t="s">
        <v>138</v>
      </c>
      <c r="E274" s="146" t="s">
        <v>139</v>
      </c>
      <c r="F274" s="146" t="s">
        <v>140</v>
      </c>
      <c r="G274" s="148" t="s">
        <v>303</v>
      </c>
      <c r="H274" s="146">
        <v>0</v>
      </c>
      <c r="I274" s="146">
        <v>6</v>
      </c>
      <c r="J274" s="146" t="s">
        <v>144</v>
      </c>
      <c r="K274" s="146" t="s">
        <v>26</v>
      </c>
      <c r="L274" s="148" t="s">
        <v>3</v>
      </c>
      <c r="M274" s="146" t="s">
        <v>142</v>
      </c>
      <c r="N274" s="149">
        <v>1000</v>
      </c>
      <c r="O274" s="152">
        <f>SUMIF('GUDANG BESAR'!C:C,K:K,'GUDANG BESAR'!I:I)</f>
        <v>52016</v>
      </c>
      <c r="P274" s="153">
        <f>SUMIF('GUDANG BESAR'!C:C,K:K,'GUDANG BESAR'!K:K)</f>
        <v>57737.760000000002</v>
      </c>
      <c r="Q274" s="150">
        <v>11.755000000000001</v>
      </c>
      <c r="R274" s="149">
        <v>11</v>
      </c>
      <c r="S274" s="149">
        <v>755</v>
      </c>
      <c r="T274" s="145">
        <f t="shared" si="12"/>
        <v>611448.08000000007</v>
      </c>
      <c r="U274" s="145">
        <f t="shared" si="13"/>
        <v>678707.36880000005</v>
      </c>
      <c r="V274" s="135" t="str">
        <f>VLOOKUP(K274,Sheet1!$B$5:$C$131,2,0)</f>
        <v>DYESTUFF</v>
      </c>
      <c r="W274" s="181">
        <f t="shared" si="14"/>
        <v>1.1755000000000002E-2</v>
      </c>
    </row>
    <row r="275" spans="1:23" s="139" customFormat="1">
      <c r="A275" s="146" t="s">
        <v>485</v>
      </c>
      <c r="B275" s="147" t="s">
        <v>486</v>
      </c>
      <c r="C275" s="146" t="s">
        <v>137</v>
      </c>
      <c r="D275" s="146" t="s">
        <v>138</v>
      </c>
      <c r="E275" s="146" t="s">
        <v>139</v>
      </c>
      <c r="F275" s="146" t="s">
        <v>140</v>
      </c>
      <c r="G275" s="148" t="s">
        <v>303</v>
      </c>
      <c r="H275" s="146">
        <v>0</v>
      </c>
      <c r="I275" s="146">
        <v>7</v>
      </c>
      <c r="J275" s="146" t="s">
        <v>145</v>
      </c>
      <c r="K275" s="146" t="s">
        <v>27</v>
      </c>
      <c r="L275" s="148" t="s">
        <v>3</v>
      </c>
      <c r="M275" s="146" t="s">
        <v>142</v>
      </c>
      <c r="N275" s="149">
        <v>1000</v>
      </c>
      <c r="O275" s="152">
        <f>SUMIF('GUDANG BESAR'!C:C,K:K,'GUDANG BESAR'!I:I)</f>
        <v>71148</v>
      </c>
      <c r="P275" s="153">
        <f>SUMIF('GUDANG BESAR'!C:C,K:K,'GUDANG BESAR'!K:K)</f>
        <v>78974.28</v>
      </c>
      <c r="Q275" s="150">
        <v>30.228000000000002</v>
      </c>
      <c r="R275" s="149">
        <v>30</v>
      </c>
      <c r="S275" s="149">
        <v>228</v>
      </c>
      <c r="T275" s="145">
        <f t="shared" si="12"/>
        <v>2150661.7439999999</v>
      </c>
      <c r="U275" s="145">
        <f t="shared" si="13"/>
        <v>2387234.53584</v>
      </c>
      <c r="V275" s="135" t="str">
        <f>VLOOKUP(K275,Sheet1!$B$5:$C$131,2,0)</f>
        <v>DYESTUFF</v>
      </c>
      <c r="W275" s="181">
        <f t="shared" si="14"/>
        <v>3.0228000000000001E-2</v>
      </c>
    </row>
    <row r="276" spans="1:23" s="139" customFormat="1">
      <c r="A276" s="146" t="s">
        <v>485</v>
      </c>
      <c r="B276" s="147" t="s">
        <v>486</v>
      </c>
      <c r="C276" s="146" t="s">
        <v>137</v>
      </c>
      <c r="D276" s="146" t="s">
        <v>138</v>
      </c>
      <c r="E276" s="146" t="s">
        <v>139</v>
      </c>
      <c r="F276" s="146" t="s">
        <v>153</v>
      </c>
      <c r="G276" s="148" t="s">
        <v>301</v>
      </c>
      <c r="H276" s="146">
        <v>0</v>
      </c>
      <c r="I276" s="146">
        <v>23</v>
      </c>
      <c r="J276" s="146" t="s">
        <v>173</v>
      </c>
      <c r="K276" s="146" t="s">
        <v>9</v>
      </c>
      <c r="L276" s="148" t="s">
        <v>3</v>
      </c>
      <c r="M276" s="146" t="s">
        <v>142</v>
      </c>
      <c r="N276" s="149">
        <v>1000</v>
      </c>
      <c r="O276" s="152">
        <f>SUMIF('GUDANG BESAR'!C:C,K:K,'GUDANG BESAR'!I:I)</f>
        <v>294030</v>
      </c>
      <c r="P276" s="153">
        <f>SUMIF('GUDANG BESAR'!C:C,K:K,'GUDANG BESAR'!K:K)</f>
        <v>326373.3</v>
      </c>
      <c r="Q276" s="150">
        <v>0.27600000000000002</v>
      </c>
      <c r="R276" s="149">
        <v>0</v>
      </c>
      <c r="S276" s="149">
        <v>276</v>
      </c>
      <c r="T276" s="145">
        <f t="shared" si="12"/>
        <v>81152.280000000013</v>
      </c>
      <c r="U276" s="145">
        <f t="shared" si="13"/>
        <v>90079.030800000008</v>
      </c>
      <c r="V276" s="135" t="str">
        <f>VLOOKUP(K276,Sheet1!$B$5:$C$131,2,0)</f>
        <v>DYEING</v>
      </c>
      <c r="W276" s="181">
        <f t="shared" si="14"/>
        <v>2.7600000000000004E-4</v>
      </c>
    </row>
    <row r="277" spans="1:23" s="139" customFormat="1">
      <c r="A277" s="146" t="s">
        <v>485</v>
      </c>
      <c r="B277" s="147" t="s">
        <v>486</v>
      </c>
      <c r="C277" s="146" t="s">
        <v>137</v>
      </c>
      <c r="D277" s="146" t="s">
        <v>138</v>
      </c>
      <c r="E277" s="146" t="s">
        <v>139</v>
      </c>
      <c r="F277" s="146" t="s">
        <v>140</v>
      </c>
      <c r="G277" s="148" t="s">
        <v>303</v>
      </c>
      <c r="H277" s="146">
        <v>0</v>
      </c>
      <c r="I277" s="146">
        <v>11</v>
      </c>
      <c r="J277" s="146" t="s">
        <v>146</v>
      </c>
      <c r="K277" s="146" t="s">
        <v>46</v>
      </c>
      <c r="L277" s="148" t="s">
        <v>3</v>
      </c>
      <c r="M277" s="146" t="s">
        <v>142</v>
      </c>
      <c r="N277" s="149">
        <v>1000</v>
      </c>
      <c r="O277" s="152">
        <f>SUMIF('GUDANG BESAR'!C:C,K:K,'GUDANG BESAR'!I:I)</f>
        <v>100812</v>
      </c>
      <c r="P277" s="153">
        <f>SUMIF('GUDANG BESAR'!C:C,K:K,'GUDANG BESAR'!K:K)</f>
        <v>111901.32</v>
      </c>
      <c r="Q277" s="150">
        <v>17.657</v>
      </c>
      <c r="R277" s="149">
        <v>17</v>
      </c>
      <c r="S277" s="149">
        <v>657</v>
      </c>
      <c r="T277" s="145">
        <f t="shared" si="12"/>
        <v>1780037.4839999999</v>
      </c>
      <c r="U277" s="145">
        <f t="shared" si="13"/>
        <v>1975841.60724</v>
      </c>
      <c r="V277" s="135" t="str">
        <f>VLOOKUP(K277,Sheet1!$B$5:$C$131,2,0)</f>
        <v>DYESTUFF</v>
      </c>
      <c r="W277" s="181">
        <f t="shared" si="14"/>
        <v>1.7656999999999999E-2</v>
      </c>
    </row>
    <row r="278" spans="1:23" s="139" customFormat="1">
      <c r="A278" s="146" t="s">
        <v>485</v>
      </c>
      <c r="B278" s="147" t="s">
        <v>486</v>
      </c>
      <c r="C278" s="146" t="s">
        <v>137</v>
      </c>
      <c r="D278" s="146" t="s">
        <v>138</v>
      </c>
      <c r="E278" s="146" t="s">
        <v>139</v>
      </c>
      <c r="F278" s="146" t="s">
        <v>140</v>
      </c>
      <c r="G278" s="148" t="s">
        <v>303</v>
      </c>
      <c r="H278" s="146">
        <v>0</v>
      </c>
      <c r="I278" s="146">
        <v>8</v>
      </c>
      <c r="J278" s="146" t="s">
        <v>147</v>
      </c>
      <c r="K278" s="146" t="s">
        <v>41</v>
      </c>
      <c r="L278" s="148" t="s">
        <v>3</v>
      </c>
      <c r="M278" s="146" t="s">
        <v>142</v>
      </c>
      <c r="N278" s="149">
        <v>1000</v>
      </c>
      <c r="O278" s="152">
        <f>SUMIF('GUDANG BESAR'!C:C,K:K,'GUDANG BESAR'!I:I)</f>
        <v>54071</v>
      </c>
      <c r="P278" s="153">
        <f>SUMIF('GUDANG BESAR'!C:C,K:K,'GUDANG BESAR'!K:K)</f>
        <v>60018.81</v>
      </c>
      <c r="Q278" s="150">
        <v>15.769</v>
      </c>
      <c r="R278" s="149">
        <v>15</v>
      </c>
      <c r="S278" s="149">
        <v>769</v>
      </c>
      <c r="T278" s="145">
        <f t="shared" si="12"/>
        <v>852645.59900000005</v>
      </c>
      <c r="U278" s="145">
        <f t="shared" si="13"/>
        <v>946436.61488999997</v>
      </c>
      <c r="V278" s="135" t="str">
        <f>VLOOKUP(K278,Sheet1!$B$5:$C$131,2,0)</f>
        <v>DYESTUFF</v>
      </c>
      <c r="W278" s="181">
        <f t="shared" si="14"/>
        <v>1.5769000000000002E-2</v>
      </c>
    </row>
    <row r="279" spans="1:23" s="139" customFormat="1">
      <c r="A279" s="146" t="s">
        <v>485</v>
      </c>
      <c r="B279" s="147" t="s">
        <v>486</v>
      </c>
      <c r="C279" s="146" t="s">
        <v>137</v>
      </c>
      <c r="D279" s="146" t="s">
        <v>138</v>
      </c>
      <c r="E279" s="146" t="s">
        <v>139</v>
      </c>
      <c r="F279" s="146" t="s">
        <v>140</v>
      </c>
      <c r="G279" s="148" t="s">
        <v>303</v>
      </c>
      <c r="H279" s="146">
        <v>0</v>
      </c>
      <c r="I279" s="146">
        <v>10</v>
      </c>
      <c r="J279" s="146" t="s">
        <v>148</v>
      </c>
      <c r="K279" s="146" t="s">
        <v>30</v>
      </c>
      <c r="L279" s="148" t="s">
        <v>3</v>
      </c>
      <c r="M279" s="146" t="s">
        <v>142</v>
      </c>
      <c r="N279" s="149">
        <v>1000</v>
      </c>
      <c r="O279" s="152">
        <f>SUMIF('GUDANG BESAR'!C:C,K:K,'GUDANG BESAR'!I:I)</f>
        <v>77089.399999999994</v>
      </c>
      <c r="P279" s="153">
        <f>SUMIF('GUDANG BESAR'!C:C,K:K,'GUDANG BESAR'!K:K)</f>
        <v>85569.233999999997</v>
      </c>
      <c r="Q279" s="150">
        <v>12.801</v>
      </c>
      <c r="R279" s="149">
        <v>12</v>
      </c>
      <c r="S279" s="149">
        <v>801</v>
      </c>
      <c r="T279" s="145">
        <f t="shared" si="12"/>
        <v>986821.40939999989</v>
      </c>
      <c r="U279" s="145">
        <f t="shared" si="13"/>
        <v>1095371.764434</v>
      </c>
      <c r="V279" s="135" t="str">
        <f>VLOOKUP(K279,Sheet1!$B$5:$C$131,2,0)</f>
        <v>DYESTUFF</v>
      </c>
      <c r="W279" s="181">
        <f t="shared" si="14"/>
        <v>1.2801E-2</v>
      </c>
    </row>
    <row r="280" spans="1:23" s="139" customFormat="1">
      <c r="A280" s="146" t="s">
        <v>485</v>
      </c>
      <c r="B280" s="147" t="s">
        <v>486</v>
      </c>
      <c r="C280" s="146" t="s">
        <v>137</v>
      </c>
      <c r="D280" s="146" t="s">
        <v>138</v>
      </c>
      <c r="E280" s="146" t="s">
        <v>139</v>
      </c>
      <c r="F280" s="146" t="s">
        <v>153</v>
      </c>
      <c r="G280" s="148" t="s">
        <v>301</v>
      </c>
      <c r="H280" s="146">
        <v>0</v>
      </c>
      <c r="I280" s="146">
        <v>24</v>
      </c>
      <c r="J280" s="146" t="s">
        <v>174</v>
      </c>
      <c r="K280" s="146" t="s">
        <v>13</v>
      </c>
      <c r="L280" s="148" t="s">
        <v>3</v>
      </c>
      <c r="M280" s="146" t="s">
        <v>142</v>
      </c>
      <c r="N280" s="149">
        <v>1000</v>
      </c>
      <c r="O280" s="152">
        <f>SUMIF('GUDANG BESAR'!C:C,K:K,'GUDANG BESAR'!I:I)</f>
        <v>262320</v>
      </c>
      <c r="P280" s="153">
        <f>SUMIF('GUDANG BESAR'!C:C,K:K,'GUDANG BESAR'!K:K)</f>
        <v>291175.2</v>
      </c>
      <c r="Q280" s="150">
        <v>0.58699999999999997</v>
      </c>
      <c r="R280" s="149">
        <v>0</v>
      </c>
      <c r="S280" s="149">
        <v>587</v>
      </c>
      <c r="T280" s="145">
        <f t="shared" si="12"/>
        <v>153981.84</v>
      </c>
      <c r="U280" s="145">
        <f t="shared" si="13"/>
        <v>170919.84239999999</v>
      </c>
      <c r="V280" s="135" t="str">
        <f>VLOOKUP(K280,Sheet1!$B$5:$C$131,2,0)</f>
        <v>DYEING</v>
      </c>
      <c r="W280" s="181">
        <f t="shared" si="14"/>
        <v>5.8699999999999996E-4</v>
      </c>
    </row>
    <row r="281" spans="1:23" s="139" customFormat="1">
      <c r="A281" s="146" t="s">
        <v>485</v>
      </c>
      <c r="B281" s="147" t="s">
        <v>486</v>
      </c>
      <c r="C281" s="146" t="s">
        <v>137</v>
      </c>
      <c r="D281" s="146" t="s">
        <v>138</v>
      </c>
      <c r="E281" s="146" t="s">
        <v>139</v>
      </c>
      <c r="F281" s="146" t="s">
        <v>162</v>
      </c>
      <c r="G281" s="148" t="s">
        <v>214</v>
      </c>
      <c r="H281" s="146">
        <v>0</v>
      </c>
      <c r="I281" s="146">
        <v>29</v>
      </c>
      <c r="J281" s="146" t="s">
        <v>163</v>
      </c>
      <c r="K281" s="146" t="s">
        <v>14</v>
      </c>
      <c r="L281" s="148" t="s">
        <v>3</v>
      </c>
      <c r="M281" s="146" t="s">
        <v>142</v>
      </c>
      <c r="N281" s="149">
        <v>1000</v>
      </c>
      <c r="O281" s="152">
        <f>SUMIF('GUDANG BESAR'!C:C,K:K,'GUDANG BESAR'!I:I)</f>
        <v>30500</v>
      </c>
      <c r="P281" s="153">
        <f>SUMIF('GUDANG BESAR'!C:C,K:K,'GUDANG BESAR'!K:K)</f>
        <v>33855</v>
      </c>
      <c r="Q281" s="150">
        <v>30</v>
      </c>
      <c r="R281" s="149">
        <v>30</v>
      </c>
      <c r="S281" s="149">
        <v>0</v>
      </c>
      <c r="T281" s="145">
        <f t="shared" si="12"/>
        <v>915000</v>
      </c>
      <c r="U281" s="145">
        <f t="shared" si="13"/>
        <v>1015650</v>
      </c>
      <c r="V281" s="135" t="str">
        <f>VLOOKUP(K281,Sheet1!$B$5:$C$131,2,0)</f>
        <v>LIMBAH</v>
      </c>
      <c r="W281" s="181">
        <f t="shared" si="14"/>
        <v>0.03</v>
      </c>
    </row>
    <row r="282" spans="1:23" s="139" customFormat="1">
      <c r="A282" s="146" t="s">
        <v>485</v>
      </c>
      <c r="B282" s="147" t="s">
        <v>486</v>
      </c>
      <c r="C282" s="146" t="s">
        <v>137</v>
      </c>
      <c r="D282" s="146" t="s">
        <v>138</v>
      </c>
      <c r="E282" s="146" t="s">
        <v>139</v>
      </c>
      <c r="F282" s="146" t="s">
        <v>166</v>
      </c>
      <c r="G282" s="148" t="s">
        <v>336</v>
      </c>
      <c r="H282" s="146">
        <v>0</v>
      </c>
      <c r="I282" s="146">
        <v>25</v>
      </c>
      <c r="J282" s="146" t="s">
        <v>175</v>
      </c>
      <c r="K282" s="146" t="s">
        <v>66</v>
      </c>
      <c r="L282" s="148" t="s">
        <v>3</v>
      </c>
      <c r="M282" s="146" t="s">
        <v>142</v>
      </c>
      <c r="N282" s="149">
        <v>1000</v>
      </c>
      <c r="O282" s="152">
        <f>SUMIF('GUDANG BESAR'!C:C,K:K,'GUDANG BESAR'!I:I)</f>
        <v>64000</v>
      </c>
      <c r="P282" s="153">
        <f>SUMIF('GUDANG BESAR'!C:C,K:K,'GUDANG BESAR'!K:K)</f>
        <v>64000</v>
      </c>
      <c r="Q282" s="150">
        <v>80</v>
      </c>
      <c r="R282" s="149">
        <v>80</v>
      </c>
      <c r="S282" s="149">
        <v>0</v>
      </c>
      <c r="T282" s="145">
        <f t="shared" si="12"/>
        <v>5120000</v>
      </c>
      <c r="U282" s="145">
        <f t="shared" si="13"/>
        <v>5120000</v>
      </c>
      <c r="V282" s="135" t="str">
        <f>VLOOKUP(K282,Sheet1!$B$5:$C$131,2,0)</f>
        <v>ENGGRAVING</v>
      </c>
      <c r="W282" s="181">
        <f t="shared" si="14"/>
        <v>0.08</v>
      </c>
    </row>
    <row r="283" spans="1:23" s="139" customFormat="1">
      <c r="A283" s="146" t="s">
        <v>485</v>
      </c>
      <c r="B283" s="147" t="s">
        <v>486</v>
      </c>
      <c r="C283" s="146" t="s">
        <v>137</v>
      </c>
      <c r="D283" s="146" t="s">
        <v>138</v>
      </c>
      <c r="E283" s="146" t="s">
        <v>139</v>
      </c>
      <c r="F283" s="146" t="s">
        <v>140</v>
      </c>
      <c r="G283" s="148" t="s">
        <v>300</v>
      </c>
      <c r="H283" s="146">
        <v>0</v>
      </c>
      <c r="I283" s="146">
        <v>12</v>
      </c>
      <c r="J283" s="146" t="s">
        <v>314</v>
      </c>
      <c r="K283" s="146" t="s">
        <v>281</v>
      </c>
      <c r="L283" s="148" t="s">
        <v>3</v>
      </c>
      <c r="M283" s="146" t="s">
        <v>142</v>
      </c>
      <c r="N283" s="149">
        <v>1000</v>
      </c>
      <c r="O283" s="152">
        <f>SUMIF('GUDANG BESAR'!C:C,K:K,'GUDANG BESAR'!I:I)</f>
        <v>23590.51</v>
      </c>
      <c r="P283" s="153">
        <f>SUMIF('GUDANG BESAR'!C:C,K:K,'GUDANG BESAR'!K:K)</f>
        <v>26185.466099999998</v>
      </c>
      <c r="Q283" s="150">
        <v>240</v>
      </c>
      <c r="R283" s="149">
        <v>240</v>
      </c>
      <c r="S283" s="149">
        <v>0</v>
      </c>
      <c r="T283" s="145">
        <f t="shared" si="12"/>
        <v>5661722.3999999994</v>
      </c>
      <c r="U283" s="145">
        <f t="shared" si="13"/>
        <v>6284511.8639999991</v>
      </c>
      <c r="V283" s="135" t="str">
        <f>VLOOKUP(K283,Sheet1!$B$5:$C$131,2,0)</f>
        <v>CK</v>
      </c>
      <c r="W283" s="181">
        <f t="shared" si="14"/>
        <v>0.24</v>
      </c>
    </row>
    <row r="284" spans="1:23" s="139" customFormat="1">
      <c r="A284" s="146" t="s">
        <v>485</v>
      </c>
      <c r="B284" s="147" t="s">
        <v>486</v>
      </c>
      <c r="C284" s="146" t="s">
        <v>137</v>
      </c>
      <c r="D284" s="146" t="s">
        <v>138</v>
      </c>
      <c r="E284" s="146" t="s">
        <v>139</v>
      </c>
      <c r="F284" s="146" t="s">
        <v>162</v>
      </c>
      <c r="G284" s="148" t="s">
        <v>214</v>
      </c>
      <c r="H284" s="146">
        <v>0</v>
      </c>
      <c r="I284" s="146">
        <v>26</v>
      </c>
      <c r="J284" s="146" t="s">
        <v>234</v>
      </c>
      <c r="K284" s="146" t="s">
        <v>233</v>
      </c>
      <c r="L284" s="148" t="s">
        <v>3</v>
      </c>
      <c r="M284" s="146" t="s">
        <v>142</v>
      </c>
      <c r="N284" s="149">
        <v>1000</v>
      </c>
      <c r="O284" s="152">
        <f>SUMIF('GUDANG BESAR'!C:C,K:K,'GUDANG BESAR'!I:I)</f>
        <v>5500</v>
      </c>
      <c r="P284" s="153">
        <f>SUMIF('GUDANG BESAR'!C:C,K:K,'GUDANG BESAR'!K:K)</f>
        <v>6105</v>
      </c>
      <c r="Q284" s="150">
        <v>375</v>
      </c>
      <c r="R284" s="149">
        <v>375</v>
      </c>
      <c r="S284" s="149">
        <v>0</v>
      </c>
      <c r="T284" s="145">
        <f t="shared" si="12"/>
        <v>2062500</v>
      </c>
      <c r="U284" s="145">
        <f t="shared" si="13"/>
        <v>2289375</v>
      </c>
      <c r="V284" s="135" t="str">
        <f>VLOOKUP(K284,Sheet1!$B$5:$C$131,2,0)</f>
        <v>LIMBAH</v>
      </c>
      <c r="W284" s="181">
        <f t="shared" si="14"/>
        <v>0.375</v>
      </c>
    </row>
    <row r="285" spans="1:23" s="139" customFormat="1">
      <c r="A285" s="146" t="s">
        <v>485</v>
      </c>
      <c r="B285" s="147" t="s">
        <v>486</v>
      </c>
      <c r="C285" s="146" t="s">
        <v>137</v>
      </c>
      <c r="D285" s="146" t="s">
        <v>138</v>
      </c>
      <c r="E285" s="146" t="s">
        <v>139</v>
      </c>
      <c r="F285" s="146" t="s">
        <v>153</v>
      </c>
      <c r="G285" s="148" t="s">
        <v>301</v>
      </c>
      <c r="H285" s="146">
        <v>0</v>
      </c>
      <c r="I285" s="146">
        <v>15</v>
      </c>
      <c r="J285" s="146" t="s">
        <v>317</v>
      </c>
      <c r="K285" s="146" t="s">
        <v>17</v>
      </c>
      <c r="L285" s="148" t="s">
        <v>3</v>
      </c>
      <c r="M285" s="146" t="s">
        <v>142</v>
      </c>
      <c r="N285" s="149">
        <v>1000</v>
      </c>
      <c r="O285" s="152">
        <f>SUMIF('GUDANG BESAR'!C:C,K:K,'GUDANG BESAR'!I:I)</f>
        <v>25269.5</v>
      </c>
      <c r="P285" s="153">
        <f>SUMIF('GUDANG BESAR'!C:C,K:K,'GUDANG BESAR'!K:K)</f>
        <v>28049.145</v>
      </c>
      <c r="Q285" s="150">
        <v>12</v>
      </c>
      <c r="R285" s="149">
        <v>12</v>
      </c>
      <c r="S285" s="149">
        <v>0</v>
      </c>
      <c r="T285" s="145">
        <f t="shared" si="12"/>
        <v>303234</v>
      </c>
      <c r="U285" s="145">
        <f t="shared" si="13"/>
        <v>336589.74</v>
      </c>
      <c r="V285" s="135" t="str">
        <f>VLOOKUP(K285,Sheet1!$B$5:$C$131,2,0)</f>
        <v>DYEING</v>
      </c>
      <c r="W285" s="181">
        <f t="shared" si="14"/>
        <v>1.2E-2</v>
      </c>
    </row>
    <row r="286" spans="1:23" s="139" customFormat="1">
      <c r="A286" s="146" t="s">
        <v>485</v>
      </c>
      <c r="B286" s="147" t="s">
        <v>486</v>
      </c>
      <c r="C286" s="146" t="s">
        <v>137</v>
      </c>
      <c r="D286" s="146" t="s">
        <v>138</v>
      </c>
      <c r="E286" s="146" t="s">
        <v>139</v>
      </c>
      <c r="F286" s="146" t="s">
        <v>153</v>
      </c>
      <c r="G286" s="148" t="s">
        <v>301</v>
      </c>
      <c r="H286" s="146">
        <v>0</v>
      </c>
      <c r="I286" s="146">
        <v>16</v>
      </c>
      <c r="J286" s="146" t="s">
        <v>251</v>
      </c>
      <c r="K286" s="146" t="s">
        <v>249</v>
      </c>
      <c r="L286" s="148" t="s">
        <v>3</v>
      </c>
      <c r="M286" s="146" t="s">
        <v>142</v>
      </c>
      <c r="N286" s="149">
        <v>1000</v>
      </c>
      <c r="O286" s="152">
        <f>SUMIF('GUDANG BESAR'!C:C,K:K,'GUDANG BESAR'!I:I)</f>
        <v>9119.6</v>
      </c>
      <c r="P286" s="153">
        <f>SUMIF('GUDANG BESAR'!C:C,K:K,'GUDANG BESAR'!K:K)</f>
        <v>10122.756000000001</v>
      </c>
      <c r="Q286" s="150">
        <v>15</v>
      </c>
      <c r="R286" s="149">
        <v>15</v>
      </c>
      <c r="S286" s="149">
        <v>0</v>
      </c>
      <c r="T286" s="145">
        <f t="shared" si="12"/>
        <v>136794</v>
      </c>
      <c r="U286" s="145">
        <f t="shared" si="13"/>
        <v>151841.34000000003</v>
      </c>
      <c r="V286" s="135" t="str">
        <f>VLOOKUP(K286,Sheet1!$B$5:$C$131,2,0)</f>
        <v>DYEING</v>
      </c>
      <c r="W286" s="181">
        <f t="shared" si="14"/>
        <v>1.4999999999999999E-2</v>
      </c>
    </row>
    <row r="287" spans="1:23" s="139" customFormat="1">
      <c r="A287" s="146" t="s">
        <v>485</v>
      </c>
      <c r="B287" s="147" t="s">
        <v>486</v>
      </c>
      <c r="C287" s="146" t="s">
        <v>137</v>
      </c>
      <c r="D287" s="146" t="s">
        <v>138</v>
      </c>
      <c r="E287" s="146" t="s">
        <v>139</v>
      </c>
      <c r="F287" s="146" t="s">
        <v>153</v>
      </c>
      <c r="G287" s="148" t="s">
        <v>301</v>
      </c>
      <c r="H287" s="146">
        <v>0</v>
      </c>
      <c r="I287" s="146">
        <v>17</v>
      </c>
      <c r="J287" s="146" t="s">
        <v>168</v>
      </c>
      <c r="K287" s="146" t="s">
        <v>34</v>
      </c>
      <c r="L287" s="148" t="s">
        <v>3</v>
      </c>
      <c r="M287" s="146" t="s">
        <v>142</v>
      </c>
      <c r="N287" s="149">
        <v>1000</v>
      </c>
      <c r="O287" s="152">
        <f>SUMIF('GUDANG BESAR'!C:C,K:K,'GUDANG BESAR'!I:I)</f>
        <v>68397</v>
      </c>
      <c r="P287" s="153">
        <f>SUMIF('GUDANG BESAR'!C:C,K:K,'GUDANG BESAR'!K:K)</f>
        <v>75920.67</v>
      </c>
      <c r="Q287" s="150">
        <v>2.1</v>
      </c>
      <c r="R287" s="149">
        <v>2</v>
      </c>
      <c r="S287" s="149">
        <v>100</v>
      </c>
      <c r="T287" s="145">
        <f t="shared" si="12"/>
        <v>143633.70000000001</v>
      </c>
      <c r="U287" s="145">
        <f t="shared" si="13"/>
        <v>159433.40700000001</v>
      </c>
      <c r="V287" s="135" t="str">
        <f>VLOOKUP(K287,Sheet1!$B$5:$C$131,2,0)</f>
        <v>DYEING</v>
      </c>
      <c r="W287" s="181">
        <f t="shared" si="14"/>
        <v>2.1000000000000003E-3</v>
      </c>
    </row>
    <row r="288" spans="1:23" s="139" customFormat="1">
      <c r="A288" s="146" t="s">
        <v>485</v>
      </c>
      <c r="B288" s="147" t="s">
        <v>486</v>
      </c>
      <c r="C288" s="146" t="s">
        <v>137</v>
      </c>
      <c r="D288" s="146" t="s">
        <v>138</v>
      </c>
      <c r="E288" s="146" t="s">
        <v>139</v>
      </c>
      <c r="F288" s="146" t="s">
        <v>162</v>
      </c>
      <c r="G288" s="148" t="s">
        <v>214</v>
      </c>
      <c r="H288" s="146">
        <v>0</v>
      </c>
      <c r="I288" s="146">
        <v>31</v>
      </c>
      <c r="J288" s="146" t="s">
        <v>165</v>
      </c>
      <c r="K288" s="146" t="s">
        <v>80</v>
      </c>
      <c r="L288" s="148" t="s">
        <v>3</v>
      </c>
      <c r="M288" s="146" t="s">
        <v>142</v>
      </c>
      <c r="N288" s="149">
        <v>1000</v>
      </c>
      <c r="O288" s="152">
        <f>SUMIF('GUDANG BESAR'!C:C,K:K,'GUDANG BESAR'!I:I)</f>
        <v>1550000</v>
      </c>
      <c r="P288" s="153">
        <f>SUMIF('GUDANG BESAR'!C:C,K:K,'GUDANG BESAR'!K:K)</f>
        <v>1720500</v>
      </c>
      <c r="Q288" s="150">
        <v>0.05</v>
      </c>
      <c r="R288" s="149">
        <v>0</v>
      </c>
      <c r="S288" s="149">
        <v>50</v>
      </c>
      <c r="T288" s="145">
        <f t="shared" si="12"/>
        <v>77500</v>
      </c>
      <c r="U288" s="145">
        <f t="shared" si="13"/>
        <v>86025</v>
      </c>
      <c r="V288" s="135" t="str">
        <f>VLOOKUP(K288,Sheet1!$B$5:$C$131,2,0)</f>
        <v>LIMBAH</v>
      </c>
      <c r="W288" s="181">
        <f t="shared" si="14"/>
        <v>5.0000000000000002E-5</v>
      </c>
    </row>
    <row r="289" spans="1:23" s="139" customFormat="1">
      <c r="A289" s="146" t="s">
        <v>485</v>
      </c>
      <c r="B289" s="147" t="s">
        <v>486</v>
      </c>
      <c r="C289" s="146" t="s">
        <v>137</v>
      </c>
      <c r="D289" s="146" t="s">
        <v>138</v>
      </c>
      <c r="E289" s="146" t="s">
        <v>139</v>
      </c>
      <c r="F289" s="146" t="s">
        <v>162</v>
      </c>
      <c r="G289" s="148" t="s">
        <v>214</v>
      </c>
      <c r="H289" s="146">
        <v>0</v>
      </c>
      <c r="I289" s="146">
        <v>30</v>
      </c>
      <c r="J289" s="146" t="s">
        <v>164</v>
      </c>
      <c r="K289" s="146" t="s">
        <v>74</v>
      </c>
      <c r="L289" s="148" t="s">
        <v>5</v>
      </c>
      <c r="M289" s="146" t="s">
        <v>142</v>
      </c>
      <c r="N289" s="149">
        <v>1000</v>
      </c>
      <c r="O289" s="152">
        <f>SUMIF('GUDANG BESAR'!C:C,K:K,'GUDANG BESAR'!I:I)</f>
        <v>13180</v>
      </c>
      <c r="P289" s="153">
        <f>SUMIF('GUDANG BESAR'!C:C,K:K,'GUDANG BESAR'!K:K)</f>
        <v>14629.8</v>
      </c>
      <c r="Q289" s="150">
        <v>15</v>
      </c>
      <c r="R289" s="149">
        <v>15</v>
      </c>
      <c r="S289" s="149">
        <v>0</v>
      </c>
      <c r="T289" s="145">
        <f t="shared" si="12"/>
        <v>197700</v>
      </c>
      <c r="U289" s="145">
        <f t="shared" si="13"/>
        <v>219447</v>
      </c>
      <c r="V289" s="135" t="str">
        <f>VLOOKUP(K289,Sheet1!$B$5:$C$131,2,0)</f>
        <v>LIMBAH</v>
      </c>
      <c r="W289" s="181">
        <f t="shared" si="14"/>
        <v>1.4999999999999999E-2</v>
      </c>
    </row>
    <row r="290" spans="1:23" s="139" customFormat="1">
      <c r="A290" s="146" t="s">
        <v>485</v>
      </c>
      <c r="B290" s="147" t="s">
        <v>486</v>
      </c>
      <c r="C290" s="146" t="s">
        <v>137</v>
      </c>
      <c r="D290" s="146" t="s">
        <v>138</v>
      </c>
      <c r="E290" s="146" t="s">
        <v>139</v>
      </c>
      <c r="F290" s="146" t="s">
        <v>140</v>
      </c>
      <c r="G290" s="148" t="s">
        <v>300</v>
      </c>
      <c r="H290" s="146">
        <v>0</v>
      </c>
      <c r="I290" s="146">
        <v>32</v>
      </c>
      <c r="J290" s="146" t="s">
        <v>152</v>
      </c>
      <c r="K290" s="146" t="s">
        <v>57</v>
      </c>
      <c r="L290" s="148" t="s">
        <v>3</v>
      </c>
      <c r="M290" s="146" t="s">
        <v>142</v>
      </c>
      <c r="N290" s="149">
        <v>1000</v>
      </c>
      <c r="O290" s="152">
        <f>SUMIF('GUDANG BESAR'!C:C,K:K,'GUDANG BESAR'!I:I)</f>
        <v>21870</v>
      </c>
      <c r="P290" s="153">
        <f>SUMIF('GUDANG BESAR'!C:C,K:K,'GUDANG BESAR'!K:K)</f>
        <v>24275.7</v>
      </c>
      <c r="Q290" s="150">
        <v>100</v>
      </c>
      <c r="R290" s="149">
        <v>100</v>
      </c>
      <c r="S290" s="149">
        <v>0</v>
      </c>
      <c r="T290" s="145">
        <f t="shared" si="12"/>
        <v>2187000</v>
      </c>
      <c r="U290" s="145">
        <f t="shared" si="13"/>
        <v>2427570</v>
      </c>
      <c r="V290" s="135" t="str">
        <f>VLOOKUP(K290,Sheet1!$B$5:$C$131,2,0)</f>
        <v>CK</v>
      </c>
      <c r="W290" s="181">
        <f t="shared" si="14"/>
        <v>0.1</v>
      </c>
    </row>
    <row r="291" spans="1:23" s="139" customFormat="1">
      <c r="A291" s="146" t="s">
        <v>485</v>
      </c>
      <c r="B291" s="147" t="s">
        <v>486</v>
      </c>
      <c r="C291" s="146" t="s">
        <v>137</v>
      </c>
      <c r="D291" s="146" t="s">
        <v>138</v>
      </c>
      <c r="E291" s="146" t="s">
        <v>139</v>
      </c>
      <c r="F291" s="146" t="s">
        <v>162</v>
      </c>
      <c r="G291" s="148" t="s">
        <v>214</v>
      </c>
      <c r="H291" s="146">
        <v>0</v>
      </c>
      <c r="I291" s="146">
        <v>27</v>
      </c>
      <c r="J291" s="146" t="s">
        <v>262</v>
      </c>
      <c r="K291" s="146" t="s">
        <v>258</v>
      </c>
      <c r="L291" s="148" t="s">
        <v>3</v>
      </c>
      <c r="M291" s="146" t="s">
        <v>142</v>
      </c>
      <c r="N291" s="149">
        <v>1000</v>
      </c>
      <c r="O291" s="152">
        <f>SUMIF('GUDANG BESAR'!C:C,K:K,'GUDANG BESAR'!I:I)</f>
        <v>33000</v>
      </c>
      <c r="P291" s="153">
        <f>SUMIF('GUDANG BESAR'!C:C,K:K,'GUDANG BESAR'!K:K)</f>
        <v>36630</v>
      </c>
      <c r="Q291" s="150">
        <v>13</v>
      </c>
      <c r="R291" s="149">
        <v>13</v>
      </c>
      <c r="S291" s="149">
        <v>0</v>
      </c>
      <c r="T291" s="145">
        <f t="shared" si="12"/>
        <v>429000</v>
      </c>
      <c r="U291" s="145">
        <f t="shared" si="13"/>
        <v>476190</v>
      </c>
      <c r="V291" s="135" t="str">
        <f>VLOOKUP(K291,Sheet1!$B$5:$C$131,2,0)</f>
        <v>LIMBAH</v>
      </c>
      <c r="W291" s="181">
        <f t="shared" si="14"/>
        <v>1.2999999999999999E-2</v>
      </c>
    </row>
    <row r="292" spans="1:23" s="139" customFormat="1">
      <c r="A292" s="146" t="s">
        <v>485</v>
      </c>
      <c r="B292" s="147" t="s">
        <v>486</v>
      </c>
      <c r="C292" s="146" t="s">
        <v>137</v>
      </c>
      <c r="D292" s="146" t="s">
        <v>138</v>
      </c>
      <c r="E292" s="146" t="s">
        <v>139</v>
      </c>
      <c r="F292" s="146" t="s">
        <v>162</v>
      </c>
      <c r="G292" s="148" t="s">
        <v>214</v>
      </c>
      <c r="H292" s="146">
        <v>0</v>
      </c>
      <c r="I292" s="146">
        <v>28</v>
      </c>
      <c r="J292" s="146" t="s">
        <v>263</v>
      </c>
      <c r="K292" s="146" t="s">
        <v>259</v>
      </c>
      <c r="L292" s="148" t="s">
        <v>3</v>
      </c>
      <c r="M292" s="146" t="s">
        <v>142</v>
      </c>
      <c r="N292" s="149">
        <v>1000</v>
      </c>
      <c r="O292" s="152">
        <f>SUMIF('GUDANG BESAR'!C:C,K:K,'GUDANG BESAR'!I:I)</f>
        <v>47500</v>
      </c>
      <c r="P292" s="153">
        <f>SUMIF('GUDANG BESAR'!C:C,K:K,'GUDANG BESAR'!K:K)</f>
        <v>52725</v>
      </c>
      <c r="Q292" s="150">
        <v>12</v>
      </c>
      <c r="R292" s="149">
        <v>12</v>
      </c>
      <c r="S292" s="149">
        <v>0</v>
      </c>
      <c r="T292" s="145">
        <f t="shared" si="12"/>
        <v>570000</v>
      </c>
      <c r="U292" s="145">
        <f t="shared" si="13"/>
        <v>632700</v>
      </c>
      <c r="V292" s="135" t="str">
        <f>VLOOKUP(K292,Sheet1!$B$5:$C$131,2,0)</f>
        <v>LIMBAH</v>
      </c>
      <c r="W292" s="181">
        <f t="shared" si="14"/>
        <v>1.2E-2</v>
      </c>
    </row>
    <row r="293" spans="1:23" s="139" customFormat="1">
      <c r="A293" s="146" t="s">
        <v>485</v>
      </c>
      <c r="B293" s="147" t="s">
        <v>486</v>
      </c>
      <c r="C293" s="146" t="s">
        <v>137</v>
      </c>
      <c r="D293" s="146" t="s">
        <v>138</v>
      </c>
      <c r="E293" s="146" t="s">
        <v>139</v>
      </c>
      <c r="F293" s="146" t="s">
        <v>153</v>
      </c>
      <c r="G293" s="148" t="s">
        <v>301</v>
      </c>
      <c r="H293" s="146">
        <v>0</v>
      </c>
      <c r="I293" s="146">
        <v>21</v>
      </c>
      <c r="J293" s="146" t="s">
        <v>247</v>
      </c>
      <c r="K293" s="146" t="s">
        <v>79</v>
      </c>
      <c r="L293" s="148" t="s">
        <v>3</v>
      </c>
      <c r="M293" s="146" t="s">
        <v>142</v>
      </c>
      <c r="N293" s="149">
        <v>1000</v>
      </c>
      <c r="O293" s="152">
        <f>SUMIF('GUDANG BESAR'!C:C,K:K,'GUDANG BESAR'!I:I)</f>
        <v>21203</v>
      </c>
      <c r="P293" s="153">
        <f>SUMIF('GUDANG BESAR'!C:C,K:K,'GUDANG BESAR'!K:K)</f>
        <v>23535.33</v>
      </c>
      <c r="Q293" s="150">
        <v>4</v>
      </c>
      <c r="R293" s="149">
        <v>4</v>
      </c>
      <c r="S293" s="149">
        <v>0</v>
      </c>
      <c r="T293" s="145">
        <f t="shared" si="12"/>
        <v>84812</v>
      </c>
      <c r="U293" s="145">
        <f t="shared" si="13"/>
        <v>94141.32</v>
      </c>
      <c r="V293" s="135" t="str">
        <f>VLOOKUP(K293,Sheet1!$B$5:$C$131,2,0)</f>
        <v>DYEING</v>
      </c>
      <c r="W293" s="181">
        <f t="shared" si="14"/>
        <v>4.0000000000000001E-3</v>
      </c>
    </row>
    <row r="294" spans="1:23" s="139" customFormat="1">
      <c r="A294" s="146" t="s">
        <v>487</v>
      </c>
      <c r="B294" s="147" t="s">
        <v>488</v>
      </c>
      <c r="C294" s="146" t="s">
        <v>137</v>
      </c>
      <c r="D294" s="146" t="s">
        <v>138</v>
      </c>
      <c r="E294" s="146" t="s">
        <v>139</v>
      </c>
      <c r="F294" s="146" t="s">
        <v>140</v>
      </c>
      <c r="G294" s="148" t="s">
        <v>303</v>
      </c>
      <c r="H294" s="146">
        <v>0</v>
      </c>
      <c r="I294" s="146">
        <v>1</v>
      </c>
      <c r="J294" s="146" t="s">
        <v>141</v>
      </c>
      <c r="K294" s="146" t="s">
        <v>37</v>
      </c>
      <c r="L294" s="148" t="s">
        <v>3</v>
      </c>
      <c r="M294" s="146" t="s">
        <v>142</v>
      </c>
      <c r="N294" s="149">
        <v>1000</v>
      </c>
      <c r="O294" s="152">
        <f>SUMIF('GUDANG BESAR'!C:C,K:K,'GUDANG BESAR'!I:I)</f>
        <v>51276</v>
      </c>
      <c r="P294" s="153">
        <f>SUMIF('GUDANG BESAR'!C:C,K:K,'GUDANG BESAR'!K:K)</f>
        <v>56916.36</v>
      </c>
      <c r="Q294" s="150">
        <v>8.4689999999999994</v>
      </c>
      <c r="R294" s="149">
        <v>8</v>
      </c>
      <c r="S294" s="149">
        <v>469</v>
      </c>
      <c r="T294" s="145">
        <f t="shared" si="12"/>
        <v>434256.44399999996</v>
      </c>
      <c r="U294" s="145">
        <f t="shared" si="13"/>
        <v>482024.65284</v>
      </c>
      <c r="V294" s="135" t="str">
        <f>VLOOKUP(K294,Sheet1!$B$5:$C$131,2,0)</f>
        <v>DYESTUFF</v>
      </c>
      <c r="W294" s="181">
        <f t="shared" si="14"/>
        <v>8.4689999999999991E-3</v>
      </c>
    </row>
    <row r="295" spans="1:23" s="139" customFormat="1">
      <c r="A295" s="146" t="s">
        <v>487</v>
      </c>
      <c r="B295" s="147" t="s">
        <v>488</v>
      </c>
      <c r="C295" s="146" t="s">
        <v>137</v>
      </c>
      <c r="D295" s="146" t="s">
        <v>138</v>
      </c>
      <c r="E295" s="146" t="s">
        <v>139</v>
      </c>
      <c r="F295" s="146" t="s">
        <v>140</v>
      </c>
      <c r="G295" s="148" t="s">
        <v>303</v>
      </c>
      <c r="H295" s="146">
        <v>0</v>
      </c>
      <c r="I295" s="146">
        <v>2</v>
      </c>
      <c r="J295" s="146" t="s">
        <v>346</v>
      </c>
      <c r="K295" s="146" t="s">
        <v>343</v>
      </c>
      <c r="L295" s="148" t="s">
        <v>3</v>
      </c>
      <c r="M295" s="146" t="s">
        <v>142</v>
      </c>
      <c r="N295" s="149">
        <v>1000</v>
      </c>
      <c r="O295" s="152">
        <f>SUMIF('GUDANG BESAR'!C:C,K:K,'GUDANG BESAR'!I:I)</f>
        <v>60680</v>
      </c>
      <c r="P295" s="153">
        <f>SUMIF('GUDANG BESAR'!C:C,K:K,'GUDANG BESAR'!K:K)</f>
        <v>67354.8</v>
      </c>
      <c r="Q295" s="150">
        <v>18.59</v>
      </c>
      <c r="R295" s="149">
        <v>18</v>
      </c>
      <c r="S295" s="149">
        <v>590</v>
      </c>
      <c r="T295" s="145">
        <f t="shared" si="12"/>
        <v>1128041.2</v>
      </c>
      <c r="U295" s="145">
        <f t="shared" si="13"/>
        <v>1252125.7320000001</v>
      </c>
      <c r="V295" s="135" t="str">
        <f>VLOOKUP(K295,Sheet1!$B$5:$C$131,2,0)</f>
        <v>DYESTUFF</v>
      </c>
      <c r="W295" s="181">
        <f t="shared" si="14"/>
        <v>1.8589999999999999E-2</v>
      </c>
    </row>
    <row r="296" spans="1:23" s="139" customFormat="1">
      <c r="A296" s="146" t="s">
        <v>487</v>
      </c>
      <c r="B296" s="147" t="s">
        <v>488</v>
      </c>
      <c r="C296" s="146" t="s">
        <v>137</v>
      </c>
      <c r="D296" s="146" t="s">
        <v>138</v>
      </c>
      <c r="E296" s="146" t="s">
        <v>139</v>
      </c>
      <c r="F296" s="146" t="s">
        <v>140</v>
      </c>
      <c r="G296" s="148" t="s">
        <v>303</v>
      </c>
      <c r="H296" s="146">
        <v>0</v>
      </c>
      <c r="I296" s="146">
        <v>12</v>
      </c>
      <c r="J296" s="146" t="s">
        <v>151</v>
      </c>
      <c r="K296" s="146" t="s">
        <v>28</v>
      </c>
      <c r="L296" s="148" t="s">
        <v>3</v>
      </c>
      <c r="M296" s="146" t="s">
        <v>142</v>
      </c>
      <c r="N296" s="149">
        <v>1000</v>
      </c>
      <c r="O296" s="152">
        <f>SUMIF('GUDANG BESAR'!C:C,K:K,'GUDANG BESAR'!I:I)</f>
        <v>413967</v>
      </c>
      <c r="P296" s="153">
        <f>SUMIF('GUDANG BESAR'!C:C,K:K,'GUDANG BESAR'!K:K)</f>
        <v>459503.37</v>
      </c>
      <c r="Q296" s="150">
        <v>0.10299999999999999</v>
      </c>
      <c r="R296" s="149">
        <v>0</v>
      </c>
      <c r="S296" s="149">
        <v>103</v>
      </c>
      <c r="T296" s="145">
        <f t="shared" si="12"/>
        <v>42638.600999999995</v>
      </c>
      <c r="U296" s="145">
        <f t="shared" si="13"/>
        <v>47328.847109999995</v>
      </c>
      <c r="V296" s="135" t="str">
        <f>VLOOKUP(K296,Sheet1!$B$5:$C$131,2,0)</f>
        <v>DYESTUFF</v>
      </c>
      <c r="W296" s="181">
        <f t="shared" si="14"/>
        <v>1.03E-4</v>
      </c>
    </row>
    <row r="297" spans="1:23" s="139" customFormat="1">
      <c r="A297" s="146" t="s">
        <v>487</v>
      </c>
      <c r="B297" s="147" t="s">
        <v>488</v>
      </c>
      <c r="C297" s="146" t="s">
        <v>137</v>
      </c>
      <c r="D297" s="146" t="s">
        <v>138</v>
      </c>
      <c r="E297" s="146" t="s">
        <v>139</v>
      </c>
      <c r="F297" s="146" t="s">
        <v>140</v>
      </c>
      <c r="G297" s="148" t="s">
        <v>303</v>
      </c>
      <c r="H297" s="146">
        <v>0</v>
      </c>
      <c r="I297" s="146">
        <v>3</v>
      </c>
      <c r="J297" s="146" t="s">
        <v>169</v>
      </c>
      <c r="K297" s="146" t="s">
        <v>64</v>
      </c>
      <c r="L297" s="148" t="s">
        <v>3</v>
      </c>
      <c r="M297" s="146" t="s">
        <v>142</v>
      </c>
      <c r="N297" s="149">
        <v>1000</v>
      </c>
      <c r="O297" s="152">
        <f>SUMIF('GUDANG BESAR'!C:C,K:K,'GUDANG BESAR'!I:I)</f>
        <v>506080</v>
      </c>
      <c r="P297" s="153">
        <f>SUMIF('GUDANG BESAR'!C:C,K:K,'GUDANG BESAR'!K:K)</f>
        <v>561748.80000000005</v>
      </c>
      <c r="Q297" s="150">
        <v>9.1999999999999998E-2</v>
      </c>
      <c r="R297" s="149">
        <v>0</v>
      </c>
      <c r="S297" s="149">
        <v>92</v>
      </c>
      <c r="T297" s="145">
        <f t="shared" si="12"/>
        <v>46559.360000000001</v>
      </c>
      <c r="U297" s="145">
        <f t="shared" si="13"/>
        <v>51680.889600000002</v>
      </c>
      <c r="V297" s="135" t="str">
        <f>VLOOKUP(K297,Sheet1!$B$5:$C$131,2,0)</f>
        <v>DYESTUFF</v>
      </c>
      <c r="W297" s="181">
        <f t="shared" si="14"/>
        <v>9.2E-5</v>
      </c>
    </row>
    <row r="298" spans="1:23" s="139" customFormat="1">
      <c r="A298" s="146" t="s">
        <v>487</v>
      </c>
      <c r="B298" s="147" t="s">
        <v>488</v>
      </c>
      <c r="C298" s="146" t="s">
        <v>137</v>
      </c>
      <c r="D298" s="146" t="s">
        <v>138</v>
      </c>
      <c r="E298" s="146" t="s">
        <v>139</v>
      </c>
      <c r="F298" s="146" t="s">
        <v>140</v>
      </c>
      <c r="G298" s="148" t="s">
        <v>303</v>
      </c>
      <c r="H298" s="146">
        <v>0</v>
      </c>
      <c r="I298" s="146">
        <v>4</v>
      </c>
      <c r="J298" s="146" t="s">
        <v>250</v>
      </c>
      <c r="K298" s="146" t="s">
        <v>38</v>
      </c>
      <c r="L298" s="148" t="s">
        <v>3</v>
      </c>
      <c r="M298" s="146" t="s">
        <v>142</v>
      </c>
      <c r="N298" s="149">
        <v>1000</v>
      </c>
      <c r="O298" s="152">
        <f>SUMIF('GUDANG BESAR'!C:C,K:K,'GUDANG BESAR'!I:I)</f>
        <v>366255</v>
      </c>
      <c r="P298" s="153">
        <f>SUMIF('GUDANG BESAR'!C:C,K:K,'GUDANG BESAR'!K:K)</f>
        <v>406543.05</v>
      </c>
      <c r="Q298" s="150">
        <v>0.13600000000000001</v>
      </c>
      <c r="R298" s="149">
        <v>0</v>
      </c>
      <c r="S298" s="149">
        <v>136</v>
      </c>
      <c r="T298" s="145">
        <f t="shared" si="12"/>
        <v>49810.68</v>
      </c>
      <c r="U298" s="145">
        <f t="shared" si="13"/>
        <v>55289.854800000001</v>
      </c>
      <c r="V298" s="135" t="str">
        <f>VLOOKUP(K298,Sheet1!$B$5:$C$131,2,0)</f>
        <v>DYESTUFF</v>
      </c>
      <c r="W298" s="181">
        <f t="shared" si="14"/>
        <v>1.36E-4</v>
      </c>
    </row>
    <row r="299" spans="1:23" s="139" customFormat="1">
      <c r="A299" s="146" t="s">
        <v>487</v>
      </c>
      <c r="B299" s="147" t="s">
        <v>488</v>
      </c>
      <c r="C299" s="146" t="s">
        <v>137</v>
      </c>
      <c r="D299" s="146" t="s">
        <v>138</v>
      </c>
      <c r="E299" s="146" t="s">
        <v>139</v>
      </c>
      <c r="F299" s="146" t="s">
        <v>140</v>
      </c>
      <c r="G299" s="148" t="s">
        <v>303</v>
      </c>
      <c r="H299" s="146">
        <v>0</v>
      </c>
      <c r="I299" s="146">
        <v>5</v>
      </c>
      <c r="J299" s="146" t="s">
        <v>144</v>
      </c>
      <c r="K299" s="146" t="s">
        <v>26</v>
      </c>
      <c r="L299" s="148" t="s">
        <v>3</v>
      </c>
      <c r="M299" s="146" t="s">
        <v>142</v>
      </c>
      <c r="N299" s="149">
        <v>1000</v>
      </c>
      <c r="O299" s="152">
        <f>SUMIF('GUDANG BESAR'!C:C,K:K,'GUDANG BESAR'!I:I)</f>
        <v>52016</v>
      </c>
      <c r="P299" s="153">
        <f>SUMIF('GUDANG BESAR'!C:C,K:K,'GUDANG BESAR'!K:K)</f>
        <v>57737.760000000002</v>
      </c>
      <c r="Q299" s="150">
        <v>9.4499999999999993</v>
      </c>
      <c r="R299" s="149">
        <v>9</v>
      </c>
      <c r="S299" s="149">
        <v>450</v>
      </c>
      <c r="T299" s="145">
        <f t="shared" si="12"/>
        <v>491551.19999999995</v>
      </c>
      <c r="U299" s="145">
        <f t="shared" si="13"/>
        <v>545621.83199999994</v>
      </c>
      <c r="V299" s="135" t="str">
        <f>VLOOKUP(K299,Sheet1!$B$5:$C$131,2,0)</f>
        <v>DYESTUFF</v>
      </c>
      <c r="W299" s="181">
        <f t="shared" si="14"/>
        <v>9.4500000000000001E-3</v>
      </c>
    </row>
    <row r="300" spans="1:23" s="139" customFormat="1">
      <c r="A300" s="146" t="s">
        <v>487</v>
      </c>
      <c r="B300" s="147" t="s">
        <v>488</v>
      </c>
      <c r="C300" s="146" t="s">
        <v>137</v>
      </c>
      <c r="D300" s="146" t="s">
        <v>138</v>
      </c>
      <c r="E300" s="146" t="s">
        <v>139</v>
      </c>
      <c r="F300" s="146" t="s">
        <v>140</v>
      </c>
      <c r="G300" s="148" t="s">
        <v>303</v>
      </c>
      <c r="H300" s="146">
        <v>0</v>
      </c>
      <c r="I300" s="146">
        <v>6</v>
      </c>
      <c r="J300" s="146" t="s">
        <v>145</v>
      </c>
      <c r="K300" s="146" t="s">
        <v>27</v>
      </c>
      <c r="L300" s="148" t="s">
        <v>3</v>
      </c>
      <c r="M300" s="146" t="s">
        <v>142</v>
      </c>
      <c r="N300" s="149">
        <v>1000</v>
      </c>
      <c r="O300" s="152">
        <f>SUMIF('GUDANG BESAR'!C:C,K:K,'GUDANG BESAR'!I:I)</f>
        <v>71148</v>
      </c>
      <c r="P300" s="153">
        <f>SUMIF('GUDANG BESAR'!C:C,K:K,'GUDANG BESAR'!K:K)</f>
        <v>78974.28</v>
      </c>
      <c r="Q300" s="150">
        <v>5.1429999999999998</v>
      </c>
      <c r="R300" s="149">
        <v>5</v>
      </c>
      <c r="S300" s="149">
        <v>143</v>
      </c>
      <c r="T300" s="145">
        <f t="shared" si="12"/>
        <v>365914.16399999999</v>
      </c>
      <c r="U300" s="145">
        <f t="shared" si="13"/>
        <v>406164.72203999996</v>
      </c>
      <c r="V300" s="135" t="str">
        <f>VLOOKUP(K300,Sheet1!$B$5:$C$131,2,0)</f>
        <v>DYESTUFF</v>
      </c>
      <c r="W300" s="181">
        <f t="shared" si="14"/>
        <v>5.143E-3</v>
      </c>
    </row>
    <row r="301" spans="1:23" s="139" customFormat="1">
      <c r="A301" s="146" t="s">
        <v>487</v>
      </c>
      <c r="B301" s="147" t="s">
        <v>488</v>
      </c>
      <c r="C301" s="146" t="s">
        <v>137</v>
      </c>
      <c r="D301" s="146" t="s">
        <v>138</v>
      </c>
      <c r="E301" s="146" t="s">
        <v>139</v>
      </c>
      <c r="F301" s="146" t="s">
        <v>140</v>
      </c>
      <c r="G301" s="148" t="e">
        <v>#N/A</v>
      </c>
      <c r="H301" s="146">
        <v>0</v>
      </c>
      <c r="I301" s="146">
        <v>8</v>
      </c>
      <c r="J301" s="146" t="s">
        <v>489</v>
      </c>
      <c r="K301" s="146" t="s">
        <v>490</v>
      </c>
      <c r="L301" s="148" t="s">
        <v>3</v>
      </c>
      <c r="M301" s="146" t="s">
        <v>142</v>
      </c>
      <c r="N301" s="149">
        <v>1000</v>
      </c>
      <c r="O301" s="152">
        <f>SUMIF('GUDANG BESAR'!C:C,K:K,'GUDANG BESAR'!I:I)</f>
        <v>0</v>
      </c>
      <c r="P301" s="153">
        <f>SUMIF('GUDANG BESAR'!C:C,K:K,'GUDANG BESAR'!K:K)</f>
        <v>0</v>
      </c>
      <c r="Q301" s="150">
        <v>8.2000000000000003E-2</v>
      </c>
      <c r="R301" s="149">
        <v>0</v>
      </c>
      <c r="S301" s="149">
        <v>82</v>
      </c>
      <c r="T301" s="145">
        <f t="shared" si="12"/>
        <v>0</v>
      </c>
      <c r="U301" s="145">
        <f t="shared" si="13"/>
        <v>0</v>
      </c>
      <c r="V301" s="135" t="e">
        <f>VLOOKUP(K301,Sheet1!$B$5:$C$131,2,0)</f>
        <v>#N/A</v>
      </c>
      <c r="W301" s="181">
        <f t="shared" si="14"/>
        <v>8.2000000000000001E-5</v>
      </c>
    </row>
    <row r="302" spans="1:23" s="139" customFormat="1">
      <c r="A302" s="146" t="s">
        <v>487</v>
      </c>
      <c r="B302" s="147" t="s">
        <v>488</v>
      </c>
      <c r="C302" s="146" t="s">
        <v>137</v>
      </c>
      <c r="D302" s="146" t="s">
        <v>138</v>
      </c>
      <c r="E302" s="146" t="s">
        <v>139</v>
      </c>
      <c r="F302" s="146" t="s">
        <v>140</v>
      </c>
      <c r="G302" s="148" t="s">
        <v>303</v>
      </c>
      <c r="H302" s="146">
        <v>0</v>
      </c>
      <c r="I302" s="146">
        <v>9</v>
      </c>
      <c r="J302" s="146" t="s">
        <v>171</v>
      </c>
      <c r="K302" s="146" t="s">
        <v>102</v>
      </c>
      <c r="L302" s="148" t="s">
        <v>3</v>
      </c>
      <c r="M302" s="146" t="s">
        <v>142</v>
      </c>
      <c r="N302" s="149">
        <v>1000</v>
      </c>
      <c r="O302" s="152">
        <f>SUMIF('GUDANG BESAR'!C:C,K:K,'GUDANG BESAR'!I:I)</f>
        <v>385283</v>
      </c>
      <c r="P302" s="153">
        <f>SUMIF('GUDANG BESAR'!C:C,K:K,'GUDANG BESAR'!K:K)</f>
        <v>427664.13</v>
      </c>
      <c r="Q302" s="150">
        <v>1.2999999999999999E-2</v>
      </c>
      <c r="R302" s="149">
        <v>0</v>
      </c>
      <c r="S302" s="149">
        <v>13</v>
      </c>
      <c r="T302" s="145">
        <f t="shared" si="12"/>
        <v>5008.6790000000001</v>
      </c>
      <c r="U302" s="145">
        <f t="shared" si="13"/>
        <v>5559.6336899999997</v>
      </c>
      <c r="V302" s="135" t="str">
        <f>VLOOKUP(K302,Sheet1!$B$5:$C$131,2,0)</f>
        <v>DYESTUFF</v>
      </c>
      <c r="W302" s="181">
        <f t="shared" si="14"/>
        <v>1.2999999999999999E-5</v>
      </c>
    </row>
    <row r="303" spans="1:23" s="139" customFormat="1">
      <c r="A303" s="146" t="s">
        <v>487</v>
      </c>
      <c r="B303" s="147" t="s">
        <v>488</v>
      </c>
      <c r="C303" s="146" t="s">
        <v>137</v>
      </c>
      <c r="D303" s="146" t="s">
        <v>138</v>
      </c>
      <c r="E303" s="146" t="s">
        <v>139</v>
      </c>
      <c r="F303" s="146" t="s">
        <v>140</v>
      </c>
      <c r="G303" s="148" t="s">
        <v>303</v>
      </c>
      <c r="H303" s="146">
        <v>0</v>
      </c>
      <c r="I303" s="146">
        <v>7</v>
      </c>
      <c r="J303" s="146" t="s">
        <v>376</v>
      </c>
      <c r="K303" s="146" t="s">
        <v>11</v>
      </c>
      <c r="L303" s="148" t="s">
        <v>3</v>
      </c>
      <c r="M303" s="146" t="s">
        <v>142</v>
      </c>
      <c r="N303" s="149">
        <v>1000</v>
      </c>
      <c r="O303" s="152">
        <f>SUMIF('GUDANG BESAR'!C:C,K:K,'GUDANG BESAR'!I:I)</f>
        <v>270075</v>
      </c>
      <c r="P303" s="153">
        <f>SUMIF('GUDANG BESAR'!C:C,K:K,'GUDANG BESAR'!K:K)</f>
        <v>299783.25</v>
      </c>
      <c r="Q303" s="150">
        <v>2.1999999999999999E-2</v>
      </c>
      <c r="R303" s="149">
        <v>0</v>
      </c>
      <c r="S303" s="149">
        <v>22</v>
      </c>
      <c r="T303" s="145">
        <f t="shared" si="12"/>
        <v>5941.65</v>
      </c>
      <c r="U303" s="145">
        <f t="shared" si="13"/>
        <v>6595.2314999999999</v>
      </c>
      <c r="V303" s="135" t="str">
        <f>VLOOKUP(K303,Sheet1!$B$5:$C$131,2,0)</f>
        <v>DYESTUFF</v>
      </c>
      <c r="W303" s="181">
        <f t="shared" si="14"/>
        <v>2.1999999999999999E-5</v>
      </c>
    </row>
    <row r="304" spans="1:23" s="139" customFormat="1">
      <c r="A304" s="146" t="s">
        <v>487</v>
      </c>
      <c r="B304" s="147" t="s">
        <v>488</v>
      </c>
      <c r="C304" s="146" t="s">
        <v>137</v>
      </c>
      <c r="D304" s="146" t="s">
        <v>138</v>
      </c>
      <c r="E304" s="146" t="s">
        <v>139</v>
      </c>
      <c r="F304" s="146" t="s">
        <v>140</v>
      </c>
      <c r="G304" s="148" t="s">
        <v>303</v>
      </c>
      <c r="H304" s="146">
        <v>0</v>
      </c>
      <c r="I304" s="146">
        <v>10</v>
      </c>
      <c r="J304" s="146" t="s">
        <v>146</v>
      </c>
      <c r="K304" s="146" t="s">
        <v>46</v>
      </c>
      <c r="L304" s="148" t="s">
        <v>3</v>
      </c>
      <c r="M304" s="146" t="s">
        <v>142</v>
      </c>
      <c r="N304" s="149">
        <v>1000</v>
      </c>
      <c r="O304" s="152">
        <f>SUMIF('GUDANG BESAR'!C:C,K:K,'GUDANG BESAR'!I:I)</f>
        <v>100812</v>
      </c>
      <c r="P304" s="153">
        <f>SUMIF('GUDANG BESAR'!C:C,K:K,'GUDANG BESAR'!K:K)</f>
        <v>111901.32</v>
      </c>
      <c r="Q304" s="150">
        <v>4.9080000000000004</v>
      </c>
      <c r="R304" s="149">
        <v>4</v>
      </c>
      <c r="S304" s="149">
        <v>908</v>
      </c>
      <c r="T304" s="145">
        <f t="shared" si="12"/>
        <v>494785.29600000003</v>
      </c>
      <c r="U304" s="145">
        <f t="shared" si="13"/>
        <v>549211.67856000003</v>
      </c>
      <c r="V304" s="135" t="str">
        <f>VLOOKUP(K304,Sheet1!$B$5:$C$131,2,0)</f>
        <v>DYESTUFF</v>
      </c>
      <c r="W304" s="181">
        <f t="shared" si="14"/>
        <v>4.908E-3</v>
      </c>
    </row>
    <row r="305" spans="1:23" s="139" customFormat="1">
      <c r="A305" s="146" t="s">
        <v>487</v>
      </c>
      <c r="B305" s="147" t="s">
        <v>488</v>
      </c>
      <c r="C305" s="146" t="s">
        <v>137</v>
      </c>
      <c r="D305" s="146" t="s">
        <v>138</v>
      </c>
      <c r="E305" s="146" t="s">
        <v>139</v>
      </c>
      <c r="F305" s="146" t="s">
        <v>140</v>
      </c>
      <c r="G305" s="148" t="s">
        <v>303</v>
      </c>
      <c r="H305" s="146">
        <v>0</v>
      </c>
      <c r="I305" s="146">
        <v>11</v>
      </c>
      <c r="J305" s="146" t="s">
        <v>147</v>
      </c>
      <c r="K305" s="146" t="s">
        <v>41</v>
      </c>
      <c r="L305" s="148" t="s">
        <v>3</v>
      </c>
      <c r="M305" s="146" t="s">
        <v>142</v>
      </c>
      <c r="N305" s="149">
        <v>1000</v>
      </c>
      <c r="O305" s="152">
        <f>SUMIF('GUDANG BESAR'!C:C,K:K,'GUDANG BESAR'!I:I)</f>
        <v>54071</v>
      </c>
      <c r="P305" s="153">
        <f>SUMIF('GUDANG BESAR'!C:C,K:K,'GUDANG BESAR'!K:K)</f>
        <v>60018.81</v>
      </c>
      <c r="Q305" s="150">
        <v>16.923999999999999</v>
      </c>
      <c r="R305" s="149">
        <v>16</v>
      </c>
      <c r="S305" s="149">
        <v>924</v>
      </c>
      <c r="T305" s="145">
        <f t="shared" si="12"/>
        <v>915097.60399999993</v>
      </c>
      <c r="U305" s="145">
        <f t="shared" si="13"/>
        <v>1015758.3404399999</v>
      </c>
      <c r="V305" s="135" t="str">
        <f>VLOOKUP(K305,Sheet1!$B$5:$C$131,2,0)</f>
        <v>DYESTUFF</v>
      </c>
      <c r="W305" s="181">
        <f t="shared" si="14"/>
        <v>1.6923999999999998E-2</v>
      </c>
    </row>
    <row r="306" spans="1:23" s="139" customFormat="1">
      <c r="A306" s="146" t="s">
        <v>487</v>
      </c>
      <c r="B306" s="147" t="s">
        <v>488</v>
      </c>
      <c r="C306" s="146" t="s">
        <v>137</v>
      </c>
      <c r="D306" s="146" t="s">
        <v>138</v>
      </c>
      <c r="E306" s="146" t="s">
        <v>139</v>
      </c>
      <c r="F306" s="146" t="s">
        <v>140</v>
      </c>
      <c r="G306" s="148" t="s">
        <v>303</v>
      </c>
      <c r="H306" s="146">
        <v>0</v>
      </c>
      <c r="I306" s="146">
        <v>13</v>
      </c>
      <c r="J306" s="146" t="s">
        <v>148</v>
      </c>
      <c r="K306" s="146" t="s">
        <v>30</v>
      </c>
      <c r="L306" s="148" t="s">
        <v>3</v>
      </c>
      <c r="M306" s="146" t="s">
        <v>142</v>
      </c>
      <c r="N306" s="149">
        <v>1000</v>
      </c>
      <c r="O306" s="152">
        <f>SUMIF('GUDANG BESAR'!C:C,K:K,'GUDANG BESAR'!I:I)</f>
        <v>77089.399999999994</v>
      </c>
      <c r="P306" s="153">
        <f>SUMIF('GUDANG BESAR'!C:C,K:K,'GUDANG BESAR'!K:K)</f>
        <v>85569.233999999997</v>
      </c>
      <c r="Q306" s="150">
        <v>17.004999999999999</v>
      </c>
      <c r="R306" s="149">
        <v>17</v>
      </c>
      <c r="S306" s="149">
        <v>5</v>
      </c>
      <c r="T306" s="145">
        <f t="shared" si="12"/>
        <v>1310905.2469999997</v>
      </c>
      <c r="U306" s="145">
        <f t="shared" si="13"/>
        <v>1455104.8241699999</v>
      </c>
      <c r="V306" s="135" t="str">
        <f>VLOOKUP(K306,Sheet1!$B$5:$C$131,2,0)</f>
        <v>DYESTUFF</v>
      </c>
      <c r="W306" s="181">
        <f t="shared" si="14"/>
        <v>1.7004999999999999E-2</v>
      </c>
    </row>
    <row r="307" spans="1:23" s="139" customFormat="1">
      <c r="A307" s="146" t="s">
        <v>487</v>
      </c>
      <c r="B307" s="147" t="s">
        <v>488</v>
      </c>
      <c r="C307" s="146" t="s">
        <v>137</v>
      </c>
      <c r="D307" s="146" t="s">
        <v>138</v>
      </c>
      <c r="E307" s="146" t="s">
        <v>139</v>
      </c>
      <c r="F307" s="146" t="s">
        <v>140</v>
      </c>
      <c r="G307" s="148" t="s">
        <v>300</v>
      </c>
      <c r="H307" s="146">
        <v>0</v>
      </c>
      <c r="I307" s="146">
        <v>14</v>
      </c>
      <c r="J307" s="146" t="s">
        <v>314</v>
      </c>
      <c r="K307" s="146" t="s">
        <v>281</v>
      </c>
      <c r="L307" s="148" t="s">
        <v>3</v>
      </c>
      <c r="M307" s="146" t="s">
        <v>142</v>
      </c>
      <c r="N307" s="149">
        <v>1000</v>
      </c>
      <c r="O307" s="152">
        <f>SUMIF('GUDANG BESAR'!C:C,K:K,'GUDANG BESAR'!I:I)</f>
        <v>23590.51</v>
      </c>
      <c r="P307" s="153">
        <f>SUMIF('GUDANG BESAR'!C:C,K:K,'GUDANG BESAR'!K:K)</f>
        <v>26185.466099999998</v>
      </c>
      <c r="Q307" s="150">
        <v>300</v>
      </c>
      <c r="R307" s="149">
        <v>300</v>
      </c>
      <c r="S307" s="149">
        <v>0</v>
      </c>
      <c r="T307" s="145">
        <f t="shared" si="12"/>
        <v>7077152.9999999991</v>
      </c>
      <c r="U307" s="145">
        <f t="shared" si="13"/>
        <v>7855639.8299999991</v>
      </c>
      <c r="V307" s="135" t="str">
        <f>VLOOKUP(K307,Sheet1!$B$5:$C$131,2,0)</f>
        <v>CK</v>
      </c>
      <c r="W307" s="181">
        <f t="shared" si="14"/>
        <v>0.3</v>
      </c>
    </row>
    <row r="308" spans="1:23" s="139" customFormat="1">
      <c r="A308" s="146" t="s">
        <v>487</v>
      </c>
      <c r="B308" s="147" t="s">
        <v>488</v>
      </c>
      <c r="C308" s="146" t="s">
        <v>137</v>
      </c>
      <c r="D308" s="146" t="s">
        <v>138</v>
      </c>
      <c r="E308" s="146" t="s">
        <v>139</v>
      </c>
      <c r="F308" s="146" t="s">
        <v>162</v>
      </c>
      <c r="G308" s="148" t="s">
        <v>214</v>
      </c>
      <c r="H308" s="146">
        <v>0</v>
      </c>
      <c r="I308" s="146">
        <v>15</v>
      </c>
      <c r="J308" s="146" t="s">
        <v>234</v>
      </c>
      <c r="K308" s="146" t="s">
        <v>233</v>
      </c>
      <c r="L308" s="148" t="s">
        <v>3</v>
      </c>
      <c r="M308" s="146" t="s">
        <v>142</v>
      </c>
      <c r="N308" s="149">
        <v>1000</v>
      </c>
      <c r="O308" s="152">
        <f>SUMIF('GUDANG BESAR'!C:C,K:K,'GUDANG BESAR'!I:I)</f>
        <v>5500</v>
      </c>
      <c r="P308" s="153">
        <f>SUMIF('GUDANG BESAR'!C:C,K:K,'GUDANG BESAR'!K:K)</f>
        <v>6105</v>
      </c>
      <c r="Q308" s="150">
        <v>50</v>
      </c>
      <c r="R308" s="149">
        <v>50</v>
      </c>
      <c r="S308" s="149">
        <v>0</v>
      </c>
      <c r="T308" s="145">
        <f t="shared" si="12"/>
        <v>275000</v>
      </c>
      <c r="U308" s="145">
        <f t="shared" si="13"/>
        <v>305250</v>
      </c>
      <c r="V308" s="135" t="str">
        <f>VLOOKUP(K308,Sheet1!$B$5:$C$131,2,0)</f>
        <v>LIMBAH</v>
      </c>
      <c r="W308" s="181">
        <f t="shared" si="14"/>
        <v>0.05</v>
      </c>
    </row>
    <row r="309" spans="1:23" s="139" customFormat="1">
      <c r="A309" s="146" t="s">
        <v>487</v>
      </c>
      <c r="B309" s="147" t="s">
        <v>488</v>
      </c>
      <c r="C309" s="146" t="s">
        <v>137</v>
      </c>
      <c r="D309" s="146" t="s">
        <v>138</v>
      </c>
      <c r="E309" s="146" t="s">
        <v>139</v>
      </c>
      <c r="F309" s="146" t="s">
        <v>162</v>
      </c>
      <c r="G309" s="148" t="s">
        <v>214</v>
      </c>
      <c r="H309" s="146">
        <v>0</v>
      </c>
      <c r="I309" s="146">
        <v>19</v>
      </c>
      <c r="J309" s="146" t="s">
        <v>165</v>
      </c>
      <c r="K309" s="146" t="s">
        <v>80</v>
      </c>
      <c r="L309" s="148" t="s">
        <v>3</v>
      </c>
      <c r="M309" s="146" t="s">
        <v>142</v>
      </c>
      <c r="N309" s="149">
        <v>1000</v>
      </c>
      <c r="O309" s="152">
        <f>SUMIF('GUDANG BESAR'!C:C,K:K,'GUDANG BESAR'!I:I)</f>
        <v>1550000</v>
      </c>
      <c r="P309" s="153">
        <f>SUMIF('GUDANG BESAR'!C:C,K:K,'GUDANG BESAR'!K:K)</f>
        <v>1720500</v>
      </c>
      <c r="Q309" s="150">
        <v>0.05</v>
      </c>
      <c r="R309" s="149">
        <v>0</v>
      </c>
      <c r="S309" s="149">
        <v>50</v>
      </c>
      <c r="T309" s="145">
        <f t="shared" si="12"/>
        <v>77500</v>
      </c>
      <c r="U309" s="145">
        <f t="shared" si="13"/>
        <v>86025</v>
      </c>
      <c r="V309" s="135" t="str">
        <f>VLOOKUP(K309,Sheet1!$B$5:$C$131,2,0)</f>
        <v>LIMBAH</v>
      </c>
      <c r="W309" s="181">
        <f t="shared" si="14"/>
        <v>5.0000000000000002E-5</v>
      </c>
    </row>
    <row r="310" spans="1:23" s="139" customFormat="1">
      <c r="A310" s="146" t="s">
        <v>487</v>
      </c>
      <c r="B310" s="147" t="s">
        <v>488</v>
      </c>
      <c r="C310" s="146" t="s">
        <v>137</v>
      </c>
      <c r="D310" s="146" t="s">
        <v>138</v>
      </c>
      <c r="E310" s="146" t="s">
        <v>139</v>
      </c>
      <c r="F310" s="146" t="s">
        <v>162</v>
      </c>
      <c r="G310" s="148" t="s">
        <v>214</v>
      </c>
      <c r="H310" s="146">
        <v>0</v>
      </c>
      <c r="I310" s="146">
        <v>18</v>
      </c>
      <c r="J310" s="146" t="s">
        <v>164</v>
      </c>
      <c r="K310" s="146" t="s">
        <v>74</v>
      </c>
      <c r="L310" s="148" t="s">
        <v>5</v>
      </c>
      <c r="M310" s="146" t="s">
        <v>142</v>
      </c>
      <c r="N310" s="149">
        <v>1000</v>
      </c>
      <c r="O310" s="152">
        <f>SUMIF('GUDANG BESAR'!C:C,K:K,'GUDANG BESAR'!I:I)</f>
        <v>13180</v>
      </c>
      <c r="P310" s="153">
        <f>SUMIF('GUDANG BESAR'!C:C,K:K,'GUDANG BESAR'!K:K)</f>
        <v>14629.8</v>
      </c>
      <c r="Q310" s="150">
        <v>15</v>
      </c>
      <c r="R310" s="149">
        <v>15</v>
      </c>
      <c r="S310" s="149">
        <v>0</v>
      </c>
      <c r="T310" s="145">
        <f t="shared" si="12"/>
        <v>197700</v>
      </c>
      <c r="U310" s="145">
        <f t="shared" si="13"/>
        <v>219447</v>
      </c>
      <c r="V310" s="135" t="str">
        <f>VLOOKUP(K310,Sheet1!$B$5:$C$131,2,0)</f>
        <v>LIMBAH</v>
      </c>
      <c r="W310" s="181">
        <f t="shared" si="14"/>
        <v>1.4999999999999999E-2</v>
      </c>
    </row>
    <row r="311" spans="1:23" s="139" customFormat="1">
      <c r="A311" s="146" t="s">
        <v>487</v>
      </c>
      <c r="B311" s="147" t="s">
        <v>488</v>
      </c>
      <c r="C311" s="146" t="s">
        <v>137</v>
      </c>
      <c r="D311" s="146" t="s">
        <v>138</v>
      </c>
      <c r="E311" s="146" t="s">
        <v>139</v>
      </c>
      <c r="F311" s="146" t="s">
        <v>162</v>
      </c>
      <c r="G311" s="148" t="s">
        <v>214</v>
      </c>
      <c r="H311" s="146">
        <v>0</v>
      </c>
      <c r="I311" s="146">
        <v>16</v>
      </c>
      <c r="J311" s="146" t="s">
        <v>262</v>
      </c>
      <c r="K311" s="146" t="s">
        <v>258</v>
      </c>
      <c r="L311" s="148" t="s">
        <v>3</v>
      </c>
      <c r="M311" s="146" t="s">
        <v>142</v>
      </c>
      <c r="N311" s="149">
        <v>1000</v>
      </c>
      <c r="O311" s="152">
        <f>SUMIF('GUDANG BESAR'!C:C,K:K,'GUDANG BESAR'!I:I)</f>
        <v>33000</v>
      </c>
      <c r="P311" s="153">
        <f>SUMIF('GUDANG BESAR'!C:C,K:K,'GUDANG BESAR'!K:K)</f>
        <v>36630</v>
      </c>
      <c r="Q311" s="150">
        <v>2</v>
      </c>
      <c r="R311" s="149">
        <v>2</v>
      </c>
      <c r="S311" s="149">
        <v>0</v>
      </c>
      <c r="T311" s="145">
        <f t="shared" si="12"/>
        <v>66000</v>
      </c>
      <c r="U311" s="145">
        <f t="shared" si="13"/>
        <v>73260</v>
      </c>
      <c r="V311" s="135" t="str">
        <f>VLOOKUP(K311,Sheet1!$B$5:$C$131,2,0)</f>
        <v>LIMBAH</v>
      </c>
      <c r="W311" s="181">
        <f t="shared" si="14"/>
        <v>2E-3</v>
      </c>
    </row>
    <row r="312" spans="1:23" s="139" customFormat="1">
      <c r="A312" s="146" t="s">
        <v>487</v>
      </c>
      <c r="B312" s="147" t="s">
        <v>488</v>
      </c>
      <c r="C312" s="146" t="s">
        <v>137</v>
      </c>
      <c r="D312" s="146" t="s">
        <v>138</v>
      </c>
      <c r="E312" s="146" t="s">
        <v>139</v>
      </c>
      <c r="F312" s="146" t="s">
        <v>162</v>
      </c>
      <c r="G312" s="148" t="s">
        <v>214</v>
      </c>
      <c r="H312" s="146">
        <v>0</v>
      </c>
      <c r="I312" s="146">
        <v>17</v>
      </c>
      <c r="J312" s="146" t="s">
        <v>263</v>
      </c>
      <c r="K312" s="146" t="s">
        <v>259</v>
      </c>
      <c r="L312" s="148" t="s">
        <v>3</v>
      </c>
      <c r="M312" s="146" t="s">
        <v>142</v>
      </c>
      <c r="N312" s="149">
        <v>1000</v>
      </c>
      <c r="O312" s="152">
        <f>SUMIF('GUDANG BESAR'!C:C,K:K,'GUDANG BESAR'!I:I)</f>
        <v>47500</v>
      </c>
      <c r="P312" s="153">
        <f>SUMIF('GUDANG BESAR'!C:C,K:K,'GUDANG BESAR'!K:K)</f>
        <v>52725</v>
      </c>
      <c r="Q312" s="150">
        <v>2</v>
      </c>
      <c r="R312" s="149">
        <v>2</v>
      </c>
      <c r="S312" s="149">
        <v>0</v>
      </c>
      <c r="T312" s="145">
        <f t="shared" si="12"/>
        <v>95000</v>
      </c>
      <c r="U312" s="145">
        <f t="shared" si="13"/>
        <v>105450</v>
      </c>
      <c r="V312" s="135" t="str">
        <f>VLOOKUP(K312,Sheet1!$B$5:$C$131,2,0)</f>
        <v>LIMBAH</v>
      </c>
      <c r="W312" s="181">
        <f t="shared" si="14"/>
        <v>2E-3</v>
      </c>
    </row>
    <row r="313" spans="1:23" s="139" customFormat="1">
      <c r="A313" s="146" t="s">
        <v>491</v>
      </c>
      <c r="B313" s="147" t="s">
        <v>492</v>
      </c>
      <c r="C313" s="146" t="s">
        <v>137</v>
      </c>
      <c r="D313" s="146" t="s">
        <v>138</v>
      </c>
      <c r="E313" s="146" t="s">
        <v>139</v>
      </c>
      <c r="F313" s="146" t="s">
        <v>153</v>
      </c>
      <c r="G313" s="148" t="s">
        <v>298</v>
      </c>
      <c r="H313" s="146">
        <v>0</v>
      </c>
      <c r="I313" s="146">
        <v>17</v>
      </c>
      <c r="J313" s="146" t="s">
        <v>315</v>
      </c>
      <c r="K313" s="146" t="s">
        <v>47</v>
      </c>
      <c r="L313" s="148" t="s">
        <v>3</v>
      </c>
      <c r="M313" s="146" t="s">
        <v>142</v>
      </c>
      <c r="N313" s="149">
        <v>1000</v>
      </c>
      <c r="O313" s="152">
        <f>SUMIF('GUDANG BESAR'!C:C,K:K,'GUDANG BESAR'!I:I)</f>
        <v>13000</v>
      </c>
      <c r="P313" s="153">
        <f>SUMIF('GUDANG BESAR'!C:C,K:K,'GUDANG BESAR'!K:K)</f>
        <v>14430</v>
      </c>
      <c r="Q313" s="150">
        <v>8</v>
      </c>
      <c r="R313" s="149">
        <v>8</v>
      </c>
      <c r="S313" s="149">
        <v>0</v>
      </c>
      <c r="T313" s="145">
        <f t="shared" si="12"/>
        <v>104000</v>
      </c>
      <c r="U313" s="145">
        <f t="shared" si="13"/>
        <v>115440</v>
      </c>
      <c r="V313" s="135" t="str">
        <f>VLOOKUP(K313,Sheet1!$B$5:$C$131,2,0)</f>
        <v>FINISHING</v>
      </c>
      <c r="W313" s="181">
        <f t="shared" si="14"/>
        <v>8.0000000000000002E-3</v>
      </c>
    </row>
    <row r="314" spans="1:23" s="139" customFormat="1">
      <c r="A314" s="146" t="s">
        <v>491</v>
      </c>
      <c r="B314" s="147" t="s">
        <v>492</v>
      </c>
      <c r="C314" s="146" t="s">
        <v>137</v>
      </c>
      <c r="D314" s="146" t="s">
        <v>138</v>
      </c>
      <c r="E314" s="146" t="s">
        <v>139</v>
      </c>
      <c r="F314" s="146" t="s">
        <v>153</v>
      </c>
      <c r="G314" s="148" t="s">
        <v>299</v>
      </c>
      <c r="H314" s="146">
        <v>0</v>
      </c>
      <c r="I314" s="146">
        <v>13</v>
      </c>
      <c r="J314" s="146" t="s">
        <v>154</v>
      </c>
      <c r="K314" s="146" t="s">
        <v>23</v>
      </c>
      <c r="L314" s="148" t="s">
        <v>3</v>
      </c>
      <c r="M314" s="146" t="s">
        <v>142</v>
      </c>
      <c r="N314" s="149">
        <v>1000</v>
      </c>
      <c r="O314" s="152">
        <f>SUMIF('GUDANG BESAR'!C:C,K:K,'GUDANG BESAR'!I:I)</f>
        <v>28844</v>
      </c>
      <c r="P314" s="153">
        <f>SUMIF('GUDANG BESAR'!C:C,K:K,'GUDANG BESAR'!K:K)</f>
        <v>32016.84</v>
      </c>
      <c r="Q314" s="150">
        <v>150</v>
      </c>
      <c r="R314" s="149">
        <v>150</v>
      </c>
      <c r="S314" s="149">
        <v>0</v>
      </c>
      <c r="T314" s="145">
        <f t="shared" si="12"/>
        <v>4326600</v>
      </c>
      <c r="U314" s="145">
        <f t="shared" si="13"/>
        <v>4802526</v>
      </c>
      <c r="V314" s="135" t="str">
        <f>VLOOKUP(K314,Sheet1!$B$5:$C$131,2,0)</f>
        <v>RC</v>
      </c>
      <c r="W314" s="181">
        <f t="shared" si="14"/>
        <v>0.15</v>
      </c>
    </row>
    <row r="315" spans="1:23" s="139" customFormat="1">
      <c r="A315" s="146" t="s">
        <v>491</v>
      </c>
      <c r="B315" s="147" t="s">
        <v>492</v>
      </c>
      <c r="C315" s="146" t="s">
        <v>137</v>
      </c>
      <c r="D315" s="146" t="s">
        <v>138</v>
      </c>
      <c r="E315" s="146" t="s">
        <v>139</v>
      </c>
      <c r="F315" s="146" t="s">
        <v>153</v>
      </c>
      <c r="G315" s="148" t="s">
        <v>301</v>
      </c>
      <c r="H315" s="146">
        <v>0</v>
      </c>
      <c r="I315" s="146">
        <v>19</v>
      </c>
      <c r="J315" s="146" t="s">
        <v>246</v>
      </c>
      <c r="K315" s="146" t="s">
        <v>7</v>
      </c>
      <c r="L315" s="148" t="s">
        <v>3</v>
      </c>
      <c r="M315" s="146" t="s">
        <v>142</v>
      </c>
      <c r="N315" s="149">
        <v>1000</v>
      </c>
      <c r="O315" s="152">
        <f>SUMIF('GUDANG BESAR'!C:C,K:K,'GUDANG BESAR'!I:I)</f>
        <v>29502</v>
      </c>
      <c r="P315" s="153">
        <f>SUMIF('GUDANG BESAR'!C:C,K:K,'GUDANG BESAR'!K:K)</f>
        <v>32747.22</v>
      </c>
      <c r="Q315" s="150">
        <v>16</v>
      </c>
      <c r="R315" s="149">
        <v>16</v>
      </c>
      <c r="S315" s="149">
        <v>0</v>
      </c>
      <c r="T315" s="145">
        <f t="shared" si="12"/>
        <v>472032</v>
      </c>
      <c r="U315" s="145">
        <f t="shared" si="13"/>
        <v>523955.52</v>
      </c>
      <c r="V315" s="135" t="str">
        <f>VLOOKUP(K315,Sheet1!$B$5:$C$131,2,0)</f>
        <v>DYEING</v>
      </c>
      <c r="W315" s="181">
        <f t="shared" si="14"/>
        <v>1.6E-2</v>
      </c>
    </row>
    <row r="316" spans="1:23" s="139" customFormat="1">
      <c r="A316" s="146" t="s">
        <v>491</v>
      </c>
      <c r="B316" s="147" t="s">
        <v>492</v>
      </c>
      <c r="C316" s="146" t="s">
        <v>137</v>
      </c>
      <c r="D316" s="146" t="s">
        <v>138</v>
      </c>
      <c r="E316" s="146" t="s">
        <v>139</v>
      </c>
      <c r="F316" s="146" t="s">
        <v>153</v>
      </c>
      <c r="G316" s="148" t="s">
        <v>299</v>
      </c>
      <c r="H316" s="146">
        <v>0</v>
      </c>
      <c r="I316" s="146">
        <v>14</v>
      </c>
      <c r="J316" s="146" t="s">
        <v>155</v>
      </c>
      <c r="K316" s="146" t="s">
        <v>33</v>
      </c>
      <c r="L316" s="148" t="s">
        <v>3</v>
      </c>
      <c r="M316" s="146" t="s">
        <v>142</v>
      </c>
      <c r="N316" s="149">
        <v>1000</v>
      </c>
      <c r="O316" s="152">
        <f>SUMIF('GUDANG BESAR'!C:C,K:K,'GUDANG BESAR'!I:I)</f>
        <v>11087.5</v>
      </c>
      <c r="P316" s="153">
        <f>SUMIF('GUDANG BESAR'!C:C,K:K,'GUDANG BESAR'!K:K)</f>
        <v>12307.125</v>
      </c>
      <c r="Q316" s="150">
        <v>100</v>
      </c>
      <c r="R316" s="149">
        <v>100</v>
      </c>
      <c r="S316" s="149">
        <v>0</v>
      </c>
      <c r="T316" s="145">
        <f t="shared" si="12"/>
        <v>1108750</v>
      </c>
      <c r="U316" s="145">
        <f t="shared" si="13"/>
        <v>1230712.5</v>
      </c>
      <c r="V316" s="135" t="str">
        <f>VLOOKUP(K316,Sheet1!$B$5:$C$131,2,0)</f>
        <v>RC</v>
      </c>
      <c r="W316" s="181">
        <f t="shared" si="14"/>
        <v>0.1</v>
      </c>
    </row>
    <row r="317" spans="1:23" s="139" customFormat="1">
      <c r="A317" s="146" t="s">
        <v>491</v>
      </c>
      <c r="B317" s="147" t="s">
        <v>492</v>
      </c>
      <c r="C317" s="146" t="s">
        <v>137</v>
      </c>
      <c r="D317" s="146" t="s">
        <v>138</v>
      </c>
      <c r="E317" s="146" t="s">
        <v>139</v>
      </c>
      <c r="F317" s="146" t="s">
        <v>140</v>
      </c>
      <c r="G317" s="148" t="s">
        <v>303</v>
      </c>
      <c r="H317" s="146">
        <v>0</v>
      </c>
      <c r="I317" s="146">
        <v>1</v>
      </c>
      <c r="J317" s="146" t="s">
        <v>141</v>
      </c>
      <c r="K317" s="146" t="s">
        <v>37</v>
      </c>
      <c r="L317" s="148" t="s">
        <v>3</v>
      </c>
      <c r="M317" s="146" t="s">
        <v>142</v>
      </c>
      <c r="N317" s="149">
        <v>1000</v>
      </c>
      <c r="O317" s="152">
        <f>SUMIF('GUDANG BESAR'!C:C,K:K,'GUDANG BESAR'!I:I)</f>
        <v>51276</v>
      </c>
      <c r="P317" s="153">
        <f>SUMIF('GUDANG BESAR'!C:C,K:K,'GUDANG BESAR'!K:K)</f>
        <v>56916.36</v>
      </c>
      <c r="Q317" s="150">
        <v>23.925000000000001</v>
      </c>
      <c r="R317" s="149">
        <v>23</v>
      </c>
      <c r="S317" s="149">
        <v>925</v>
      </c>
      <c r="T317" s="145">
        <f t="shared" si="12"/>
        <v>1226778.3</v>
      </c>
      <c r="U317" s="145">
        <f t="shared" si="13"/>
        <v>1361723.9129999999</v>
      </c>
      <c r="V317" s="135" t="str">
        <f>VLOOKUP(K317,Sheet1!$B$5:$C$131,2,0)</f>
        <v>DYESTUFF</v>
      </c>
      <c r="W317" s="181">
        <f t="shared" si="14"/>
        <v>2.3925000000000002E-2</v>
      </c>
    </row>
    <row r="318" spans="1:23" s="139" customFormat="1">
      <c r="A318" s="146" t="s">
        <v>491</v>
      </c>
      <c r="B318" s="147" t="s">
        <v>492</v>
      </c>
      <c r="C318" s="146" t="s">
        <v>137</v>
      </c>
      <c r="D318" s="146" t="s">
        <v>138</v>
      </c>
      <c r="E318" s="146" t="s">
        <v>139</v>
      </c>
      <c r="F318" s="146" t="s">
        <v>153</v>
      </c>
      <c r="G318" s="148" t="s">
        <v>301</v>
      </c>
      <c r="H318" s="146">
        <v>0</v>
      </c>
      <c r="I318" s="146">
        <v>22</v>
      </c>
      <c r="J318" s="146" t="s">
        <v>172</v>
      </c>
      <c r="K318" s="146" t="s">
        <v>8</v>
      </c>
      <c r="L318" s="148" t="s">
        <v>3</v>
      </c>
      <c r="M318" s="146" t="s">
        <v>142</v>
      </c>
      <c r="N318" s="149">
        <v>1000</v>
      </c>
      <c r="O318" s="152">
        <f>SUMIF('GUDANG BESAR'!C:C,K:K,'GUDANG BESAR'!I:I)</f>
        <v>441045</v>
      </c>
      <c r="P318" s="153">
        <f>SUMIF('GUDANG BESAR'!C:C,K:K,'GUDANG BESAR'!K:K)</f>
        <v>489559.95</v>
      </c>
      <c r="Q318" s="150">
        <v>3.8210000000000002</v>
      </c>
      <c r="R318" s="149">
        <v>3</v>
      </c>
      <c r="S318" s="149">
        <v>821</v>
      </c>
      <c r="T318" s="145">
        <f t="shared" si="12"/>
        <v>1685232.9450000001</v>
      </c>
      <c r="U318" s="145">
        <f t="shared" si="13"/>
        <v>1870608.5689500002</v>
      </c>
      <c r="V318" s="135" t="str">
        <f>VLOOKUP(K318,Sheet1!$B$5:$C$131,2,0)</f>
        <v>DYEING</v>
      </c>
      <c r="W318" s="181">
        <f t="shared" si="14"/>
        <v>3.8210000000000002E-3</v>
      </c>
    </row>
    <row r="319" spans="1:23" s="139" customFormat="1">
      <c r="A319" s="146" t="s">
        <v>491</v>
      </c>
      <c r="B319" s="147" t="s">
        <v>492</v>
      </c>
      <c r="C319" s="146" t="s">
        <v>137</v>
      </c>
      <c r="D319" s="146" t="s">
        <v>138</v>
      </c>
      <c r="E319" s="146" t="s">
        <v>139</v>
      </c>
      <c r="F319" s="146" t="s">
        <v>140</v>
      </c>
      <c r="G319" s="148" t="s">
        <v>303</v>
      </c>
      <c r="H319" s="146">
        <v>0</v>
      </c>
      <c r="I319" s="146">
        <v>4</v>
      </c>
      <c r="J319" s="146" t="s">
        <v>143</v>
      </c>
      <c r="K319" s="146" t="s">
        <v>90</v>
      </c>
      <c r="L319" s="148" t="s">
        <v>3</v>
      </c>
      <c r="M319" s="146" t="s">
        <v>142</v>
      </c>
      <c r="N319" s="149">
        <v>1000</v>
      </c>
      <c r="O319" s="152">
        <f>SUMIF('GUDANG BESAR'!C:C,K:K,'GUDANG BESAR'!I:I)</f>
        <v>194556</v>
      </c>
      <c r="P319" s="153">
        <f>SUMIF('GUDANG BESAR'!C:C,K:K,'GUDANG BESAR'!K:K)</f>
        <v>215957.16</v>
      </c>
      <c r="Q319" s="150">
        <v>1.05</v>
      </c>
      <c r="R319" s="149">
        <v>1</v>
      </c>
      <c r="S319" s="149">
        <v>50</v>
      </c>
      <c r="T319" s="145">
        <f t="shared" si="12"/>
        <v>204283.80000000002</v>
      </c>
      <c r="U319" s="145">
        <f t="shared" si="13"/>
        <v>226755.01800000001</v>
      </c>
      <c r="V319" s="135" t="str">
        <f>VLOOKUP(K319,Sheet1!$B$5:$C$131,2,0)</f>
        <v>DYESTUFF</v>
      </c>
      <c r="W319" s="181">
        <f t="shared" si="14"/>
        <v>1.0500000000000002E-3</v>
      </c>
    </row>
    <row r="320" spans="1:23" s="139" customFormat="1">
      <c r="A320" s="146" t="s">
        <v>491</v>
      </c>
      <c r="B320" s="147" t="s">
        <v>492</v>
      </c>
      <c r="C320" s="146" t="s">
        <v>137</v>
      </c>
      <c r="D320" s="146" t="s">
        <v>138</v>
      </c>
      <c r="E320" s="146" t="s">
        <v>139</v>
      </c>
      <c r="F320" s="146" t="s">
        <v>140</v>
      </c>
      <c r="G320" s="148" t="s">
        <v>303</v>
      </c>
      <c r="H320" s="146">
        <v>0</v>
      </c>
      <c r="I320" s="146">
        <v>2</v>
      </c>
      <c r="J320" s="146" t="s">
        <v>346</v>
      </c>
      <c r="K320" s="146" t="s">
        <v>343</v>
      </c>
      <c r="L320" s="148" t="s">
        <v>3</v>
      </c>
      <c r="M320" s="146" t="s">
        <v>142</v>
      </c>
      <c r="N320" s="149">
        <v>1000</v>
      </c>
      <c r="O320" s="152">
        <f>SUMIF('GUDANG BESAR'!C:C,K:K,'GUDANG BESAR'!I:I)</f>
        <v>60680</v>
      </c>
      <c r="P320" s="153">
        <f>SUMIF('GUDANG BESAR'!C:C,K:K,'GUDANG BESAR'!K:K)</f>
        <v>67354.8</v>
      </c>
      <c r="Q320" s="150">
        <v>10.166</v>
      </c>
      <c r="R320" s="149">
        <v>10</v>
      </c>
      <c r="S320" s="149">
        <v>166</v>
      </c>
      <c r="T320" s="145">
        <f t="shared" si="12"/>
        <v>616872.88</v>
      </c>
      <c r="U320" s="145">
        <f t="shared" si="13"/>
        <v>684728.8968000001</v>
      </c>
      <c r="V320" s="135" t="str">
        <f>VLOOKUP(K320,Sheet1!$B$5:$C$131,2,0)</f>
        <v>DYESTUFF</v>
      </c>
      <c r="W320" s="181">
        <f t="shared" si="14"/>
        <v>1.0166E-2</v>
      </c>
    </row>
    <row r="321" spans="1:23" s="139" customFormat="1">
      <c r="A321" s="146" t="s">
        <v>491</v>
      </c>
      <c r="B321" s="147" t="s">
        <v>492</v>
      </c>
      <c r="C321" s="146" t="s">
        <v>137</v>
      </c>
      <c r="D321" s="146" t="s">
        <v>138</v>
      </c>
      <c r="E321" s="146" t="s">
        <v>139</v>
      </c>
      <c r="F321" s="146" t="s">
        <v>140</v>
      </c>
      <c r="G321" s="148" t="s">
        <v>303</v>
      </c>
      <c r="H321" s="146">
        <v>0</v>
      </c>
      <c r="I321" s="146">
        <v>11</v>
      </c>
      <c r="J321" s="146" t="s">
        <v>151</v>
      </c>
      <c r="K321" s="146" t="s">
        <v>28</v>
      </c>
      <c r="L321" s="148" t="s">
        <v>3</v>
      </c>
      <c r="M321" s="146" t="s">
        <v>142</v>
      </c>
      <c r="N321" s="149">
        <v>1000</v>
      </c>
      <c r="O321" s="152">
        <f>SUMIF('GUDANG BESAR'!C:C,K:K,'GUDANG BESAR'!I:I)</f>
        <v>413967</v>
      </c>
      <c r="P321" s="153">
        <f>SUMIF('GUDANG BESAR'!C:C,K:K,'GUDANG BESAR'!K:K)</f>
        <v>459503.37</v>
      </c>
      <c r="Q321" s="150">
        <v>2.4E-2</v>
      </c>
      <c r="R321" s="149">
        <v>0</v>
      </c>
      <c r="S321" s="149">
        <v>24</v>
      </c>
      <c r="T321" s="145">
        <f t="shared" si="12"/>
        <v>9935.2080000000005</v>
      </c>
      <c r="U321" s="145">
        <f t="shared" si="13"/>
        <v>11028.08088</v>
      </c>
      <c r="V321" s="135" t="str">
        <f>VLOOKUP(K321,Sheet1!$B$5:$C$131,2,0)</f>
        <v>DYESTUFF</v>
      </c>
      <c r="W321" s="181">
        <f t="shared" si="14"/>
        <v>2.4000000000000001E-5</v>
      </c>
    </row>
    <row r="322" spans="1:23" s="139" customFormat="1">
      <c r="A322" s="146" t="s">
        <v>491</v>
      </c>
      <c r="B322" s="147" t="s">
        <v>492</v>
      </c>
      <c r="C322" s="146" t="s">
        <v>137</v>
      </c>
      <c r="D322" s="146" t="s">
        <v>138</v>
      </c>
      <c r="E322" s="146" t="s">
        <v>139</v>
      </c>
      <c r="F322" s="146" t="s">
        <v>140</v>
      </c>
      <c r="G322" s="148" t="s">
        <v>303</v>
      </c>
      <c r="H322" s="146">
        <v>0</v>
      </c>
      <c r="I322" s="146">
        <v>3</v>
      </c>
      <c r="J322" s="146" t="s">
        <v>169</v>
      </c>
      <c r="K322" s="146" t="s">
        <v>64</v>
      </c>
      <c r="L322" s="148" t="s">
        <v>3</v>
      </c>
      <c r="M322" s="146" t="s">
        <v>142</v>
      </c>
      <c r="N322" s="149">
        <v>1000</v>
      </c>
      <c r="O322" s="152">
        <f>SUMIF('GUDANG BESAR'!C:C,K:K,'GUDANG BESAR'!I:I)</f>
        <v>506080</v>
      </c>
      <c r="P322" s="153">
        <f>SUMIF('GUDANG BESAR'!C:C,K:K,'GUDANG BESAR'!K:K)</f>
        <v>561748.80000000005</v>
      </c>
      <c r="Q322" s="150">
        <v>0.158</v>
      </c>
      <c r="R322" s="149">
        <v>0</v>
      </c>
      <c r="S322" s="149">
        <v>158</v>
      </c>
      <c r="T322" s="145">
        <f t="shared" si="12"/>
        <v>79960.639999999999</v>
      </c>
      <c r="U322" s="145">
        <f t="shared" si="13"/>
        <v>88756.310400000002</v>
      </c>
      <c r="V322" s="135" t="str">
        <f>VLOOKUP(K322,Sheet1!$B$5:$C$131,2,0)</f>
        <v>DYESTUFF</v>
      </c>
      <c r="W322" s="181">
        <f t="shared" si="14"/>
        <v>1.5799999999999999E-4</v>
      </c>
    </row>
    <row r="323" spans="1:23" s="139" customFormat="1">
      <c r="A323" s="146" t="s">
        <v>491</v>
      </c>
      <c r="B323" s="147" t="s">
        <v>492</v>
      </c>
      <c r="C323" s="146" t="s">
        <v>137</v>
      </c>
      <c r="D323" s="146" t="s">
        <v>138</v>
      </c>
      <c r="E323" s="146" t="s">
        <v>139</v>
      </c>
      <c r="F323" s="146" t="s">
        <v>140</v>
      </c>
      <c r="G323" s="148" t="s">
        <v>303</v>
      </c>
      <c r="H323" s="146">
        <v>0</v>
      </c>
      <c r="I323" s="146">
        <v>5</v>
      </c>
      <c r="J323" s="146" t="s">
        <v>144</v>
      </c>
      <c r="K323" s="146" t="s">
        <v>26</v>
      </c>
      <c r="L323" s="148" t="s">
        <v>3</v>
      </c>
      <c r="M323" s="146" t="s">
        <v>142</v>
      </c>
      <c r="N323" s="149">
        <v>1000</v>
      </c>
      <c r="O323" s="152">
        <f>SUMIF('GUDANG BESAR'!C:C,K:K,'GUDANG BESAR'!I:I)</f>
        <v>52016</v>
      </c>
      <c r="P323" s="153">
        <f>SUMIF('GUDANG BESAR'!C:C,K:K,'GUDANG BESAR'!K:K)</f>
        <v>57737.760000000002</v>
      </c>
      <c r="Q323" s="150">
        <v>9.6</v>
      </c>
      <c r="R323" s="149">
        <v>9</v>
      </c>
      <c r="S323" s="149">
        <v>600</v>
      </c>
      <c r="T323" s="145">
        <f t="shared" si="12"/>
        <v>499353.59999999998</v>
      </c>
      <c r="U323" s="145">
        <f t="shared" si="13"/>
        <v>554282.49600000004</v>
      </c>
      <c r="V323" s="135" t="str">
        <f>VLOOKUP(K323,Sheet1!$B$5:$C$131,2,0)</f>
        <v>DYESTUFF</v>
      </c>
      <c r="W323" s="181">
        <f t="shared" si="14"/>
        <v>9.5999999999999992E-3</v>
      </c>
    </row>
    <row r="324" spans="1:23" s="139" customFormat="1">
      <c r="A324" s="146" t="s">
        <v>491</v>
      </c>
      <c r="B324" s="147" t="s">
        <v>492</v>
      </c>
      <c r="C324" s="146" t="s">
        <v>137</v>
      </c>
      <c r="D324" s="146" t="s">
        <v>138</v>
      </c>
      <c r="E324" s="146" t="s">
        <v>139</v>
      </c>
      <c r="F324" s="146" t="s">
        <v>140</v>
      </c>
      <c r="G324" s="148" t="s">
        <v>303</v>
      </c>
      <c r="H324" s="146">
        <v>0</v>
      </c>
      <c r="I324" s="146">
        <v>6</v>
      </c>
      <c r="J324" s="146" t="s">
        <v>145</v>
      </c>
      <c r="K324" s="146" t="s">
        <v>27</v>
      </c>
      <c r="L324" s="148" t="s">
        <v>3</v>
      </c>
      <c r="M324" s="146" t="s">
        <v>142</v>
      </c>
      <c r="N324" s="149">
        <v>1000</v>
      </c>
      <c r="O324" s="152">
        <f>SUMIF('GUDANG BESAR'!C:C,K:K,'GUDANG BESAR'!I:I)</f>
        <v>71148</v>
      </c>
      <c r="P324" s="153">
        <f>SUMIF('GUDANG BESAR'!C:C,K:K,'GUDANG BESAR'!K:K)</f>
        <v>78974.28</v>
      </c>
      <c r="Q324" s="150">
        <v>10.875999999999999</v>
      </c>
      <c r="R324" s="149">
        <v>10</v>
      </c>
      <c r="S324" s="149">
        <v>876</v>
      </c>
      <c r="T324" s="145">
        <f t="shared" si="12"/>
        <v>773805.64799999993</v>
      </c>
      <c r="U324" s="145">
        <f t="shared" si="13"/>
        <v>858924.26927999989</v>
      </c>
      <c r="V324" s="135" t="str">
        <f>VLOOKUP(K324,Sheet1!$B$5:$C$131,2,0)</f>
        <v>DYESTUFF</v>
      </c>
      <c r="W324" s="181">
        <f t="shared" si="14"/>
        <v>1.0876E-2</v>
      </c>
    </row>
    <row r="325" spans="1:23" s="139" customFormat="1">
      <c r="A325" s="146" t="s">
        <v>491</v>
      </c>
      <c r="B325" s="147" t="s">
        <v>492</v>
      </c>
      <c r="C325" s="146" t="s">
        <v>137</v>
      </c>
      <c r="D325" s="146" t="s">
        <v>138</v>
      </c>
      <c r="E325" s="146" t="s">
        <v>139</v>
      </c>
      <c r="F325" s="146" t="s">
        <v>153</v>
      </c>
      <c r="G325" s="148" t="s">
        <v>301</v>
      </c>
      <c r="H325" s="146">
        <v>0</v>
      </c>
      <c r="I325" s="146">
        <v>21</v>
      </c>
      <c r="J325" s="146" t="s">
        <v>173</v>
      </c>
      <c r="K325" s="146" t="s">
        <v>9</v>
      </c>
      <c r="L325" s="148" t="s">
        <v>3</v>
      </c>
      <c r="M325" s="146" t="s">
        <v>142</v>
      </c>
      <c r="N325" s="149">
        <v>1000</v>
      </c>
      <c r="O325" s="152">
        <f>SUMIF('GUDANG BESAR'!C:C,K:K,'GUDANG BESAR'!I:I)</f>
        <v>294030</v>
      </c>
      <c r="P325" s="153">
        <f>SUMIF('GUDANG BESAR'!C:C,K:K,'GUDANG BESAR'!K:K)</f>
        <v>326373.3</v>
      </c>
      <c r="Q325" s="150">
        <v>2.9820000000000002</v>
      </c>
      <c r="R325" s="149">
        <v>2</v>
      </c>
      <c r="S325" s="149">
        <v>982</v>
      </c>
      <c r="T325" s="145">
        <f t="shared" si="12"/>
        <v>876797.46000000008</v>
      </c>
      <c r="U325" s="145">
        <f t="shared" si="13"/>
        <v>973245.18060000008</v>
      </c>
      <c r="V325" s="135" t="str">
        <f>VLOOKUP(K325,Sheet1!$B$5:$C$131,2,0)</f>
        <v>DYEING</v>
      </c>
      <c r="W325" s="181">
        <f t="shared" si="14"/>
        <v>2.9820000000000003E-3</v>
      </c>
    </row>
    <row r="326" spans="1:23" s="139" customFormat="1">
      <c r="A326" s="146" t="s">
        <v>491</v>
      </c>
      <c r="B326" s="147" t="s">
        <v>492</v>
      </c>
      <c r="C326" s="146" t="s">
        <v>137</v>
      </c>
      <c r="D326" s="146" t="s">
        <v>138</v>
      </c>
      <c r="E326" s="146" t="s">
        <v>139</v>
      </c>
      <c r="F326" s="146" t="s">
        <v>140</v>
      </c>
      <c r="G326" s="148" t="s">
        <v>303</v>
      </c>
      <c r="H326" s="146">
        <v>0</v>
      </c>
      <c r="I326" s="146">
        <v>7</v>
      </c>
      <c r="J326" s="146" t="s">
        <v>376</v>
      </c>
      <c r="K326" s="146" t="s">
        <v>11</v>
      </c>
      <c r="L326" s="148" t="s">
        <v>3</v>
      </c>
      <c r="M326" s="146" t="s">
        <v>142</v>
      </c>
      <c r="N326" s="149">
        <v>1000</v>
      </c>
      <c r="O326" s="152">
        <f>SUMIF('GUDANG BESAR'!C:C,K:K,'GUDANG BESAR'!I:I)</f>
        <v>270075</v>
      </c>
      <c r="P326" s="153">
        <f>SUMIF('GUDANG BESAR'!C:C,K:K,'GUDANG BESAR'!K:K)</f>
        <v>299783.25</v>
      </c>
      <c r="Q326" s="150">
        <v>3.0000000000000001E-3</v>
      </c>
      <c r="R326" s="149">
        <v>0</v>
      </c>
      <c r="S326" s="149">
        <v>3</v>
      </c>
      <c r="T326" s="145">
        <f t="shared" ref="T326:T389" si="15">O326*Q326</f>
        <v>810.22500000000002</v>
      </c>
      <c r="U326" s="145">
        <f t="shared" ref="U326:U389" si="16">P326*Q326</f>
        <v>899.34974999999997</v>
      </c>
      <c r="V326" s="135" t="str">
        <f>VLOOKUP(K326,Sheet1!$B$5:$C$131,2,0)</f>
        <v>DYESTUFF</v>
      </c>
      <c r="W326" s="181">
        <f t="shared" ref="W326:W389" si="17">Q326/$W$5</f>
        <v>3.0000000000000001E-6</v>
      </c>
    </row>
    <row r="327" spans="1:23" s="139" customFormat="1">
      <c r="A327" s="146" t="s">
        <v>491</v>
      </c>
      <c r="B327" s="147" t="s">
        <v>492</v>
      </c>
      <c r="C327" s="146" t="s">
        <v>137</v>
      </c>
      <c r="D327" s="146" t="s">
        <v>138</v>
      </c>
      <c r="E327" s="146" t="s">
        <v>139</v>
      </c>
      <c r="F327" s="146" t="s">
        <v>140</v>
      </c>
      <c r="G327" s="148" t="s">
        <v>303</v>
      </c>
      <c r="H327" s="146">
        <v>0</v>
      </c>
      <c r="I327" s="146">
        <v>9</v>
      </c>
      <c r="J327" s="146" t="s">
        <v>146</v>
      </c>
      <c r="K327" s="146" t="s">
        <v>46</v>
      </c>
      <c r="L327" s="148" t="s">
        <v>3</v>
      </c>
      <c r="M327" s="146" t="s">
        <v>142</v>
      </c>
      <c r="N327" s="149">
        <v>1000</v>
      </c>
      <c r="O327" s="152">
        <f>SUMIF('GUDANG BESAR'!C:C,K:K,'GUDANG BESAR'!I:I)</f>
        <v>100812</v>
      </c>
      <c r="P327" s="153">
        <f>SUMIF('GUDANG BESAR'!C:C,K:K,'GUDANG BESAR'!K:K)</f>
        <v>111901.32</v>
      </c>
      <c r="Q327" s="150">
        <v>5.9539999999999997</v>
      </c>
      <c r="R327" s="149">
        <v>5</v>
      </c>
      <c r="S327" s="149">
        <v>954</v>
      </c>
      <c r="T327" s="145">
        <f t="shared" si="15"/>
        <v>600234.64799999993</v>
      </c>
      <c r="U327" s="145">
        <f t="shared" si="16"/>
        <v>666260.45928000007</v>
      </c>
      <c r="V327" s="135" t="str">
        <f>VLOOKUP(K327,Sheet1!$B$5:$C$131,2,0)</f>
        <v>DYESTUFF</v>
      </c>
      <c r="W327" s="181">
        <f t="shared" si="17"/>
        <v>5.9540000000000001E-3</v>
      </c>
    </row>
    <row r="328" spans="1:23" s="139" customFormat="1">
      <c r="A328" s="146" t="s">
        <v>491</v>
      </c>
      <c r="B328" s="147" t="s">
        <v>492</v>
      </c>
      <c r="C328" s="146" t="s">
        <v>137</v>
      </c>
      <c r="D328" s="146" t="s">
        <v>138</v>
      </c>
      <c r="E328" s="146" t="s">
        <v>139</v>
      </c>
      <c r="F328" s="146" t="s">
        <v>140</v>
      </c>
      <c r="G328" s="148" t="s">
        <v>303</v>
      </c>
      <c r="H328" s="146">
        <v>0</v>
      </c>
      <c r="I328" s="146">
        <v>12</v>
      </c>
      <c r="J328" s="146" t="s">
        <v>147</v>
      </c>
      <c r="K328" s="146" t="s">
        <v>41</v>
      </c>
      <c r="L328" s="148" t="s">
        <v>3</v>
      </c>
      <c r="M328" s="146" t="s">
        <v>142</v>
      </c>
      <c r="N328" s="149">
        <v>1000</v>
      </c>
      <c r="O328" s="152">
        <f>SUMIF('GUDANG BESAR'!C:C,K:K,'GUDANG BESAR'!I:I)</f>
        <v>54071</v>
      </c>
      <c r="P328" s="153">
        <f>SUMIF('GUDANG BESAR'!C:C,K:K,'GUDANG BESAR'!K:K)</f>
        <v>60018.81</v>
      </c>
      <c r="Q328" s="150">
        <v>13.973000000000001</v>
      </c>
      <c r="R328" s="149">
        <v>13</v>
      </c>
      <c r="S328" s="149">
        <v>973</v>
      </c>
      <c r="T328" s="145">
        <f t="shared" si="15"/>
        <v>755534.08299999998</v>
      </c>
      <c r="U328" s="145">
        <f t="shared" si="16"/>
        <v>838642.83213</v>
      </c>
      <c r="V328" s="135" t="str">
        <f>VLOOKUP(K328,Sheet1!$B$5:$C$131,2,0)</f>
        <v>DYESTUFF</v>
      </c>
      <c r="W328" s="181">
        <f t="shared" si="17"/>
        <v>1.3973000000000001E-2</v>
      </c>
    </row>
    <row r="329" spans="1:23" s="139" customFormat="1">
      <c r="A329" s="146" t="s">
        <v>491</v>
      </c>
      <c r="B329" s="147" t="s">
        <v>492</v>
      </c>
      <c r="C329" s="146" t="s">
        <v>137</v>
      </c>
      <c r="D329" s="146" t="s">
        <v>138</v>
      </c>
      <c r="E329" s="146" t="s">
        <v>139</v>
      </c>
      <c r="F329" s="146" t="s">
        <v>282</v>
      </c>
      <c r="G329" s="148" t="s">
        <v>303</v>
      </c>
      <c r="H329" s="146">
        <v>0</v>
      </c>
      <c r="I329" s="146">
        <v>10</v>
      </c>
      <c r="J329" s="146" t="s">
        <v>148</v>
      </c>
      <c r="K329" s="146" t="s">
        <v>30</v>
      </c>
      <c r="L329" s="148" t="s">
        <v>3</v>
      </c>
      <c r="M329" s="146" t="s">
        <v>142</v>
      </c>
      <c r="N329" s="149">
        <v>1000</v>
      </c>
      <c r="O329" s="152">
        <f>SUMIF('GUDANG BESAR'!C:C,K:K,'GUDANG BESAR'!I:I)</f>
        <v>77089.399999999994</v>
      </c>
      <c r="P329" s="153">
        <f>SUMIF('GUDANG BESAR'!C:C,K:K,'GUDANG BESAR'!K:K)</f>
        <v>85569.233999999997</v>
      </c>
      <c r="Q329" s="150">
        <v>5.9669999999999996</v>
      </c>
      <c r="R329" s="149">
        <v>5</v>
      </c>
      <c r="S329" s="149">
        <v>967</v>
      </c>
      <c r="T329" s="145">
        <f t="shared" si="15"/>
        <v>459992.44979999994</v>
      </c>
      <c r="U329" s="145">
        <f t="shared" si="16"/>
        <v>510591.61927799997</v>
      </c>
      <c r="V329" s="135" t="str">
        <f>VLOOKUP(K329,Sheet1!$B$5:$C$131,2,0)</f>
        <v>DYESTUFF</v>
      </c>
      <c r="W329" s="181">
        <f t="shared" si="17"/>
        <v>5.9669999999999992E-3</v>
      </c>
    </row>
    <row r="330" spans="1:23" s="139" customFormat="1">
      <c r="A330" s="146" t="s">
        <v>491</v>
      </c>
      <c r="B330" s="147" t="s">
        <v>492</v>
      </c>
      <c r="C330" s="146" t="s">
        <v>137</v>
      </c>
      <c r="D330" s="146" t="s">
        <v>138</v>
      </c>
      <c r="E330" s="146" t="s">
        <v>139</v>
      </c>
      <c r="F330" s="146" t="s">
        <v>153</v>
      </c>
      <c r="G330" s="148" t="s">
        <v>301</v>
      </c>
      <c r="H330" s="146">
        <v>0</v>
      </c>
      <c r="I330" s="146">
        <v>23</v>
      </c>
      <c r="J330" s="146" t="s">
        <v>174</v>
      </c>
      <c r="K330" s="146" t="s">
        <v>13</v>
      </c>
      <c r="L330" s="148" t="s">
        <v>3</v>
      </c>
      <c r="M330" s="146" t="s">
        <v>142</v>
      </c>
      <c r="N330" s="149">
        <v>1000</v>
      </c>
      <c r="O330" s="152">
        <f>SUMIF('GUDANG BESAR'!C:C,K:K,'GUDANG BESAR'!I:I)</f>
        <v>262320</v>
      </c>
      <c r="P330" s="153">
        <f>SUMIF('GUDANG BESAR'!C:C,K:K,'GUDANG BESAR'!K:K)</f>
        <v>291175.2</v>
      </c>
      <c r="Q330" s="150">
        <v>5.29</v>
      </c>
      <c r="R330" s="149">
        <v>5</v>
      </c>
      <c r="S330" s="149">
        <v>290</v>
      </c>
      <c r="T330" s="145">
        <f t="shared" si="15"/>
        <v>1387672.8</v>
      </c>
      <c r="U330" s="145">
        <f t="shared" si="16"/>
        <v>1540316.808</v>
      </c>
      <c r="V330" s="135" t="str">
        <f>VLOOKUP(K330,Sheet1!$B$5:$C$131,2,0)</f>
        <v>DYEING</v>
      </c>
      <c r="W330" s="181">
        <f t="shared" si="17"/>
        <v>5.2900000000000004E-3</v>
      </c>
    </row>
    <row r="331" spans="1:23" s="139" customFormat="1">
      <c r="A331" s="146" t="s">
        <v>491</v>
      </c>
      <c r="B331" s="147" t="s">
        <v>492</v>
      </c>
      <c r="C331" s="146" t="s">
        <v>137</v>
      </c>
      <c r="D331" s="146" t="s">
        <v>138</v>
      </c>
      <c r="E331" s="146" t="s">
        <v>139</v>
      </c>
      <c r="F331" s="146" t="s">
        <v>167</v>
      </c>
      <c r="G331" s="148" t="s">
        <v>298</v>
      </c>
      <c r="H331" s="146">
        <v>0</v>
      </c>
      <c r="I331" s="146">
        <v>24</v>
      </c>
      <c r="J331" s="146" t="s">
        <v>270</v>
      </c>
      <c r="K331" s="146" t="s">
        <v>31</v>
      </c>
      <c r="L331" s="148" t="s">
        <v>3</v>
      </c>
      <c r="M331" s="146" t="s">
        <v>142</v>
      </c>
      <c r="N331" s="149">
        <v>1000</v>
      </c>
      <c r="O331" s="152">
        <f>SUMIF('GUDANG BESAR'!C:C,K:K,'GUDANG BESAR'!I:I)</f>
        <v>12160</v>
      </c>
      <c r="P331" s="153">
        <f>SUMIF('GUDANG BESAR'!C:C,K:K,'GUDANG BESAR'!K:K)</f>
        <v>13497.6</v>
      </c>
      <c r="Q331" s="150">
        <v>16</v>
      </c>
      <c r="R331" s="149">
        <v>16</v>
      </c>
      <c r="S331" s="149">
        <v>0</v>
      </c>
      <c r="T331" s="145">
        <f t="shared" si="15"/>
        <v>194560</v>
      </c>
      <c r="U331" s="145">
        <f t="shared" si="16"/>
        <v>215961.60000000001</v>
      </c>
      <c r="V331" s="135" t="str">
        <f>VLOOKUP(K331,Sheet1!$B$5:$C$131,2,0)</f>
        <v>FINISHING</v>
      </c>
      <c r="W331" s="181">
        <f t="shared" si="17"/>
        <v>1.6E-2</v>
      </c>
    </row>
    <row r="332" spans="1:23" s="139" customFormat="1">
      <c r="A332" s="146" t="s">
        <v>491</v>
      </c>
      <c r="B332" s="147" t="s">
        <v>492</v>
      </c>
      <c r="C332" s="146" t="s">
        <v>137</v>
      </c>
      <c r="D332" s="146" t="s">
        <v>138</v>
      </c>
      <c r="E332" s="146" t="s">
        <v>139</v>
      </c>
      <c r="F332" s="146" t="s">
        <v>162</v>
      </c>
      <c r="G332" s="148" t="s">
        <v>214</v>
      </c>
      <c r="H332" s="146">
        <v>0</v>
      </c>
      <c r="I332" s="146">
        <v>27</v>
      </c>
      <c r="J332" s="146" t="s">
        <v>234</v>
      </c>
      <c r="K332" s="146" t="s">
        <v>233</v>
      </c>
      <c r="L332" s="148" t="s">
        <v>3</v>
      </c>
      <c r="M332" s="146" t="s">
        <v>142</v>
      </c>
      <c r="N332" s="149">
        <v>1000</v>
      </c>
      <c r="O332" s="152">
        <f>SUMIF('GUDANG BESAR'!C:C,K:K,'GUDANG BESAR'!I:I)</f>
        <v>5500</v>
      </c>
      <c r="P332" s="153">
        <f>SUMIF('GUDANG BESAR'!C:C,K:K,'GUDANG BESAR'!K:K)</f>
        <v>6105</v>
      </c>
      <c r="Q332" s="150">
        <v>500</v>
      </c>
      <c r="R332" s="149">
        <v>500</v>
      </c>
      <c r="S332" s="149">
        <v>0</v>
      </c>
      <c r="T332" s="145">
        <f t="shared" si="15"/>
        <v>2750000</v>
      </c>
      <c r="U332" s="145">
        <f t="shared" si="16"/>
        <v>3052500</v>
      </c>
      <c r="V332" s="135" t="str">
        <f>VLOOKUP(K332,Sheet1!$B$5:$C$131,2,0)</f>
        <v>LIMBAH</v>
      </c>
      <c r="W332" s="181">
        <f t="shared" si="17"/>
        <v>0.5</v>
      </c>
    </row>
    <row r="333" spans="1:23" s="139" customFormat="1">
      <c r="A333" s="146" t="s">
        <v>491</v>
      </c>
      <c r="B333" s="147" t="s">
        <v>492</v>
      </c>
      <c r="C333" s="146" t="s">
        <v>137</v>
      </c>
      <c r="D333" s="146" t="s">
        <v>138</v>
      </c>
      <c r="E333" s="146" t="s">
        <v>139</v>
      </c>
      <c r="F333" s="146" t="s">
        <v>167</v>
      </c>
      <c r="G333" s="148" t="s">
        <v>298</v>
      </c>
      <c r="H333" s="146">
        <v>0</v>
      </c>
      <c r="I333" s="146">
        <v>26</v>
      </c>
      <c r="J333" s="146" t="s">
        <v>316</v>
      </c>
      <c r="K333" s="146" t="s">
        <v>39</v>
      </c>
      <c r="L333" s="148" t="s">
        <v>3</v>
      </c>
      <c r="M333" s="146" t="s">
        <v>142</v>
      </c>
      <c r="N333" s="149">
        <v>1000</v>
      </c>
      <c r="O333" s="152">
        <f>SUMIF('GUDANG BESAR'!C:C,K:K,'GUDANG BESAR'!I:I)</f>
        <v>25235</v>
      </c>
      <c r="P333" s="153">
        <f>SUMIF('GUDANG BESAR'!C:C,K:K,'GUDANG BESAR'!K:K)</f>
        <v>28010.85</v>
      </c>
      <c r="Q333" s="150">
        <v>5.5</v>
      </c>
      <c r="R333" s="149">
        <v>5</v>
      </c>
      <c r="S333" s="149">
        <v>500</v>
      </c>
      <c r="T333" s="145">
        <f t="shared" si="15"/>
        <v>138792.5</v>
      </c>
      <c r="U333" s="145">
        <f t="shared" si="16"/>
        <v>154059.67499999999</v>
      </c>
      <c r="V333" s="135" t="str">
        <f>VLOOKUP(K333,Sheet1!$B$5:$C$131,2,0)</f>
        <v>FINISHING</v>
      </c>
      <c r="W333" s="181">
        <f t="shared" si="17"/>
        <v>5.4999999999999997E-3</v>
      </c>
    </row>
    <row r="334" spans="1:23" s="139" customFormat="1">
      <c r="A334" s="146" t="s">
        <v>491</v>
      </c>
      <c r="B334" s="147" t="s">
        <v>492</v>
      </c>
      <c r="C334" s="146" t="s">
        <v>137</v>
      </c>
      <c r="D334" s="146" t="s">
        <v>138</v>
      </c>
      <c r="E334" s="146" t="s">
        <v>139</v>
      </c>
      <c r="F334" s="146" t="s">
        <v>153</v>
      </c>
      <c r="G334" s="148" t="s">
        <v>301</v>
      </c>
      <c r="H334" s="146">
        <v>0</v>
      </c>
      <c r="I334" s="146">
        <v>16</v>
      </c>
      <c r="J334" s="146" t="s">
        <v>317</v>
      </c>
      <c r="K334" s="146" t="s">
        <v>17</v>
      </c>
      <c r="L334" s="148" t="s">
        <v>3</v>
      </c>
      <c r="M334" s="146" t="s">
        <v>142</v>
      </c>
      <c r="N334" s="149">
        <v>1000</v>
      </c>
      <c r="O334" s="152">
        <f>SUMIF('GUDANG BESAR'!C:C,K:K,'GUDANG BESAR'!I:I)</f>
        <v>25269.5</v>
      </c>
      <c r="P334" s="153">
        <f>SUMIF('GUDANG BESAR'!C:C,K:K,'GUDANG BESAR'!K:K)</f>
        <v>28049.145</v>
      </c>
      <c r="Q334" s="150">
        <v>82</v>
      </c>
      <c r="R334" s="149">
        <v>82</v>
      </c>
      <c r="S334" s="149">
        <v>0</v>
      </c>
      <c r="T334" s="145">
        <f t="shared" si="15"/>
        <v>2072099</v>
      </c>
      <c r="U334" s="145">
        <f t="shared" si="16"/>
        <v>2300029.89</v>
      </c>
      <c r="V334" s="135" t="str">
        <f>VLOOKUP(K334,Sheet1!$B$5:$C$131,2,0)</f>
        <v>DYEING</v>
      </c>
      <c r="W334" s="181">
        <f t="shared" si="17"/>
        <v>8.2000000000000003E-2</v>
      </c>
    </row>
    <row r="335" spans="1:23" s="139" customFormat="1">
      <c r="A335" s="146" t="s">
        <v>491</v>
      </c>
      <c r="B335" s="147" t="s">
        <v>492</v>
      </c>
      <c r="C335" s="146" t="s">
        <v>137</v>
      </c>
      <c r="D335" s="146" t="s">
        <v>138</v>
      </c>
      <c r="E335" s="146" t="s">
        <v>139</v>
      </c>
      <c r="F335" s="146" t="s">
        <v>153</v>
      </c>
      <c r="G335" s="148" t="s">
        <v>301</v>
      </c>
      <c r="H335" s="146">
        <v>0</v>
      </c>
      <c r="I335" s="146">
        <v>15</v>
      </c>
      <c r="J335" s="146" t="s">
        <v>251</v>
      </c>
      <c r="K335" s="146" t="s">
        <v>249</v>
      </c>
      <c r="L335" s="148" t="s">
        <v>3</v>
      </c>
      <c r="M335" s="146" t="s">
        <v>142</v>
      </c>
      <c r="N335" s="149">
        <v>1000</v>
      </c>
      <c r="O335" s="152">
        <f>SUMIF('GUDANG BESAR'!C:C,K:K,'GUDANG BESAR'!I:I)</f>
        <v>9119.6</v>
      </c>
      <c r="P335" s="153">
        <f>SUMIF('GUDANG BESAR'!C:C,K:K,'GUDANG BESAR'!K:K)</f>
        <v>10122.756000000001</v>
      </c>
      <c r="Q335" s="150">
        <v>30</v>
      </c>
      <c r="R335" s="149">
        <v>30</v>
      </c>
      <c r="S335" s="149">
        <v>0</v>
      </c>
      <c r="T335" s="145">
        <f t="shared" si="15"/>
        <v>273588</v>
      </c>
      <c r="U335" s="145">
        <f t="shared" si="16"/>
        <v>303682.68000000005</v>
      </c>
      <c r="V335" s="135" t="str">
        <f>VLOOKUP(K335,Sheet1!$B$5:$C$131,2,0)</f>
        <v>DYEING</v>
      </c>
      <c r="W335" s="181">
        <f t="shared" si="17"/>
        <v>0.03</v>
      </c>
    </row>
    <row r="336" spans="1:23" s="139" customFormat="1">
      <c r="A336" s="146" t="s">
        <v>491</v>
      </c>
      <c r="B336" s="147" t="s">
        <v>492</v>
      </c>
      <c r="C336" s="146" t="s">
        <v>137</v>
      </c>
      <c r="D336" s="146" t="s">
        <v>138</v>
      </c>
      <c r="E336" s="146" t="s">
        <v>139</v>
      </c>
      <c r="F336" s="146" t="s">
        <v>167</v>
      </c>
      <c r="G336" s="148" t="s">
        <v>301</v>
      </c>
      <c r="H336" s="146">
        <v>0</v>
      </c>
      <c r="I336" s="146">
        <v>25</v>
      </c>
      <c r="J336" s="146" t="s">
        <v>168</v>
      </c>
      <c r="K336" s="146" t="s">
        <v>34</v>
      </c>
      <c r="L336" s="148" t="s">
        <v>3</v>
      </c>
      <c r="M336" s="146" t="s">
        <v>142</v>
      </c>
      <c r="N336" s="149">
        <v>1000</v>
      </c>
      <c r="O336" s="152">
        <f>SUMIF('GUDANG BESAR'!C:C,K:K,'GUDANG BESAR'!I:I)</f>
        <v>68397</v>
      </c>
      <c r="P336" s="153">
        <f>SUMIF('GUDANG BESAR'!C:C,K:K,'GUDANG BESAR'!K:K)</f>
        <v>75920.67</v>
      </c>
      <c r="Q336" s="150">
        <v>2.5</v>
      </c>
      <c r="R336" s="149">
        <v>2</v>
      </c>
      <c r="S336" s="149">
        <v>500</v>
      </c>
      <c r="T336" s="145">
        <f t="shared" si="15"/>
        <v>170992.5</v>
      </c>
      <c r="U336" s="145">
        <f t="shared" si="16"/>
        <v>189801.67499999999</v>
      </c>
      <c r="V336" s="135" t="str">
        <f>VLOOKUP(K336,Sheet1!$B$5:$C$131,2,0)</f>
        <v>DYEING</v>
      </c>
      <c r="W336" s="181">
        <f t="shared" si="17"/>
        <v>2.5000000000000001E-3</v>
      </c>
    </row>
    <row r="337" spans="1:23" s="139" customFormat="1">
      <c r="A337" s="146" t="s">
        <v>491</v>
      </c>
      <c r="B337" s="147" t="s">
        <v>492</v>
      </c>
      <c r="C337" s="146" t="s">
        <v>137</v>
      </c>
      <c r="D337" s="146" t="s">
        <v>138</v>
      </c>
      <c r="E337" s="146" t="s">
        <v>139</v>
      </c>
      <c r="F337" s="146" t="s">
        <v>162</v>
      </c>
      <c r="G337" s="148" t="s">
        <v>214</v>
      </c>
      <c r="H337" s="146">
        <v>0</v>
      </c>
      <c r="I337" s="146">
        <v>32</v>
      </c>
      <c r="J337" s="146" t="s">
        <v>165</v>
      </c>
      <c r="K337" s="146" t="s">
        <v>80</v>
      </c>
      <c r="L337" s="148" t="s">
        <v>3</v>
      </c>
      <c r="M337" s="146" t="s">
        <v>142</v>
      </c>
      <c r="N337" s="149">
        <v>1000</v>
      </c>
      <c r="O337" s="152">
        <f>SUMIF('GUDANG BESAR'!C:C,K:K,'GUDANG BESAR'!I:I)</f>
        <v>1550000</v>
      </c>
      <c r="P337" s="153">
        <f>SUMIF('GUDANG BESAR'!C:C,K:K,'GUDANG BESAR'!K:K)</f>
        <v>1720500</v>
      </c>
      <c r="Q337" s="150">
        <v>0.05</v>
      </c>
      <c r="R337" s="149">
        <v>0</v>
      </c>
      <c r="S337" s="149">
        <v>50</v>
      </c>
      <c r="T337" s="145">
        <f t="shared" si="15"/>
        <v>77500</v>
      </c>
      <c r="U337" s="145">
        <f t="shared" si="16"/>
        <v>86025</v>
      </c>
      <c r="V337" s="135" t="str">
        <f>VLOOKUP(K337,Sheet1!$B$5:$C$131,2,0)</f>
        <v>LIMBAH</v>
      </c>
      <c r="W337" s="181">
        <f t="shared" si="17"/>
        <v>5.0000000000000002E-5</v>
      </c>
    </row>
    <row r="338" spans="1:23" s="139" customFormat="1">
      <c r="A338" s="146" t="s">
        <v>491</v>
      </c>
      <c r="B338" s="147" t="s">
        <v>492</v>
      </c>
      <c r="C338" s="146" t="s">
        <v>137</v>
      </c>
      <c r="D338" s="146" t="s">
        <v>138</v>
      </c>
      <c r="E338" s="146" t="s">
        <v>139</v>
      </c>
      <c r="F338" s="146" t="s">
        <v>162</v>
      </c>
      <c r="G338" s="148" t="s">
        <v>214</v>
      </c>
      <c r="H338" s="146">
        <v>0</v>
      </c>
      <c r="I338" s="146">
        <v>31</v>
      </c>
      <c r="J338" s="146" t="s">
        <v>164</v>
      </c>
      <c r="K338" s="146" t="s">
        <v>74</v>
      </c>
      <c r="L338" s="148" t="s">
        <v>5</v>
      </c>
      <c r="M338" s="146" t="s">
        <v>142</v>
      </c>
      <c r="N338" s="149">
        <v>1000</v>
      </c>
      <c r="O338" s="152">
        <f>SUMIF('GUDANG BESAR'!C:C,K:K,'GUDANG BESAR'!I:I)</f>
        <v>13180</v>
      </c>
      <c r="P338" s="153">
        <f>SUMIF('GUDANG BESAR'!C:C,K:K,'GUDANG BESAR'!K:K)</f>
        <v>14629.8</v>
      </c>
      <c r="Q338" s="150">
        <v>15</v>
      </c>
      <c r="R338" s="149">
        <v>15</v>
      </c>
      <c r="S338" s="149">
        <v>0</v>
      </c>
      <c r="T338" s="145">
        <f t="shared" si="15"/>
        <v>197700</v>
      </c>
      <c r="U338" s="145">
        <f t="shared" si="16"/>
        <v>219447</v>
      </c>
      <c r="V338" s="135" t="str">
        <f>VLOOKUP(K338,Sheet1!$B$5:$C$131,2,0)</f>
        <v>LIMBAH</v>
      </c>
      <c r="W338" s="181">
        <f t="shared" si="17"/>
        <v>1.4999999999999999E-2</v>
      </c>
    </row>
    <row r="339" spans="1:23" s="139" customFormat="1">
      <c r="A339" s="146" t="s">
        <v>491</v>
      </c>
      <c r="B339" s="147" t="s">
        <v>492</v>
      </c>
      <c r="C339" s="146" t="s">
        <v>137</v>
      </c>
      <c r="D339" s="146" t="s">
        <v>138</v>
      </c>
      <c r="E339" s="146" t="s">
        <v>139</v>
      </c>
      <c r="F339" s="146" t="s">
        <v>162</v>
      </c>
      <c r="G339" s="148" t="s">
        <v>214</v>
      </c>
      <c r="H339" s="146">
        <v>0</v>
      </c>
      <c r="I339" s="146">
        <v>28</v>
      </c>
      <c r="J339" s="146" t="s">
        <v>262</v>
      </c>
      <c r="K339" s="146" t="s">
        <v>258</v>
      </c>
      <c r="L339" s="148" t="s">
        <v>3</v>
      </c>
      <c r="M339" s="146" t="s">
        <v>142</v>
      </c>
      <c r="N339" s="149">
        <v>1000</v>
      </c>
      <c r="O339" s="152">
        <f>SUMIF('GUDANG BESAR'!C:C,K:K,'GUDANG BESAR'!I:I)</f>
        <v>33000</v>
      </c>
      <c r="P339" s="153">
        <f>SUMIF('GUDANG BESAR'!C:C,K:K,'GUDANG BESAR'!K:K)</f>
        <v>36630</v>
      </c>
      <c r="Q339" s="150">
        <v>11</v>
      </c>
      <c r="R339" s="149">
        <v>11</v>
      </c>
      <c r="S339" s="149">
        <v>0</v>
      </c>
      <c r="T339" s="145">
        <f t="shared" si="15"/>
        <v>363000</v>
      </c>
      <c r="U339" s="145">
        <f t="shared" si="16"/>
        <v>402930</v>
      </c>
      <c r="V339" s="135" t="str">
        <f>VLOOKUP(K339,Sheet1!$B$5:$C$131,2,0)</f>
        <v>LIMBAH</v>
      </c>
      <c r="W339" s="181">
        <f t="shared" si="17"/>
        <v>1.0999999999999999E-2</v>
      </c>
    </row>
    <row r="340" spans="1:23" s="139" customFormat="1">
      <c r="A340" s="146" t="s">
        <v>491</v>
      </c>
      <c r="B340" s="147" t="s">
        <v>492</v>
      </c>
      <c r="C340" s="146" t="s">
        <v>137</v>
      </c>
      <c r="D340" s="146" t="s">
        <v>138</v>
      </c>
      <c r="E340" s="146" t="s">
        <v>139</v>
      </c>
      <c r="F340" s="146" t="s">
        <v>162</v>
      </c>
      <c r="G340" s="148" t="s">
        <v>214</v>
      </c>
      <c r="H340" s="146">
        <v>0</v>
      </c>
      <c r="I340" s="146">
        <v>29</v>
      </c>
      <c r="J340" s="146" t="s">
        <v>263</v>
      </c>
      <c r="K340" s="146" t="s">
        <v>259</v>
      </c>
      <c r="L340" s="148" t="s">
        <v>3</v>
      </c>
      <c r="M340" s="146" t="s">
        <v>142</v>
      </c>
      <c r="N340" s="149">
        <v>1000</v>
      </c>
      <c r="O340" s="152">
        <f>SUMIF('GUDANG BESAR'!C:C,K:K,'GUDANG BESAR'!I:I)</f>
        <v>47500</v>
      </c>
      <c r="P340" s="153">
        <f>SUMIF('GUDANG BESAR'!C:C,K:K,'GUDANG BESAR'!K:K)</f>
        <v>52725</v>
      </c>
      <c r="Q340" s="150">
        <v>5</v>
      </c>
      <c r="R340" s="149">
        <v>5</v>
      </c>
      <c r="S340" s="149">
        <v>0</v>
      </c>
      <c r="T340" s="145">
        <f t="shared" si="15"/>
        <v>237500</v>
      </c>
      <c r="U340" s="145">
        <f t="shared" si="16"/>
        <v>263625</v>
      </c>
      <c r="V340" s="135" t="str">
        <f>VLOOKUP(K340,Sheet1!$B$5:$C$131,2,0)</f>
        <v>LIMBAH</v>
      </c>
      <c r="W340" s="181">
        <f t="shared" si="17"/>
        <v>5.0000000000000001E-3</v>
      </c>
    </row>
    <row r="341" spans="1:23" s="139" customFormat="1">
      <c r="A341" s="146" t="s">
        <v>491</v>
      </c>
      <c r="B341" s="147" t="s">
        <v>492</v>
      </c>
      <c r="C341" s="146" t="s">
        <v>137</v>
      </c>
      <c r="D341" s="146" t="s">
        <v>138</v>
      </c>
      <c r="E341" s="146" t="s">
        <v>139</v>
      </c>
      <c r="F341" s="146" t="s">
        <v>153</v>
      </c>
      <c r="G341" s="148" t="s">
        <v>301</v>
      </c>
      <c r="H341" s="146">
        <v>0</v>
      </c>
      <c r="I341" s="146">
        <v>20</v>
      </c>
      <c r="J341" s="146" t="s">
        <v>247</v>
      </c>
      <c r="K341" s="146" t="s">
        <v>79</v>
      </c>
      <c r="L341" s="148" t="s">
        <v>3</v>
      </c>
      <c r="M341" s="146" t="s">
        <v>142</v>
      </c>
      <c r="N341" s="149">
        <v>1000</v>
      </c>
      <c r="O341" s="152">
        <f>SUMIF('GUDANG BESAR'!C:C,K:K,'GUDANG BESAR'!I:I)</f>
        <v>21203</v>
      </c>
      <c r="P341" s="153">
        <f>SUMIF('GUDANG BESAR'!C:C,K:K,'GUDANG BESAR'!K:K)</f>
        <v>23535.33</v>
      </c>
      <c r="Q341" s="150">
        <v>16</v>
      </c>
      <c r="R341" s="149">
        <v>16</v>
      </c>
      <c r="S341" s="149">
        <v>0</v>
      </c>
      <c r="T341" s="145">
        <f t="shared" si="15"/>
        <v>339248</v>
      </c>
      <c r="U341" s="145">
        <f t="shared" si="16"/>
        <v>376565.28</v>
      </c>
      <c r="V341" s="135" t="str">
        <f>VLOOKUP(K341,Sheet1!$B$5:$C$131,2,0)</f>
        <v>DYEING</v>
      </c>
      <c r="W341" s="181">
        <f t="shared" si="17"/>
        <v>1.6E-2</v>
      </c>
    </row>
    <row r="342" spans="1:23" s="139" customFormat="1">
      <c r="A342" s="146" t="s">
        <v>493</v>
      </c>
      <c r="B342" s="147" t="s">
        <v>494</v>
      </c>
      <c r="C342" s="146" t="s">
        <v>137</v>
      </c>
      <c r="D342" s="146" t="s">
        <v>138</v>
      </c>
      <c r="E342" s="146" t="s">
        <v>139</v>
      </c>
      <c r="F342" s="146" t="s">
        <v>153</v>
      </c>
      <c r="G342" s="148" t="s">
        <v>298</v>
      </c>
      <c r="H342" s="146">
        <v>0</v>
      </c>
      <c r="I342" s="146">
        <v>25</v>
      </c>
      <c r="J342" s="146" t="s">
        <v>315</v>
      </c>
      <c r="K342" s="146" t="s">
        <v>47</v>
      </c>
      <c r="L342" s="148" t="s">
        <v>3</v>
      </c>
      <c r="M342" s="146" t="s">
        <v>142</v>
      </c>
      <c r="N342" s="149">
        <v>1000</v>
      </c>
      <c r="O342" s="152">
        <f>SUMIF('GUDANG BESAR'!C:C,K:K,'GUDANG BESAR'!I:I)</f>
        <v>13000</v>
      </c>
      <c r="P342" s="153">
        <f>SUMIF('GUDANG BESAR'!C:C,K:K,'GUDANG BESAR'!K:K)</f>
        <v>14430</v>
      </c>
      <c r="Q342" s="150">
        <v>3</v>
      </c>
      <c r="R342" s="149">
        <v>3</v>
      </c>
      <c r="S342" s="149">
        <v>0</v>
      </c>
      <c r="T342" s="145">
        <f t="shared" si="15"/>
        <v>39000</v>
      </c>
      <c r="U342" s="145">
        <f t="shared" si="16"/>
        <v>43290</v>
      </c>
      <c r="V342" s="135" t="str">
        <f>VLOOKUP(K342,Sheet1!$B$5:$C$131,2,0)</f>
        <v>FINISHING</v>
      </c>
      <c r="W342" s="181">
        <f t="shared" si="17"/>
        <v>3.0000000000000001E-3</v>
      </c>
    </row>
    <row r="343" spans="1:23" s="139" customFormat="1">
      <c r="A343" s="146" t="s">
        <v>493</v>
      </c>
      <c r="B343" s="147" t="s">
        <v>494</v>
      </c>
      <c r="C343" s="146" t="s">
        <v>137</v>
      </c>
      <c r="D343" s="146" t="s">
        <v>138</v>
      </c>
      <c r="E343" s="146" t="s">
        <v>139</v>
      </c>
      <c r="F343" s="146" t="s">
        <v>166</v>
      </c>
      <c r="G343" s="148" t="s">
        <v>336</v>
      </c>
      <c r="H343" s="146">
        <v>0</v>
      </c>
      <c r="I343" s="146">
        <v>27</v>
      </c>
      <c r="J343" s="146" t="s">
        <v>157</v>
      </c>
      <c r="K343" s="146" t="s">
        <v>48</v>
      </c>
      <c r="L343" s="148" t="s">
        <v>93</v>
      </c>
      <c r="M343" s="146" t="s">
        <v>158</v>
      </c>
      <c r="N343" s="149">
        <v>1000</v>
      </c>
      <c r="O343" s="152">
        <f>SUMIF('GUDANG BESAR'!C:C,K:K,'GUDANG BESAR'!I:I)</f>
        <v>18500</v>
      </c>
      <c r="P343" s="153">
        <f>SUMIF('GUDANG BESAR'!C:C,K:K,'GUDANG BESAR'!K:K)</f>
        <v>20535</v>
      </c>
      <c r="Q343" s="150">
        <v>40</v>
      </c>
      <c r="R343" s="149">
        <v>40</v>
      </c>
      <c r="S343" s="149">
        <v>0</v>
      </c>
      <c r="T343" s="145">
        <f t="shared" si="15"/>
        <v>740000</v>
      </c>
      <c r="U343" s="145">
        <f t="shared" si="16"/>
        <v>821400</v>
      </c>
      <c r="V343" s="135" t="str">
        <f>VLOOKUP(K343,Sheet1!$B$5:$C$131,2,0)</f>
        <v>ENGGRAVING</v>
      </c>
      <c r="W343" s="181">
        <f t="shared" si="17"/>
        <v>0.04</v>
      </c>
    </row>
    <row r="344" spans="1:23" s="139" customFormat="1">
      <c r="A344" s="146" t="s">
        <v>493</v>
      </c>
      <c r="B344" s="147" t="s">
        <v>494</v>
      </c>
      <c r="C344" s="146" t="s">
        <v>137</v>
      </c>
      <c r="D344" s="146" t="s">
        <v>138</v>
      </c>
      <c r="E344" s="146" t="s">
        <v>139</v>
      </c>
      <c r="F344" s="146" t="s">
        <v>153</v>
      </c>
      <c r="G344" s="148" t="s">
        <v>299</v>
      </c>
      <c r="H344" s="146">
        <v>0</v>
      </c>
      <c r="I344" s="146">
        <v>18</v>
      </c>
      <c r="J344" s="146" t="s">
        <v>154</v>
      </c>
      <c r="K344" s="146" t="s">
        <v>23</v>
      </c>
      <c r="L344" s="148" t="s">
        <v>3</v>
      </c>
      <c r="M344" s="146" t="s">
        <v>142</v>
      </c>
      <c r="N344" s="149">
        <v>1000</v>
      </c>
      <c r="O344" s="152">
        <f>SUMIF('GUDANG BESAR'!C:C,K:K,'GUDANG BESAR'!I:I)</f>
        <v>28844</v>
      </c>
      <c r="P344" s="153">
        <f>SUMIF('GUDANG BESAR'!C:C,K:K,'GUDANG BESAR'!K:K)</f>
        <v>32016.84</v>
      </c>
      <c r="Q344" s="150">
        <v>100</v>
      </c>
      <c r="R344" s="149">
        <v>100</v>
      </c>
      <c r="S344" s="149">
        <v>0</v>
      </c>
      <c r="T344" s="145">
        <f t="shared" si="15"/>
        <v>2884400</v>
      </c>
      <c r="U344" s="145">
        <f t="shared" si="16"/>
        <v>3201684</v>
      </c>
      <c r="V344" s="135" t="str">
        <f>VLOOKUP(K344,Sheet1!$B$5:$C$131,2,0)</f>
        <v>RC</v>
      </c>
      <c r="W344" s="181">
        <f t="shared" si="17"/>
        <v>0.1</v>
      </c>
    </row>
    <row r="345" spans="1:23" s="139" customFormat="1">
      <c r="A345" s="146" t="s">
        <v>493</v>
      </c>
      <c r="B345" s="147" t="s">
        <v>494</v>
      </c>
      <c r="C345" s="146" t="s">
        <v>137</v>
      </c>
      <c r="D345" s="146" t="s">
        <v>138</v>
      </c>
      <c r="E345" s="146" t="s">
        <v>139</v>
      </c>
      <c r="F345" s="146" t="s">
        <v>162</v>
      </c>
      <c r="G345" s="148" t="s">
        <v>214</v>
      </c>
      <c r="H345" s="146">
        <v>0</v>
      </c>
      <c r="I345" s="146">
        <v>35</v>
      </c>
      <c r="J345" s="146" t="s">
        <v>240</v>
      </c>
      <c r="K345" s="146" t="s">
        <v>237</v>
      </c>
      <c r="L345" s="148" t="s">
        <v>3</v>
      </c>
      <c r="M345" s="146" t="s">
        <v>142</v>
      </c>
      <c r="N345" s="149">
        <v>1000</v>
      </c>
      <c r="O345" s="152">
        <f>SUMIF('GUDANG BESAR'!C:C,K:K,'GUDANG BESAR'!I:I)</f>
        <v>14750</v>
      </c>
      <c r="P345" s="153">
        <f>SUMIF('GUDANG BESAR'!C:C,K:K,'GUDANG BESAR'!K:K)</f>
        <v>16372.5</v>
      </c>
      <c r="Q345" s="150">
        <v>25</v>
      </c>
      <c r="R345" s="149">
        <v>25</v>
      </c>
      <c r="S345" s="149">
        <v>0</v>
      </c>
      <c r="T345" s="145">
        <f t="shared" si="15"/>
        <v>368750</v>
      </c>
      <c r="U345" s="145">
        <f t="shared" si="16"/>
        <v>409312.5</v>
      </c>
      <c r="V345" s="135" t="str">
        <f>VLOOKUP(K345,Sheet1!$B$5:$C$131,2,0)</f>
        <v>LIMBAH</v>
      </c>
      <c r="W345" s="181">
        <f t="shared" si="17"/>
        <v>2.5000000000000001E-2</v>
      </c>
    </row>
    <row r="346" spans="1:23" s="139" customFormat="1">
      <c r="A346" s="146" t="s">
        <v>493</v>
      </c>
      <c r="B346" s="147" t="s">
        <v>494</v>
      </c>
      <c r="C346" s="146" t="s">
        <v>137</v>
      </c>
      <c r="D346" s="146" t="s">
        <v>138</v>
      </c>
      <c r="E346" s="146" t="s">
        <v>139</v>
      </c>
      <c r="F346" s="146" t="s">
        <v>140</v>
      </c>
      <c r="G346" s="148" t="s">
        <v>300</v>
      </c>
      <c r="H346" s="146">
        <v>0</v>
      </c>
      <c r="I346" s="146">
        <v>16</v>
      </c>
      <c r="J346" s="146" t="s">
        <v>149</v>
      </c>
      <c r="K346" s="146" t="s">
        <v>24</v>
      </c>
      <c r="L346" s="148" t="s">
        <v>3</v>
      </c>
      <c r="M346" s="146" t="s">
        <v>142</v>
      </c>
      <c r="N346" s="149">
        <v>1000</v>
      </c>
      <c r="O346" s="152">
        <f>SUMIF('GUDANG BESAR'!C:C,K:K,'GUDANG BESAR'!I:I)</f>
        <v>12250</v>
      </c>
      <c r="P346" s="153">
        <f>SUMIF('GUDANG BESAR'!C:C,K:K,'GUDANG BESAR'!K:K)</f>
        <v>13597.5</v>
      </c>
      <c r="Q346" s="150">
        <v>2</v>
      </c>
      <c r="R346" s="149">
        <v>2</v>
      </c>
      <c r="S346" s="149">
        <v>0</v>
      </c>
      <c r="T346" s="145">
        <f t="shared" si="15"/>
        <v>24500</v>
      </c>
      <c r="U346" s="145">
        <f t="shared" si="16"/>
        <v>27195</v>
      </c>
      <c r="V346" s="135" t="str">
        <f>VLOOKUP(K346,Sheet1!$B$5:$C$131,2,0)</f>
        <v>CK</v>
      </c>
      <c r="W346" s="181">
        <f t="shared" si="17"/>
        <v>2E-3</v>
      </c>
    </row>
    <row r="347" spans="1:23" s="139" customFormat="1">
      <c r="A347" s="146" t="s">
        <v>493</v>
      </c>
      <c r="B347" s="147" t="s">
        <v>494</v>
      </c>
      <c r="C347" s="146" t="s">
        <v>137</v>
      </c>
      <c r="D347" s="146" t="s">
        <v>138</v>
      </c>
      <c r="E347" s="146" t="s">
        <v>139</v>
      </c>
      <c r="F347" s="146" t="s">
        <v>153</v>
      </c>
      <c r="G347" s="148" t="s">
        <v>299</v>
      </c>
      <c r="H347" s="146">
        <v>0</v>
      </c>
      <c r="I347" s="146">
        <v>19</v>
      </c>
      <c r="J347" s="146" t="s">
        <v>155</v>
      </c>
      <c r="K347" s="146" t="s">
        <v>33</v>
      </c>
      <c r="L347" s="148" t="s">
        <v>3</v>
      </c>
      <c r="M347" s="146" t="s">
        <v>142</v>
      </c>
      <c r="N347" s="149">
        <v>1000</v>
      </c>
      <c r="O347" s="152">
        <f>SUMIF('GUDANG BESAR'!C:C,K:K,'GUDANG BESAR'!I:I)</f>
        <v>11087.5</v>
      </c>
      <c r="P347" s="153">
        <f>SUMIF('GUDANG BESAR'!C:C,K:K,'GUDANG BESAR'!K:K)</f>
        <v>12307.125</v>
      </c>
      <c r="Q347" s="150">
        <v>95</v>
      </c>
      <c r="R347" s="149">
        <v>95</v>
      </c>
      <c r="S347" s="149">
        <v>0</v>
      </c>
      <c r="T347" s="145">
        <f t="shared" si="15"/>
        <v>1053312.5</v>
      </c>
      <c r="U347" s="145">
        <f t="shared" si="16"/>
        <v>1169176.875</v>
      </c>
      <c r="V347" s="135" t="str">
        <f>VLOOKUP(K347,Sheet1!$B$5:$C$131,2,0)</f>
        <v>RC</v>
      </c>
      <c r="W347" s="181">
        <f t="shared" si="17"/>
        <v>9.5000000000000001E-2</v>
      </c>
    </row>
    <row r="348" spans="1:23" s="139" customFormat="1">
      <c r="A348" s="146" t="s">
        <v>493</v>
      </c>
      <c r="B348" s="147" t="s">
        <v>494</v>
      </c>
      <c r="C348" s="146" t="s">
        <v>137</v>
      </c>
      <c r="D348" s="146" t="s">
        <v>138</v>
      </c>
      <c r="E348" s="146" t="s">
        <v>139</v>
      </c>
      <c r="F348" s="146" t="s">
        <v>140</v>
      </c>
      <c r="G348" s="148" t="s">
        <v>303</v>
      </c>
      <c r="H348" s="146">
        <v>0</v>
      </c>
      <c r="I348" s="146">
        <v>1</v>
      </c>
      <c r="J348" s="146" t="s">
        <v>141</v>
      </c>
      <c r="K348" s="146" t="s">
        <v>37</v>
      </c>
      <c r="L348" s="148" t="s">
        <v>3</v>
      </c>
      <c r="M348" s="146" t="s">
        <v>142</v>
      </c>
      <c r="N348" s="149">
        <v>1000</v>
      </c>
      <c r="O348" s="152">
        <f>SUMIF('GUDANG BESAR'!C:C,K:K,'GUDANG BESAR'!I:I)</f>
        <v>51276</v>
      </c>
      <c r="P348" s="153">
        <f>SUMIF('GUDANG BESAR'!C:C,K:K,'GUDANG BESAR'!K:K)</f>
        <v>56916.36</v>
      </c>
      <c r="Q348" s="150">
        <v>6.8</v>
      </c>
      <c r="R348" s="149">
        <v>6</v>
      </c>
      <c r="S348" s="149">
        <v>800</v>
      </c>
      <c r="T348" s="145">
        <f t="shared" si="15"/>
        <v>348676.8</v>
      </c>
      <c r="U348" s="145">
        <f t="shared" si="16"/>
        <v>387031.24800000002</v>
      </c>
      <c r="V348" s="135" t="str">
        <f>VLOOKUP(K348,Sheet1!$B$5:$C$131,2,0)</f>
        <v>DYESTUFF</v>
      </c>
      <c r="W348" s="181">
        <f t="shared" si="17"/>
        <v>6.7999999999999996E-3</v>
      </c>
    </row>
    <row r="349" spans="1:23" s="139" customFormat="1">
      <c r="A349" s="146" t="s">
        <v>493</v>
      </c>
      <c r="B349" s="147" t="s">
        <v>494</v>
      </c>
      <c r="C349" s="146" t="s">
        <v>137</v>
      </c>
      <c r="D349" s="146" t="s">
        <v>138</v>
      </c>
      <c r="E349" s="146" t="s">
        <v>139</v>
      </c>
      <c r="F349" s="146" t="s">
        <v>140</v>
      </c>
      <c r="G349" s="148" t="s">
        <v>303</v>
      </c>
      <c r="H349" s="146">
        <v>0</v>
      </c>
      <c r="I349" s="146">
        <v>4</v>
      </c>
      <c r="J349" s="146" t="s">
        <v>143</v>
      </c>
      <c r="K349" s="146" t="s">
        <v>90</v>
      </c>
      <c r="L349" s="148" t="s">
        <v>3</v>
      </c>
      <c r="M349" s="146" t="s">
        <v>142</v>
      </c>
      <c r="N349" s="149">
        <v>1000</v>
      </c>
      <c r="O349" s="152">
        <f>SUMIF('GUDANG BESAR'!C:C,K:K,'GUDANG BESAR'!I:I)</f>
        <v>194556</v>
      </c>
      <c r="P349" s="153">
        <f>SUMIF('GUDANG BESAR'!C:C,K:K,'GUDANG BESAR'!K:K)</f>
        <v>215957.16</v>
      </c>
      <c r="Q349" s="150">
        <v>1.633</v>
      </c>
      <c r="R349" s="149">
        <v>1</v>
      </c>
      <c r="S349" s="149">
        <v>633</v>
      </c>
      <c r="T349" s="145">
        <f t="shared" si="15"/>
        <v>317709.94799999997</v>
      </c>
      <c r="U349" s="145">
        <f t="shared" si="16"/>
        <v>352658.04227999999</v>
      </c>
      <c r="V349" s="135" t="str">
        <f>VLOOKUP(K349,Sheet1!$B$5:$C$131,2,0)</f>
        <v>DYESTUFF</v>
      </c>
      <c r="W349" s="181">
        <f t="shared" si="17"/>
        <v>1.6329999999999999E-3</v>
      </c>
    </row>
    <row r="350" spans="1:23" s="139" customFormat="1">
      <c r="A350" s="146" t="s">
        <v>493</v>
      </c>
      <c r="B350" s="147" t="s">
        <v>494</v>
      </c>
      <c r="C350" s="146" t="s">
        <v>137</v>
      </c>
      <c r="D350" s="146" t="s">
        <v>138</v>
      </c>
      <c r="E350" s="146" t="s">
        <v>139</v>
      </c>
      <c r="F350" s="146" t="s">
        <v>140</v>
      </c>
      <c r="G350" s="148" t="s">
        <v>303</v>
      </c>
      <c r="H350" s="146">
        <v>0</v>
      </c>
      <c r="I350" s="146">
        <v>2</v>
      </c>
      <c r="J350" s="146" t="s">
        <v>346</v>
      </c>
      <c r="K350" s="146" t="s">
        <v>343</v>
      </c>
      <c r="L350" s="148" t="s">
        <v>3</v>
      </c>
      <c r="M350" s="146" t="s">
        <v>142</v>
      </c>
      <c r="N350" s="149">
        <v>1000</v>
      </c>
      <c r="O350" s="152">
        <f>SUMIF('GUDANG BESAR'!C:C,K:K,'GUDANG BESAR'!I:I)</f>
        <v>60680</v>
      </c>
      <c r="P350" s="153">
        <f>SUMIF('GUDANG BESAR'!C:C,K:K,'GUDANG BESAR'!K:K)</f>
        <v>67354.8</v>
      </c>
      <c r="Q350" s="150">
        <v>12.057</v>
      </c>
      <c r="R350" s="149">
        <v>12</v>
      </c>
      <c r="S350" s="149">
        <v>57</v>
      </c>
      <c r="T350" s="145">
        <f t="shared" si="15"/>
        <v>731618.76</v>
      </c>
      <c r="U350" s="145">
        <f t="shared" si="16"/>
        <v>812096.8236</v>
      </c>
      <c r="V350" s="135" t="str">
        <f>VLOOKUP(K350,Sheet1!$B$5:$C$131,2,0)</f>
        <v>DYESTUFF</v>
      </c>
      <c r="W350" s="181">
        <f t="shared" si="17"/>
        <v>1.2057E-2</v>
      </c>
    </row>
    <row r="351" spans="1:23" s="139" customFormat="1">
      <c r="A351" s="146" t="s">
        <v>493</v>
      </c>
      <c r="B351" s="147" t="s">
        <v>494</v>
      </c>
      <c r="C351" s="146" t="s">
        <v>137</v>
      </c>
      <c r="D351" s="146" t="s">
        <v>138</v>
      </c>
      <c r="E351" s="146" t="s">
        <v>139</v>
      </c>
      <c r="F351" s="146" t="s">
        <v>140</v>
      </c>
      <c r="G351" s="148" t="s">
        <v>303</v>
      </c>
      <c r="H351" s="146">
        <v>0</v>
      </c>
      <c r="I351" s="146">
        <v>11</v>
      </c>
      <c r="J351" s="146" t="s">
        <v>151</v>
      </c>
      <c r="K351" s="146" t="s">
        <v>28</v>
      </c>
      <c r="L351" s="148" t="s">
        <v>3</v>
      </c>
      <c r="M351" s="146" t="s">
        <v>142</v>
      </c>
      <c r="N351" s="149">
        <v>1000</v>
      </c>
      <c r="O351" s="152">
        <f>SUMIF('GUDANG BESAR'!C:C,K:K,'GUDANG BESAR'!I:I)</f>
        <v>413967</v>
      </c>
      <c r="P351" s="153">
        <f>SUMIF('GUDANG BESAR'!C:C,K:K,'GUDANG BESAR'!K:K)</f>
        <v>459503.37</v>
      </c>
      <c r="Q351" s="150">
        <v>0.109</v>
      </c>
      <c r="R351" s="149">
        <v>0</v>
      </c>
      <c r="S351" s="149">
        <v>109</v>
      </c>
      <c r="T351" s="145">
        <f t="shared" si="15"/>
        <v>45122.402999999998</v>
      </c>
      <c r="U351" s="145">
        <f t="shared" si="16"/>
        <v>50085.867330000001</v>
      </c>
      <c r="V351" s="135" t="str">
        <f>VLOOKUP(K351,Sheet1!$B$5:$C$131,2,0)</f>
        <v>DYESTUFF</v>
      </c>
      <c r="W351" s="181">
        <f t="shared" si="17"/>
        <v>1.0899999999999999E-4</v>
      </c>
    </row>
    <row r="352" spans="1:23" s="139" customFormat="1">
      <c r="A352" s="146" t="s">
        <v>493</v>
      </c>
      <c r="B352" s="147" t="s">
        <v>494</v>
      </c>
      <c r="C352" s="146" t="s">
        <v>137</v>
      </c>
      <c r="D352" s="146" t="s">
        <v>138</v>
      </c>
      <c r="E352" s="146" t="s">
        <v>139</v>
      </c>
      <c r="F352" s="146" t="s">
        <v>140</v>
      </c>
      <c r="G352" s="148" t="s">
        <v>303</v>
      </c>
      <c r="H352" s="146">
        <v>0</v>
      </c>
      <c r="I352" s="146">
        <v>3</v>
      </c>
      <c r="J352" s="146" t="s">
        <v>169</v>
      </c>
      <c r="K352" s="146" t="s">
        <v>64</v>
      </c>
      <c r="L352" s="148" t="s">
        <v>3</v>
      </c>
      <c r="M352" s="146" t="s">
        <v>142</v>
      </c>
      <c r="N352" s="149">
        <v>1000</v>
      </c>
      <c r="O352" s="152">
        <f>SUMIF('GUDANG BESAR'!C:C,K:K,'GUDANG BESAR'!I:I)</f>
        <v>506080</v>
      </c>
      <c r="P352" s="153">
        <f>SUMIF('GUDANG BESAR'!C:C,K:K,'GUDANG BESAR'!K:K)</f>
        <v>561748.80000000005</v>
      </c>
      <c r="Q352" s="150">
        <v>0.161</v>
      </c>
      <c r="R352" s="149">
        <v>0</v>
      </c>
      <c r="S352" s="149">
        <v>161</v>
      </c>
      <c r="T352" s="145">
        <f t="shared" si="15"/>
        <v>81478.880000000005</v>
      </c>
      <c r="U352" s="145">
        <f t="shared" si="16"/>
        <v>90441.556800000006</v>
      </c>
      <c r="V352" s="135" t="str">
        <f>VLOOKUP(K352,Sheet1!$B$5:$C$131,2,0)</f>
        <v>DYESTUFF</v>
      </c>
      <c r="W352" s="181">
        <f t="shared" si="17"/>
        <v>1.6100000000000001E-4</v>
      </c>
    </row>
    <row r="353" spans="1:23" s="139" customFormat="1">
      <c r="A353" s="146" t="s">
        <v>493</v>
      </c>
      <c r="B353" s="147" t="s">
        <v>494</v>
      </c>
      <c r="C353" s="146" t="s">
        <v>137</v>
      </c>
      <c r="D353" s="146" t="s">
        <v>138</v>
      </c>
      <c r="E353" s="146" t="s">
        <v>139</v>
      </c>
      <c r="F353" s="146" t="s">
        <v>140</v>
      </c>
      <c r="G353" s="148" t="s">
        <v>303</v>
      </c>
      <c r="H353" s="146">
        <v>0</v>
      </c>
      <c r="I353" s="146">
        <v>5</v>
      </c>
      <c r="J353" s="146" t="s">
        <v>250</v>
      </c>
      <c r="K353" s="146" t="s">
        <v>38</v>
      </c>
      <c r="L353" s="148" t="s">
        <v>3</v>
      </c>
      <c r="M353" s="146" t="s">
        <v>142</v>
      </c>
      <c r="N353" s="149">
        <v>1000</v>
      </c>
      <c r="O353" s="152">
        <f>SUMIF('GUDANG BESAR'!C:C,K:K,'GUDANG BESAR'!I:I)</f>
        <v>366255</v>
      </c>
      <c r="P353" s="153">
        <f>SUMIF('GUDANG BESAR'!C:C,K:K,'GUDANG BESAR'!K:K)</f>
        <v>406543.05</v>
      </c>
      <c r="Q353" s="150">
        <v>2.73</v>
      </c>
      <c r="R353" s="149">
        <v>2</v>
      </c>
      <c r="S353" s="149">
        <v>730</v>
      </c>
      <c r="T353" s="145">
        <f t="shared" si="15"/>
        <v>999876.15</v>
      </c>
      <c r="U353" s="145">
        <f t="shared" si="16"/>
        <v>1109862.5264999999</v>
      </c>
      <c r="V353" s="135" t="str">
        <f>VLOOKUP(K353,Sheet1!$B$5:$C$131,2,0)</f>
        <v>DYESTUFF</v>
      </c>
      <c r="W353" s="181">
        <f t="shared" si="17"/>
        <v>2.7299999999999998E-3</v>
      </c>
    </row>
    <row r="354" spans="1:23" s="139" customFormat="1">
      <c r="A354" s="146" t="s">
        <v>493</v>
      </c>
      <c r="B354" s="147" t="s">
        <v>494</v>
      </c>
      <c r="C354" s="146" t="s">
        <v>137</v>
      </c>
      <c r="D354" s="146" t="s">
        <v>138</v>
      </c>
      <c r="E354" s="146" t="s">
        <v>139</v>
      </c>
      <c r="F354" s="146" t="s">
        <v>140</v>
      </c>
      <c r="G354" s="148" t="s">
        <v>303</v>
      </c>
      <c r="H354" s="146">
        <v>0</v>
      </c>
      <c r="I354" s="146">
        <v>6</v>
      </c>
      <c r="J354" s="146" t="s">
        <v>144</v>
      </c>
      <c r="K354" s="146" t="s">
        <v>26</v>
      </c>
      <c r="L354" s="148" t="s">
        <v>3</v>
      </c>
      <c r="M354" s="146" t="s">
        <v>142</v>
      </c>
      <c r="N354" s="149">
        <v>1000</v>
      </c>
      <c r="O354" s="152">
        <f>SUMIF('GUDANG BESAR'!C:C,K:K,'GUDANG BESAR'!I:I)</f>
        <v>52016</v>
      </c>
      <c r="P354" s="153">
        <f>SUMIF('GUDANG BESAR'!C:C,K:K,'GUDANG BESAR'!K:K)</f>
        <v>57737.760000000002</v>
      </c>
      <c r="Q354" s="150">
        <v>14.795</v>
      </c>
      <c r="R354" s="149">
        <v>14</v>
      </c>
      <c r="S354" s="149">
        <v>795</v>
      </c>
      <c r="T354" s="145">
        <f t="shared" si="15"/>
        <v>769576.72</v>
      </c>
      <c r="U354" s="145">
        <f t="shared" si="16"/>
        <v>854230.15919999999</v>
      </c>
      <c r="V354" s="135" t="str">
        <f>VLOOKUP(K354,Sheet1!$B$5:$C$131,2,0)</f>
        <v>DYESTUFF</v>
      </c>
      <c r="W354" s="181">
        <f t="shared" si="17"/>
        <v>1.4794999999999999E-2</v>
      </c>
    </row>
    <row r="355" spans="1:23" s="139" customFormat="1">
      <c r="A355" s="146" t="s">
        <v>493</v>
      </c>
      <c r="B355" s="147" t="s">
        <v>494</v>
      </c>
      <c r="C355" s="146" t="s">
        <v>137</v>
      </c>
      <c r="D355" s="146" t="s">
        <v>138</v>
      </c>
      <c r="E355" s="146" t="s">
        <v>139</v>
      </c>
      <c r="F355" s="146" t="s">
        <v>140</v>
      </c>
      <c r="G355" s="148" t="s">
        <v>303</v>
      </c>
      <c r="H355" s="146">
        <v>0</v>
      </c>
      <c r="I355" s="146">
        <v>7</v>
      </c>
      <c r="J355" s="146" t="s">
        <v>145</v>
      </c>
      <c r="K355" s="146" t="s">
        <v>27</v>
      </c>
      <c r="L355" s="148" t="s">
        <v>3</v>
      </c>
      <c r="M355" s="146" t="s">
        <v>142</v>
      </c>
      <c r="N355" s="149">
        <v>1000</v>
      </c>
      <c r="O355" s="152">
        <f>SUMIF('GUDANG BESAR'!C:C,K:K,'GUDANG BESAR'!I:I)</f>
        <v>71148</v>
      </c>
      <c r="P355" s="153">
        <f>SUMIF('GUDANG BESAR'!C:C,K:K,'GUDANG BESAR'!K:K)</f>
        <v>78974.28</v>
      </c>
      <c r="Q355" s="150">
        <v>11.427</v>
      </c>
      <c r="R355" s="149">
        <v>11</v>
      </c>
      <c r="S355" s="149">
        <v>427</v>
      </c>
      <c r="T355" s="145">
        <f t="shared" si="15"/>
        <v>813008.196</v>
      </c>
      <c r="U355" s="145">
        <f t="shared" si="16"/>
        <v>902439.09755999991</v>
      </c>
      <c r="V355" s="135" t="str">
        <f>VLOOKUP(K355,Sheet1!$B$5:$C$131,2,0)</f>
        <v>DYESTUFF</v>
      </c>
      <c r="W355" s="181">
        <f t="shared" si="17"/>
        <v>1.1427E-2</v>
      </c>
    </row>
    <row r="356" spans="1:23" s="139" customFormat="1">
      <c r="A356" s="146" t="s">
        <v>493</v>
      </c>
      <c r="B356" s="147" t="s">
        <v>494</v>
      </c>
      <c r="C356" s="146" t="s">
        <v>137</v>
      </c>
      <c r="D356" s="146" t="s">
        <v>138</v>
      </c>
      <c r="E356" s="146" t="s">
        <v>139</v>
      </c>
      <c r="F356" s="146" t="s">
        <v>140</v>
      </c>
      <c r="G356" s="148" t="s">
        <v>303</v>
      </c>
      <c r="H356" s="146">
        <v>0</v>
      </c>
      <c r="I356" s="146">
        <v>8</v>
      </c>
      <c r="J356" s="146" t="s">
        <v>171</v>
      </c>
      <c r="K356" s="146" t="s">
        <v>102</v>
      </c>
      <c r="L356" s="148" t="s">
        <v>3</v>
      </c>
      <c r="M356" s="146" t="s">
        <v>142</v>
      </c>
      <c r="N356" s="149">
        <v>1000</v>
      </c>
      <c r="O356" s="152">
        <f>SUMIF('GUDANG BESAR'!C:C,K:K,'GUDANG BESAR'!I:I)</f>
        <v>385283</v>
      </c>
      <c r="P356" s="153">
        <f>SUMIF('GUDANG BESAR'!C:C,K:K,'GUDANG BESAR'!K:K)</f>
        <v>427664.13</v>
      </c>
      <c r="Q356" s="150">
        <v>3.4000000000000002E-2</v>
      </c>
      <c r="R356" s="149">
        <v>0</v>
      </c>
      <c r="S356" s="149">
        <v>34</v>
      </c>
      <c r="T356" s="145">
        <f t="shared" si="15"/>
        <v>13099.622000000001</v>
      </c>
      <c r="U356" s="145">
        <f t="shared" si="16"/>
        <v>14540.580420000002</v>
      </c>
      <c r="V356" s="135" t="str">
        <f>VLOOKUP(K356,Sheet1!$B$5:$C$131,2,0)</f>
        <v>DYESTUFF</v>
      </c>
      <c r="W356" s="181">
        <f t="shared" si="17"/>
        <v>3.4E-5</v>
      </c>
    </row>
    <row r="357" spans="1:23" s="139" customFormat="1">
      <c r="A357" s="146" t="s">
        <v>493</v>
      </c>
      <c r="B357" s="147" t="s">
        <v>494</v>
      </c>
      <c r="C357" s="146" t="s">
        <v>137</v>
      </c>
      <c r="D357" s="146" t="s">
        <v>138</v>
      </c>
      <c r="E357" s="146" t="s">
        <v>139</v>
      </c>
      <c r="F357" s="146" t="s">
        <v>140</v>
      </c>
      <c r="G357" s="148" t="s">
        <v>303</v>
      </c>
      <c r="H357" s="146">
        <v>0</v>
      </c>
      <c r="I357" s="146">
        <v>9</v>
      </c>
      <c r="J357" s="146" t="s">
        <v>146</v>
      </c>
      <c r="K357" s="146" t="s">
        <v>46</v>
      </c>
      <c r="L357" s="148" t="s">
        <v>3</v>
      </c>
      <c r="M357" s="146" t="s">
        <v>142</v>
      </c>
      <c r="N357" s="149">
        <v>1000</v>
      </c>
      <c r="O357" s="152">
        <f>SUMIF('GUDANG BESAR'!C:C,K:K,'GUDANG BESAR'!I:I)</f>
        <v>100812</v>
      </c>
      <c r="P357" s="153">
        <f>SUMIF('GUDANG BESAR'!C:C,K:K,'GUDANG BESAR'!K:K)</f>
        <v>111901.32</v>
      </c>
      <c r="Q357" s="150">
        <v>3.8180000000000001</v>
      </c>
      <c r="R357" s="149">
        <v>3</v>
      </c>
      <c r="S357" s="149">
        <v>818</v>
      </c>
      <c r="T357" s="145">
        <f t="shared" si="15"/>
        <v>384900.21600000001</v>
      </c>
      <c r="U357" s="145">
        <f t="shared" si="16"/>
        <v>427239.23976000003</v>
      </c>
      <c r="V357" s="135" t="str">
        <f>VLOOKUP(K357,Sheet1!$B$5:$C$131,2,0)</f>
        <v>DYESTUFF</v>
      </c>
      <c r="W357" s="181">
        <f t="shared" si="17"/>
        <v>3.8180000000000002E-3</v>
      </c>
    </row>
    <row r="358" spans="1:23" s="139" customFormat="1">
      <c r="A358" s="146" t="s">
        <v>493</v>
      </c>
      <c r="B358" s="147" t="s">
        <v>494</v>
      </c>
      <c r="C358" s="146" t="s">
        <v>137</v>
      </c>
      <c r="D358" s="146" t="s">
        <v>138</v>
      </c>
      <c r="E358" s="146" t="s">
        <v>139</v>
      </c>
      <c r="F358" s="146" t="s">
        <v>140</v>
      </c>
      <c r="G358" s="148" t="s">
        <v>303</v>
      </c>
      <c r="H358" s="146">
        <v>0</v>
      </c>
      <c r="I358" s="146">
        <v>10</v>
      </c>
      <c r="J358" s="146" t="s">
        <v>147</v>
      </c>
      <c r="K358" s="146" t="s">
        <v>41</v>
      </c>
      <c r="L358" s="148" t="s">
        <v>3</v>
      </c>
      <c r="M358" s="146" t="s">
        <v>142</v>
      </c>
      <c r="N358" s="149">
        <v>1000</v>
      </c>
      <c r="O358" s="152">
        <f>SUMIF('GUDANG BESAR'!C:C,K:K,'GUDANG BESAR'!I:I)</f>
        <v>54071</v>
      </c>
      <c r="P358" s="153">
        <f>SUMIF('GUDANG BESAR'!C:C,K:K,'GUDANG BESAR'!K:K)</f>
        <v>60018.81</v>
      </c>
      <c r="Q358" s="150">
        <v>14.285</v>
      </c>
      <c r="R358" s="149">
        <v>14</v>
      </c>
      <c r="S358" s="149">
        <v>285</v>
      </c>
      <c r="T358" s="145">
        <f t="shared" si="15"/>
        <v>772404.23499999999</v>
      </c>
      <c r="U358" s="145">
        <f t="shared" si="16"/>
        <v>857368.70085000002</v>
      </c>
      <c r="V358" s="135" t="str">
        <f>VLOOKUP(K358,Sheet1!$B$5:$C$131,2,0)</f>
        <v>DYESTUFF</v>
      </c>
      <c r="W358" s="181">
        <f t="shared" si="17"/>
        <v>1.4285000000000001E-2</v>
      </c>
    </row>
    <row r="359" spans="1:23" s="139" customFormat="1">
      <c r="A359" s="146" t="s">
        <v>493</v>
      </c>
      <c r="B359" s="147" t="s">
        <v>494</v>
      </c>
      <c r="C359" s="146" t="s">
        <v>137</v>
      </c>
      <c r="D359" s="146" t="s">
        <v>138</v>
      </c>
      <c r="E359" s="146" t="s">
        <v>139</v>
      </c>
      <c r="F359" s="146" t="s">
        <v>140</v>
      </c>
      <c r="G359" s="148" t="s">
        <v>303</v>
      </c>
      <c r="H359" s="146">
        <v>0</v>
      </c>
      <c r="I359" s="146">
        <v>12</v>
      </c>
      <c r="J359" s="146" t="s">
        <v>170</v>
      </c>
      <c r="K359" s="146" t="s">
        <v>29</v>
      </c>
      <c r="L359" s="148" t="s">
        <v>3</v>
      </c>
      <c r="M359" s="146" t="s">
        <v>142</v>
      </c>
      <c r="N359" s="149">
        <v>1000</v>
      </c>
      <c r="O359" s="152">
        <f>SUMIF('GUDANG BESAR'!C:C,K:K,'GUDANG BESAR'!I:I)</f>
        <v>100590</v>
      </c>
      <c r="P359" s="153">
        <f>SUMIF('GUDANG BESAR'!C:C,K:K,'GUDANG BESAR'!K:K)</f>
        <v>111654.9</v>
      </c>
      <c r="Q359" s="150">
        <v>0.50600000000000001</v>
      </c>
      <c r="R359" s="149">
        <v>0</v>
      </c>
      <c r="S359" s="149">
        <v>506</v>
      </c>
      <c r="T359" s="145">
        <f t="shared" si="15"/>
        <v>50898.54</v>
      </c>
      <c r="U359" s="145">
        <f t="shared" si="16"/>
        <v>56497.379399999998</v>
      </c>
      <c r="V359" s="135" t="str">
        <f>VLOOKUP(K359,Sheet1!$B$5:$C$131,2,0)</f>
        <v>DYESTUFF</v>
      </c>
      <c r="W359" s="181">
        <f t="shared" si="17"/>
        <v>5.0600000000000005E-4</v>
      </c>
    </row>
    <row r="360" spans="1:23" s="139" customFormat="1">
      <c r="A360" s="146" t="s">
        <v>493</v>
      </c>
      <c r="B360" s="147" t="s">
        <v>494</v>
      </c>
      <c r="C360" s="146" t="s">
        <v>137</v>
      </c>
      <c r="D360" s="146" t="s">
        <v>138</v>
      </c>
      <c r="E360" s="146" t="s">
        <v>139</v>
      </c>
      <c r="F360" s="146" t="s">
        <v>140</v>
      </c>
      <c r="G360" s="148" t="s">
        <v>303</v>
      </c>
      <c r="H360" s="146">
        <v>0</v>
      </c>
      <c r="I360" s="146">
        <v>13</v>
      </c>
      <c r="J360" s="146" t="s">
        <v>148</v>
      </c>
      <c r="K360" s="146" t="s">
        <v>30</v>
      </c>
      <c r="L360" s="148" t="s">
        <v>3</v>
      </c>
      <c r="M360" s="146" t="s">
        <v>142</v>
      </c>
      <c r="N360" s="149">
        <v>1000</v>
      </c>
      <c r="O360" s="152">
        <f>SUMIF('GUDANG BESAR'!C:C,K:K,'GUDANG BESAR'!I:I)</f>
        <v>77089.399999999994</v>
      </c>
      <c r="P360" s="153">
        <f>SUMIF('GUDANG BESAR'!C:C,K:K,'GUDANG BESAR'!K:K)</f>
        <v>85569.233999999997</v>
      </c>
      <c r="Q360" s="150">
        <v>10.513999999999999</v>
      </c>
      <c r="R360" s="149">
        <v>10</v>
      </c>
      <c r="S360" s="149">
        <v>514</v>
      </c>
      <c r="T360" s="145">
        <f t="shared" si="15"/>
        <v>810517.95159999991</v>
      </c>
      <c r="U360" s="145">
        <f t="shared" si="16"/>
        <v>899674.92627599987</v>
      </c>
      <c r="V360" s="135" t="str">
        <f>VLOOKUP(K360,Sheet1!$B$5:$C$131,2,0)</f>
        <v>DYESTUFF</v>
      </c>
      <c r="W360" s="181">
        <f t="shared" si="17"/>
        <v>1.0513999999999999E-2</v>
      </c>
    </row>
    <row r="361" spans="1:23" s="139" customFormat="1">
      <c r="A361" s="146" t="s">
        <v>493</v>
      </c>
      <c r="B361" s="147" t="s">
        <v>494</v>
      </c>
      <c r="C361" s="146" t="s">
        <v>137</v>
      </c>
      <c r="D361" s="146" t="s">
        <v>138</v>
      </c>
      <c r="E361" s="146" t="s">
        <v>139</v>
      </c>
      <c r="F361" s="146" t="s">
        <v>162</v>
      </c>
      <c r="G361" s="148" t="s">
        <v>214</v>
      </c>
      <c r="H361" s="146">
        <v>0</v>
      </c>
      <c r="I361" s="146">
        <v>32</v>
      </c>
      <c r="J361" s="146" t="s">
        <v>163</v>
      </c>
      <c r="K361" s="146" t="s">
        <v>14</v>
      </c>
      <c r="L361" s="148" t="s">
        <v>3</v>
      </c>
      <c r="M361" s="146" t="s">
        <v>142</v>
      </c>
      <c r="N361" s="149">
        <v>1000</v>
      </c>
      <c r="O361" s="152">
        <f>SUMIF('GUDANG BESAR'!C:C,K:K,'GUDANG BESAR'!I:I)</f>
        <v>30500</v>
      </c>
      <c r="P361" s="153">
        <f>SUMIF('GUDANG BESAR'!C:C,K:K,'GUDANG BESAR'!K:K)</f>
        <v>33855</v>
      </c>
      <c r="Q361" s="150">
        <v>20</v>
      </c>
      <c r="R361" s="149">
        <v>20</v>
      </c>
      <c r="S361" s="149">
        <v>0</v>
      </c>
      <c r="T361" s="145">
        <f t="shared" si="15"/>
        <v>610000</v>
      </c>
      <c r="U361" s="145">
        <f t="shared" si="16"/>
        <v>677100</v>
      </c>
      <c r="V361" s="135" t="str">
        <f>VLOOKUP(K361,Sheet1!$B$5:$C$131,2,0)</f>
        <v>LIMBAH</v>
      </c>
      <c r="W361" s="181">
        <f t="shared" si="17"/>
        <v>0.02</v>
      </c>
    </row>
    <row r="362" spans="1:23" s="139" customFormat="1">
      <c r="A362" s="146" t="s">
        <v>493</v>
      </c>
      <c r="B362" s="147" t="s">
        <v>494</v>
      </c>
      <c r="C362" s="146" t="s">
        <v>137</v>
      </c>
      <c r="D362" s="146" t="s">
        <v>138</v>
      </c>
      <c r="E362" s="146" t="s">
        <v>139</v>
      </c>
      <c r="F362" s="146" t="s">
        <v>166</v>
      </c>
      <c r="G362" s="148" t="s">
        <v>336</v>
      </c>
      <c r="H362" s="146">
        <v>0</v>
      </c>
      <c r="I362" s="146">
        <v>28</v>
      </c>
      <c r="J362" s="146" t="s">
        <v>318</v>
      </c>
      <c r="K362" s="146" t="s">
        <v>56</v>
      </c>
      <c r="L362" s="148" t="s">
        <v>3</v>
      </c>
      <c r="M362" s="146" t="s">
        <v>142</v>
      </c>
      <c r="N362" s="149">
        <v>1000</v>
      </c>
      <c r="O362" s="152">
        <f>SUMIF('GUDANG BESAR'!C:C,K:K,'GUDANG BESAR'!I:I)</f>
        <v>75000</v>
      </c>
      <c r="P362" s="153">
        <f>SUMIF('GUDANG BESAR'!C:C,K:K,'GUDANG BESAR'!K:K)</f>
        <v>83250</v>
      </c>
      <c r="Q362" s="150">
        <v>25</v>
      </c>
      <c r="R362" s="149">
        <v>25</v>
      </c>
      <c r="S362" s="149">
        <v>0</v>
      </c>
      <c r="T362" s="145">
        <f t="shared" si="15"/>
        <v>1875000</v>
      </c>
      <c r="U362" s="145">
        <f t="shared" si="16"/>
        <v>2081250</v>
      </c>
      <c r="V362" s="135" t="str">
        <f>VLOOKUP(K362,Sheet1!$B$5:$C$131,2,0)</f>
        <v>ENGGRAVING</v>
      </c>
      <c r="W362" s="181">
        <f t="shared" si="17"/>
        <v>2.5000000000000001E-2</v>
      </c>
    </row>
    <row r="363" spans="1:23" s="139" customFormat="1">
      <c r="A363" s="146" t="s">
        <v>493</v>
      </c>
      <c r="B363" s="147" t="s">
        <v>494</v>
      </c>
      <c r="C363" s="146" t="s">
        <v>137</v>
      </c>
      <c r="D363" s="146" t="s">
        <v>138</v>
      </c>
      <c r="E363" s="146" t="s">
        <v>139</v>
      </c>
      <c r="F363" s="146" t="s">
        <v>153</v>
      </c>
      <c r="G363" s="148" t="s">
        <v>301</v>
      </c>
      <c r="H363" s="146">
        <v>0</v>
      </c>
      <c r="I363" s="146">
        <v>23</v>
      </c>
      <c r="J363" s="146" t="s">
        <v>495</v>
      </c>
      <c r="K363" s="146" t="s">
        <v>43</v>
      </c>
      <c r="L363" s="148" t="s">
        <v>3</v>
      </c>
      <c r="M363" s="146" t="s">
        <v>142</v>
      </c>
      <c r="N363" s="149">
        <v>1000</v>
      </c>
      <c r="O363" s="152">
        <f>SUMIF('GUDANG BESAR'!C:C,K:K,'GUDANG BESAR'!I:I)</f>
        <v>11500</v>
      </c>
      <c r="P363" s="153">
        <f>SUMIF('GUDANG BESAR'!C:C,K:K,'GUDANG BESAR'!K:K)</f>
        <v>12765</v>
      </c>
      <c r="Q363" s="150">
        <v>24</v>
      </c>
      <c r="R363" s="149">
        <v>24</v>
      </c>
      <c r="S363" s="149">
        <v>0</v>
      </c>
      <c r="T363" s="145">
        <f t="shared" si="15"/>
        <v>276000</v>
      </c>
      <c r="U363" s="145">
        <f t="shared" si="16"/>
        <v>306360</v>
      </c>
      <c r="V363" s="135" t="str">
        <f>VLOOKUP(K363,Sheet1!$B$5:$C$131,2,0)</f>
        <v>DYEING</v>
      </c>
      <c r="W363" s="181">
        <f t="shared" si="17"/>
        <v>2.4E-2</v>
      </c>
    </row>
    <row r="364" spans="1:23" s="139" customFormat="1">
      <c r="A364" s="146" t="s">
        <v>493</v>
      </c>
      <c r="B364" s="147" t="s">
        <v>494</v>
      </c>
      <c r="C364" s="146" t="s">
        <v>137</v>
      </c>
      <c r="D364" s="146" t="s">
        <v>138</v>
      </c>
      <c r="E364" s="146" t="s">
        <v>139</v>
      </c>
      <c r="F364" s="146" t="s">
        <v>153</v>
      </c>
      <c r="G364" s="148" t="s">
        <v>301</v>
      </c>
      <c r="H364" s="146">
        <v>0</v>
      </c>
      <c r="I364" s="146">
        <v>26</v>
      </c>
      <c r="J364" s="146" t="s">
        <v>344</v>
      </c>
      <c r="K364" s="146" t="s">
        <v>15</v>
      </c>
      <c r="L364" s="148" t="s">
        <v>3</v>
      </c>
      <c r="M364" s="146" t="s">
        <v>142</v>
      </c>
      <c r="N364" s="149">
        <v>1000</v>
      </c>
      <c r="O364" s="152">
        <f>SUMIF('GUDANG BESAR'!C:C,K:K,'GUDANG BESAR'!I:I)</f>
        <v>33646</v>
      </c>
      <c r="P364" s="153">
        <f>SUMIF('GUDANG BESAR'!C:C,K:K,'GUDANG BESAR'!K:K)</f>
        <v>37347.06</v>
      </c>
      <c r="Q364" s="150">
        <v>24</v>
      </c>
      <c r="R364" s="149">
        <v>24</v>
      </c>
      <c r="S364" s="149">
        <v>0</v>
      </c>
      <c r="T364" s="145">
        <f t="shared" si="15"/>
        <v>807504</v>
      </c>
      <c r="U364" s="145">
        <f t="shared" si="16"/>
        <v>896329.44</v>
      </c>
      <c r="V364" s="135" t="str">
        <f>VLOOKUP(K364,Sheet1!$B$5:$C$131,2,0)</f>
        <v>DYEING</v>
      </c>
      <c r="W364" s="181">
        <f t="shared" si="17"/>
        <v>2.4E-2</v>
      </c>
    </row>
    <row r="365" spans="1:23" s="139" customFormat="1">
      <c r="A365" s="146" t="s">
        <v>493</v>
      </c>
      <c r="B365" s="147" t="s">
        <v>494</v>
      </c>
      <c r="C365" s="146" t="s">
        <v>137</v>
      </c>
      <c r="D365" s="146" t="s">
        <v>138</v>
      </c>
      <c r="E365" s="146" t="s">
        <v>139</v>
      </c>
      <c r="F365" s="146" t="s">
        <v>140</v>
      </c>
      <c r="G365" s="148" t="s">
        <v>300</v>
      </c>
      <c r="H365" s="146">
        <v>0</v>
      </c>
      <c r="I365" s="146">
        <v>14</v>
      </c>
      <c r="J365" s="146" t="s">
        <v>314</v>
      </c>
      <c r="K365" s="146" t="s">
        <v>281</v>
      </c>
      <c r="L365" s="148" t="s">
        <v>3</v>
      </c>
      <c r="M365" s="146" t="s">
        <v>142</v>
      </c>
      <c r="N365" s="149">
        <v>1000</v>
      </c>
      <c r="O365" s="152">
        <f>SUMIF('GUDANG BESAR'!C:C,K:K,'GUDANG BESAR'!I:I)</f>
        <v>23590.51</v>
      </c>
      <c r="P365" s="153">
        <f>SUMIF('GUDANG BESAR'!C:C,K:K,'GUDANG BESAR'!K:K)</f>
        <v>26185.466099999998</v>
      </c>
      <c r="Q365" s="150">
        <v>180</v>
      </c>
      <c r="R365" s="149">
        <v>180</v>
      </c>
      <c r="S365" s="149">
        <v>0</v>
      </c>
      <c r="T365" s="145">
        <f t="shared" si="15"/>
        <v>4246291.8</v>
      </c>
      <c r="U365" s="145">
        <f t="shared" si="16"/>
        <v>4713383.898</v>
      </c>
      <c r="V365" s="135" t="str">
        <f>VLOOKUP(K365,Sheet1!$B$5:$C$131,2,0)</f>
        <v>CK</v>
      </c>
      <c r="W365" s="181">
        <f t="shared" si="17"/>
        <v>0.18</v>
      </c>
    </row>
    <row r="366" spans="1:23" s="139" customFormat="1">
      <c r="A366" s="146" t="s">
        <v>493</v>
      </c>
      <c r="B366" s="147" t="s">
        <v>494</v>
      </c>
      <c r="C366" s="146" t="s">
        <v>137</v>
      </c>
      <c r="D366" s="146" t="s">
        <v>138</v>
      </c>
      <c r="E366" s="146" t="s">
        <v>139</v>
      </c>
      <c r="F366" s="146" t="s">
        <v>162</v>
      </c>
      <c r="G366" s="148" t="s">
        <v>214</v>
      </c>
      <c r="H366" s="146">
        <v>0</v>
      </c>
      <c r="I366" s="146">
        <v>29</v>
      </c>
      <c r="J366" s="146" t="s">
        <v>234</v>
      </c>
      <c r="K366" s="146" t="s">
        <v>233</v>
      </c>
      <c r="L366" s="148" t="s">
        <v>3</v>
      </c>
      <c r="M366" s="146" t="s">
        <v>142</v>
      </c>
      <c r="N366" s="149">
        <v>1000</v>
      </c>
      <c r="O366" s="152">
        <f>SUMIF('GUDANG BESAR'!C:C,K:K,'GUDANG BESAR'!I:I)</f>
        <v>5500</v>
      </c>
      <c r="P366" s="153">
        <f>SUMIF('GUDANG BESAR'!C:C,K:K,'GUDANG BESAR'!K:K)</f>
        <v>6105</v>
      </c>
      <c r="Q366" s="150">
        <v>950</v>
      </c>
      <c r="R366" s="149">
        <v>950</v>
      </c>
      <c r="S366" s="149">
        <v>0</v>
      </c>
      <c r="T366" s="145">
        <f t="shared" si="15"/>
        <v>5225000</v>
      </c>
      <c r="U366" s="145">
        <f t="shared" si="16"/>
        <v>5799750</v>
      </c>
      <c r="V366" s="135" t="str">
        <f>VLOOKUP(K366,Sheet1!$B$5:$C$131,2,0)</f>
        <v>LIMBAH</v>
      </c>
      <c r="W366" s="181">
        <f t="shared" si="17"/>
        <v>0.95</v>
      </c>
    </row>
    <row r="367" spans="1:23" s="139" customFormat="1">
      <c r="A367" s="146" t="s">
        <v>493</v>
      </c>
      <c r="B367" s="147" t="s">
        <v>494</v>
      </c>
      <c r="C367" s="146" t="s">
        <v>137</v>
      </c>
      <c r="D367" s="146" t="s">
        <v>138</v>
      </c>
      <c r="E367" s="146" t="s">
        <v>139</v>
      </c>
      <c r="F367" s="146" t="s">
        <v>140</v>
      </c>
      <c r="G367" s="148" t="s">
        <v>300</v>
      </c>
      <c r="H367" s="146">
        <v>0</v>
      </c>
      <c r="I367" s="146">
        <v>17</v>
      </c>
      <c r="J367" s="146" t="s">
        <v>150</v>
      </c>
      <c r="K367" s="146" t="s">
        <v>32</v>
      </c>
      <c r="L367" s="148" t="s">
        <v>3</v>
      </c>
      <c r="M367" s="146" t="s">
        <v>142</v>
      </c>
      <c r="N367" s="149">
        <v>1000</v>
      </c>
      <c r="O367" s="152">
        <f>SUMIF('GUDANG BESAR'!C:C,K:K,'GUDANG BESAR'!I:I)</f>
        <v>15500</v>
      </c>
      <c r="P367" s="153">
        <f>SUMIF('GUDANG BESAR'!C:C,K:K,'GUDANG BESAR'!K:K)</f>
        <v>17205</v>
      </c>
      <c r="Q367" s="150">
        <v>0.5</v>
      </c>
      <c r="R367" s="149">
        <v>0</v>
      </c>
      <c r="S367" s="149">
        <v>500</v>
      </c>
      <c r="T367" s="145">
        <f t="shared" si="15"/>
        <v>7750</v>
      </c>
      <c r="U367" s="145">
        <f t="shared" si="16"/>
        <v>8602.5</v>
      </c>
      <c r="V367" s="135" t="str">
        <f>VLOOKUP(K367,Sheet1!$B$5:$C$131,2,0)</f>
        <v>CK</v>
      </c>
      <c r="W367" s="181">
        <f t="shared" si="17"/>
        <v>5.0000000000000001E-4</v>
      </c>
    </row>
    <row r="368" spans="1:23" s="139" customFormat="1">
      <c r="A368" s="146" t="s">
        <v>493</v>
      </c>
      <c r="B368" s="147" t="s">
        <v>494</v>
      </c>
      <c r="C368" s="146" t="s">
        <v>137</v>
      </c>
      <c r="D368" s="146" t="s">
        <v>138</v>
      </c>
      <c r="E368" s="146" t="s">
        <v>139</v>
      </c>
      <c r="F368" s="146" t="s">
        <v>153</v>
      </c>
      <c r="G368" s="148" t="s">
        <v>301</v>
      </c>
      <c r="H368" s="146">
        <v>0</v>
      </c>
      <c r="I368" s="146">
        <v>20</v>
      </c>
      <c r="J368" s="146" t="s">
        <v>317</v>
      </c>
      <c r="K368" s="146" t="s">
        <v>17</v>
      </c>
      <c r="L368" s="148" t="s">
        <v>3</v>
      </c>
      <c r="M368" s="146" t="s">
        <v>142</v>
      </c>
      <c r="N368" s="149">
        <v>1000</v>
      </c>
      <c r="O368" s="152">
        <f>SUMIF('GUDANG BESAR'!C:C,K:K,'GUDANG BESAR'!I:I)</f>
        <v>25269.5</v>
      </c>
      <c r="P368" s="153">
        <f>SUMIF('GUDANG BESAR'!C:C,K:K,'GUDANG BESAR'!K:K)</f>
        <v>28049.145</v>
      </c>
      <c r="Q368" s="150">
        <v>38</v>
      </c>
      <c r="R368" s="149">
        <v>38</v>
      </c>
      <c r="S368" s="149">
        <v>0</v>
      </c>
      <c r="T368" s="145">
        <f t="shared" si="15"/>
        <v>960241</v>
      </c>
      <c r="U368" s="145">
        <f t="shared" si="16"/>
        <v>1065867.51</v>
      </c>
      <c r="V368" s="135" t="str">
        <f>VLOOKUP(K368,Sheet1!$B$5:$C$131,2,0)</f>
        <v>DYEING</v>
      </c>
      <c r="W368" s="181">
        <f t="shared" si="17"/>
        <v>3.7999999999999999E-2</v>
      </c>
    </row>
    <row r="369" spans="1:23" s="139" customFormat="1">
      <c r="A369" s="146" t="s">
        <v>493</v>
      </c>
      <c r="B369" s="147" t="s">
        <v>494</v>
      </c>
      <c r="C369" s="146" t="s">
        <v>137</v>
      </c>
      <c r="D369" s="146" t="s">
        <v>138</v>
      </c>
      <c r="E369" s="146" t="s">
        <v>139</v>
      </c>
      <c r="F369" s="146" t="s">
        <v>153</v>
      </c>
      <c r="G369" s="148" t="s">
        <v>301</v>
      </c>
      <c r="H369" s="146">
        <v>0</v>
      </c>
      <c r="I369" s="146">
        <v>21</v>
      </c>
      <c r="J369" s="146" t="s">
        <v>251</v>
      </c>
      <c r="K369" s="146" t="s">
        <v>249</v>
      </c>
      <c r="L369" s="148" t="s">
        <v>3</v>
      </c>
      <c r="M369" s="146" t="s">
        <v>142</v>
      </c>
      <c r="N369" s="149">
        <v>1000</v>
      </c>
      <c r="O369" s="152">
        <f>SUMIF('GUDANG BESAR'!C:C,K:K,'GUDANG BESAR'!I:I)</f>
        <v>9119.6</v>
      </c>
      <c r="P369" s="153">
        <f>SUMIF('GUDANG BESAR'!C:C,K:K,'GUDANG BESAR'!K:K)</f>
        <v>10122.756000000001</v>
      </c>
      <c r="Q369" s="150">
        <v>20</v>
      </c>
      <c r="R369" s="149">
        <v>20</v>
      </c>
      <c r="S369" s="149">
        <v>0</v>
      </c>
      <c r="T369" s="145">
        <f t="shared" si="15"/>
        <v>182392</v>
      </c>
      <c r="U369" s="145">
        <f t="shared" si="16"/>
        <v>202455.12000000002</v>
      </c>
      <c r="V369" s="135" t="str">
        <f>VLOOKUP(K369,Sheet1!$B$5:$C$131,2,0)</f>
        <v>DYEING</v>
      </c>
      <c r="W369" s="181">
        <f t="shared" si="17"/>
        <v>0.02</v>
      </c>
    </row>
    <row r="370" spans="1:23" s="139" customFormat="1">
      <c r="A370" s="146" t="s">
        <v>493</v>
      </c>
      <c r="B370" s="147" t="s">
        <v>494</v>
      </c>
      <c r="C370" s="146" t="s">
        <v>137</v>
      </c>
      <c r="D370" s="146" t="s">
        <v>138</v>
      </c>
      <c r="E370" s="146" t="s">
        <v>139</v>
      </c>
      <c r="F370" s="146" t="s">
        <v>153</v>
      </c>
      <c r="G370" s="148" t="s">
        <v>301</v>
      </c>
      <c r="H370" s="146">
        <v>0</v>
      </c>
      <c r="I370" s="146">
        <v>22</v>
      </c>
      <c r="J370" s="146" t="s">
        <v>168</v>
      </c>
      <c r="K370" s="146" t="s">
        <v>34</v>
      </c>
      <c r="L370" s="148" t="s">
        <v>3</v>
      </c>
      <c r="M370" s="146" t="s">
        <v>142</v>
      </c>
      <c r="N370" s="149">
        <v>1000</v>
      </c>
      <c r="O370" s="152">
        <f>SUMIF('GUDANG BESAR'!C:C,K:K,'GUDANG BESAR'!I:I)</f>
        <v>68397</v>
      </c>
      <c r="P370" s="153">
        <f>SUMIF('GUDANG BESAR'!C:C,K:K,'GUDANG BESAR'!K:K)</f>
        <v>75920.67</v>
      </c>
      <c r="Q370" s="150">
        <v>5.2</v>
      </c>
      <c r="R370" s="149">
        <v>5</v>
      </c>
      <c r="S370" s="149">
        <v>200</v>
      </c>
      <c r="T370" s="145">
        <f t="shared" si="15"/>
        <v>355664.4</v>
      </c>
      <c r="U370" s="145">
        <f t="shared" si="16"/>
        <v>394787.484</v>
      </c>
      <c r="V370" s="135" t="str">
        <f>VLOOKUP(K370,Sheet1!$B$5:$C$131,2,0)</f>
        <v>DYEING</v>
      </c>
      <c r="W370" s="181">
        <f t="shared" si="17"/>
        <v>5.1999999999999998E-3</v>
      </c>
    </row>
    <row r="371" spans="1:23" s="139" customFormat="1">
      <c r="A371" s="146" t="s">
        <v>493</v>
      </c>
      <c r="B371" s="147" t="s">
        <v>494</v>
      </c>
      <c r="C371" s="146" t="s">
        <v>137</v>
      </c>
      <c r="D371" s="146" t="s">
        <v>138</v>
      </c>
      <c r="E371" s="146" t="s">
        <v>139</v>
      </c>
      <c r="F371" s="146" t="s">
        <v>162</v>
      </c>
      <c r="G371" s="148" t="s">
        <v>214</v>
      </c>
      <c r="H371" s="146">
        <v>0</v>
      </c>
      <c r="I371" s="146">
        <v>34</v>
      </c>
      <c r="J371" s="146" t="s">
        <v>165</v>
      </c>
      <c r="K371" s="146" t="s">
        <v>80</v>
      </c>
      <c r="L371" s="148" t="s">
        <v>3</v>
      </c>
      <c r="M371" s="146" t="s">
        <v>142</v>
      </c>
      <c r="N371" s="149">
        <v>1000</v>
      </c>
      <c r="O371" s="152">
        <f>SUMIF('GUDANG BESAR'!C:C,K:K,'GUDANG BESAR'!I:I)</f>
        <v>1550000</v>
      </c>
      <c r="P371" s="153">
        <f>SUMIF('GUDANG BESAR'!C:C,K:K,'GUDANG BESAR'!K:K)</f>
        <v>1720500</v>
      </c>
      <c r="Q371" s="150">
        <v>0.05</v>
      </c>
      <c r="R371" s="149">
        <v>0</v>
      </c>
      <c r="S371" s="149">
        <v>50</v>
      </c>
      <c r="T371" s="145">
        <f t="shared" si="15"/>
        <v>77500</v>
      </c>
      <c r="U371" s="145">
        <f t="shared" si="16"/>
        <v>86025</v>
      </c>
      <c r="V371" s="135" t="str">
        <f>VLOOKUP(K371,Sheet1!$B$5:$C$131,2,0)</f>
        <v>LIMBAH</v>
      </c>
      <c r="W371" s="181">
        <f t="shared" si="17"/>
        <v>5.0000000000000002E-5</v>
      </c>
    </row>
    <row r="372" spans="1:23" s="139" customFormat="1">
      <c r="A372" s="146" t="s">
        <v>493</v>
      </c>
      <c r="B372" s="147" t="s">
        <v>494</v>
      </c>
      <c r="C372" s="146" t="s">
        <v>137</v>
      </c>
      <c r="D372" s="146" t="s">
        <v>138</v>
      </c>
      <c r="E372" s="146" t="s">
        <v>139</v>
      </c>
      <c r="F372" s="146" t="s">
        <v>162</v>
      </c>
      <c r="G372" s="148" t="s">
        <v>214</v>
      </c>
      <c r="H372" s="146">
        <v>0</v>
      </c>
      <c r="I372" s="146">
        <v>33</v>
      </c>
      <c r="J372" s="146" t="s">
        <v>164</v>
      </c>
      <c r="K372" s="146" t="s">
        <v>74</v>
      </c>
      <c r="L372" s="148" t="s">
        <v>5</v>
      </c>
      <c r="M372" s="146" t="s">
        <v>142</v>
      </c>
      <c r="N372" s="149">
        <v>1000</v>
      </c>
      <c r="O372" s="152">
        <f>SUMIF('GUDANG BESAR'!C:C,K:K,'GUDANG BESAR'!I:I)</f>
        <v>13180</v>
      </c>
      <c r="P372" s="153">
        <f>SUMIF('GUDANG BESAR'!C:C,K:K,'GUDANG BESAR'!K:K)</f>
        <v>14629.8</v>
      </c>
      <c r="Q372" s="150">
        <v>15</v>
      </c>
      <c r="R372" s="149">
        <v>15</v>
      </c>
      <c r="S372" s="149">
        <v>0</v>
      </c>
      <c r="T372" s="145">
        <f t="shared" si="15"/>
        <v>197700</v>
      </c>
      <c r="U372" s="145">
        <f t="shared" si="16"/>
        <v>219447</v>
      </c>
      <c r="V372" s="135" t="str">
        <f>VLOOKUP(K372,Sheet1!$B$5:$C$131,2,0)</f>
        <v>LIMBAH</v>
      </c>
      <c r="W372" s="181">
        <f t="shared" si="17"/>
        <v>1.4999999999999999E-2</v>
      </c>
    </row>
    <row r="373" spans="1:23" s="139" customFormat="1">
      <c r="A373" s="146" t="s">
        <v>493</v>
      </c>
      <c r="B373" s="147" t="s">
        <v>494</v>
      </c>
      <c r="C373" s="146" t="s">
        <v>137</v>
      </c>
      <c r="D373" s="146" t="s">
        <v>138</v>
      </c>
      <c r="E373" s="146" t="s">
        <v>139</v>
      </c>
      <c r="F373" s="146" t="s">
        <v>140</v>
      </c>
      <c r="G373" s="148" t="s">
        <v>300</v>
      </c>
      <c r="H373" s="146">
        <v>0</v>
      </c>
      <c r="I373" s="146">
        <v>15</v>
      </c>
      <c r="J373" s="146" t="s">
        <v>152</v>
      </c>
      <c r="K373" s="146" t="s">
        <v>57</v>
      </c>
      <c r="L373" s="148" t="s">
        <v>3</v>
      </c>
      <c r="M373" s="146" t="s">
        <v>142</v>
      </c>
      <c r="N373" s="149">
        <v>1000</v>
      </c>
      <c r="O373" s="152">
        <f>SUMIF('GUDANG BESAR'!C:C,K:K,'GUDANG BESAR'!I:I)</f>
        <v>21870</v>
      </c>
      <c r="P373" s="153">
        <f>SUMIF('GUDANG BESAR'!C:C,K:K,'GUDANG BESAR'!K:K)</f>
        <v>24275.7</v>
      </c>
      <c r="Q373" s="150">
        <v>25</v>
      </c>
      <c r="R373" s="149">
        <v>25</v>
      </c>
      <c r="S373" s="149">
        <v>0</v>
      </c>
      <c r="T373" s="145">
        <f t="shared" si="15"/>
        <v>546750</v>
      </c>
      <c r="U373" s="145">
        <f t="shared" si="16"/>
        <v>606892.5</v>
      </c>
      <c r="V373" s="135" t="str">
        <f>VLOOKUP(K373,Sheet1!$B$5:$C$131,2,0)</f>
        <v>CK</v>
      </c>
      <c r="W373" s="181">
        <f t="shared" si="17"/>
        <v>2.5000000000000001E-2</v>
      </c>
    </row>
    <row r="374" spans="1:23" s="139" customFormat="1">
      <c r="A374" s="146" t="s">
        <v>493</v>
      </c>
      <c r="B374" s="147" t="s">
        <v>494</v>
      </c>
      <c r="C374" s="146" t="s">
        <v>137</v>
      </c>
      <c r="D374" s="146" t="s">
        <v>138</v>
      </c>
      <c r="E374" s="146" t="s">
        <v>139</v>
      </c>
      <c r="F374" s="146" t="s">
        <v>162</v>
      </c>
      <c r="G374" s="148" t="s">
        <v>214</v>
      </c>
      <c r="H374" s="146">
        <v>0</v>
      </c>
      <c r="I374" s="146">
        <v>30</v>
      </c>
      <c r="J374" s="146" t="s">
        <v>262</v>
      </c>
      <c r="K374" s="146" t="s">
        <v>258</v>
      </c>
      <c r="L374" s="148" t="s">
        <v>3</v>
      </c>
      <c r="M374" s="146" t="s">
        <v>142</v>
      </c>
      <c r="N374" s="149">
        <v>1000</v>
      </c>
      <c r="O374" s="152">
        <f>SUMIF('GUDANG BESAR'!C:C,K:K,'GUDANG BESAR'!I:I)</f>
        <v>33000</v>
      </c>
      <c r="P374" s="153">
        <f>SUMIF('GUDANG BESAR'!C:C,K:K,'GUDANG BESAR'!K:K)</f>
        <v>36630</v>
      </c>
      <c r="Q374" s="150">
        <v>12</v>
      </c>
      <c r="R374" s="149">
        <v>12</v>
      </c>
      <c r="S374" s="149">
        <v>0</v>
      </c>
      <c r="T374" s="145">
        <f t="shared" si="15"/>
        <v>396000</v>
      </c>
      <c r="U374" s="145">
        <f t="shared" si="16"/>
        <v>439560</v>
      </c>
      <c r="V374" s="135" t="str">
        <f>VLOOKUP(K374,Sheet1!$B$5:$C$131,2,0)</f>
        <v>LIMBAH</v>
      </c>
      <c r="W374" s="181">
        <f t="shared" si="17"/>
        <v>1.2E-2</v>
      </c>
    </row>
    <row r="375" spans="1:23" s="139" customFormat="1">
      <c r="A375" s="146" t="s">
        <v>493</v>
      </c>
      <c r="B375" s="147" t="s">
        <v>494</v>
      </c>
      <c r="C375" s="146" t="s">
        <v>137</v>
      </c>
      <c r="D375" s="146" t="s">
        <v>138</v>
      </c>
      <c r="E375" s="146" t="s">
        <v>139</v>
      </c>
      <c r="F375" s="146" t="s">
        <v>162</v>
      </c>
      <c r="G375" s="148" t="s">
        <v>214</v>
      </c>
      <c r="H375" s="146">
        <v>0</v>
      </c>
      <c r="I375" s="146">
        <v>31</v>
      </c>
      <c r="J375" s="146" t="s">
        <v>263</v>
      </c>
      <c r="K375" s="146" t="s">
        <v>259</v>
      </c>
      <c r="L375" s="148" t="s">
        <v>3</v>
      </c>
      <c r="M375" s="146" t="s">
        <v>142</v>
      </c>
      <c r="N375" s="149">
        <v>1000</v>
      </c>
      <c r="O375" s="152">
        <f>SUMIF('GUDANG BESAR'!C:C,K:K,'GUDANG BESAR'!I:I)</f>
        <v>47500</v>
      </c>
      <c r="P375" s="153">
        <f>SUMIF('GUDANG BESAR'!C:C,K:K,'GUDANG BESAR'!K:K)</f>
        <v>52725</v>
      </c>
      <c r="Q375" s="150">
        <v>12</v>
      </c>
      <c r="R375" s="149">
        <v>12</v>
      </c>
      <c r="S375" s="149">
        <v>0</v>
      </c>
      <c r="T375" s="145">
        <f t="shared" si="15"/>
        <v>570000</v>
      </c>
      <c r="U375" s="145">
        <f t="shared" si="16"/>
        <v>632700</v>
      </c>
      <c r="V375" s="135" t="str">
        <f>VLOOKUP(K375,Sheet1!$B$5:$C$131,2,0)</f>
        <v>LIMBAH</v>
      </c>
      <c r="W375" s="181">
        <f t="shared" si="17"/>
        <v>1.2E-2</v>
      </c>
    </row>
    <row r="376" spans="1:23" s="139" customFormat="1">
      <c r="A376" s="146" t="s">
        <v>493</v>
      </c>
      <c r="B376" s="147" t="s">
        <v>494</v>
      </c>
      <c r="C376" s="146" t="s">
        <v>137</v>
      </c>
      <c r="D376" s="146" t="s">
        <v>138</v>
      </c>
      <c r="E376" s="146" t="s">
        <v>139</v>
      </c>
      <c r="F376" s="146" t="s">
        <v>153</v>
      </c>
      <c r="G376" s="148" t="s">
        <v>301</v>
      </c>
      <c r="H376" s="146">
        <v>0</v>
      </c>
      <c r="I376" s="146">
        <v>24</v>
      </c>
      <c r="J376" s="146" t="s">
        <v>247</v>
      </c>
      <c r="K376" s="146" t="s">
        <v>79</v>
      </c>
      <c r="L376" s="148" t="s">
        <v>3</v>
      </c>
      <c r="M376" s="146" t="s">
        <v>142</v>
      </c>
      <c r="N376" s="149">
        <v>1000</v>
      </c>
      <c r="O376" s="152">
        <f>SUMIF('GUDANG BESAR'!C:C,K:K,'GUDANG BESAR'!I:I)</f>
        <v>21203</v>
      </c>
      <c r="P376" s="153">
        <f>SUMIF('GUDANG BESAR'!C:C,K:K,'GUDANG BESAR'!K:K)</f>
        <v>23535.33</v>
      </c>
      <c r="Q376" s="150">
        <v>8</v>
      </c>
      <c r="R376" s="149">
        <v>8</v>
      </c>
      <c r="S376" s="149">
        <v>0</v>
      </c>
      <c r="T376" s="145">
        <f t="shared" si="15"/>
        <v>169624</v>
      </c>
      <c r="U376" s="145">
        <f t="shared" si="16"/>
        <v>188282.64</v>
      </c>
      <c r="V376" s="135" t="str">
        <f>VLOOKUP(K376,Sheet1!$B$5:$C$131,2,0)</f>
        <v>DYEING</v>
      </c>
      <c r="W376" s="181">
        <f t="shared" si="17"/>
        <v>8.0000000000000002E-3</v>
      </c>
    </row>
    <row r="377" spans="1:23" s="139" customFormat="1">
      <c r="A377" s="146" t="s">
        <v>496</v>
      </c>
      <c r="B377" s="147" t="s">
        <v>497</v>
      </c>
      <c r="C377" s="146" t="s">
        <v>137</v>
      </c>
      <c r="D377" s="146" t="s">
        <v>138</v>
      </c>
      <c r="E377" s="146" t="s">
        <v>139</v>
      </c>
      <c r="F377" s="146" t="s">
        <v>162</v>
      </c>
      <c r="G377" s="148" t="s">
        <v>214</v>
      </c>
      <c r="H377" s="146">
        <v>0</v>
      </c>
      <c r="I377" s="146">
        <v>20</v>
      </c>
      <c r="J377" s="146" t="s">
        <v>240</v>
      </c>
      <c r="K377" s="146" t="s">
        <v>237</v>
      </c>
      <c r="L377" s="148" t="s">
        <v>3</v>
      </c>
      <c r="M377" s="146" t="s">
        <v>142</v>
      </c>
      <c r="N377" s="149">
        <v>1000</v>
      </c>
      <c r="O377" s="152">
        <f>SUMIF('GUDANG BESAR'!C:C,K:K,'GUDANG BESAR'!I:I)</f>
        <v>14750</v>
      </c>
      <c r="P377" s="153">
        <f>SUMIF('GUDANG BESAR'!C:C,K:K,'GUDANG BESAR'!K:K)</f>
        <v>16372.5</v>
      </c>
      <c r="Q377" s="150">
        <v>15</v>
      </c>
      <c r="R377" s="149">
        <v>15</v>
      </c>
      <c r="S377" s="149">
        <v>0</v>
      </c>
      <c r="T377" s="145">
        <f t="shared" si="15"/>
        <v>221250</v>
      </c>
      <c r="U377" s="145">
        <f t="shared" si="16"/>
        <v>245587.5</v>
      </c>
      <c r="V377" s="135" t="str">
        <f>VLOOKUP(K377,Sheet1!$B$5:$C$131,2,0)</f>
        <v>LIMBAH</v>
      </c>
      <c r="W377" s="181">
        <f t="shared" si="17"/>
        <v>1.4999999999999999E-2</v>
      </c>
    </row>
    <row r="378" spans="1:23" s="139" customFormat="1">
      <c r="A378" s="146" t="s">
        <v>496</v>
      </c>
      <c r="B378" s="147" t="s">
        <v>497</v>
      </c>
      <c r="C378" s="146" t="s">
        <v>137</v>
      </c>
      <c r="D378" s="146" t="s">
        <v>138</v>
      </c>
      <c r="E378" s="146" t="s">
        <v>139</v>
      </c>
      <c r="F378" s="146" t="s">
        <v>140</v>
      </c>
      <c r="G378" s="148" t="s">
        <v>303</v>
      </c>
      <c r="H378" s="146">
        <v>0</v>
      </c>
      <c r="I378" s="146">
        <v>1</v>
      </c>
      <c r="J378" s="146" t="s">
        <v>141</v>
      </c>
      <c r="K378" s="146" t="s">
        <v>37</v>
      </c>
      <c r="L378" s="148" t="s">
        <v>3</v>
      </c>
      <c r="M378" s="146" t="s">
        <v>142</v>
      </c>
      <c r="N378" s="149">
        <v>1000</v>
      </c>
      <c r="O378" s="152">
        <f>SUMIF('GUDANG BESAR'!C:C,K:K,'GUDANG BESAR'!I:I)</f>
        <v>51276</v>
      </c>
      <c r="P378" s="153">
        <f>SUMIF('GUDANG BESAR'!C:C,K:K,'GUDANG BESAR'!K:K)</f>
        <v>56916.36</v>
      </c>
      <c r="Q378" s="150">
        <v>2.7210000000000001</v>
      </c>
      <c r="R378" s="149">
        <v>2</v>
      </c>
      <c r="S378" s="149">
        <v>721</v>
      </c>
      <c r="T378" s="145">
        <f t="shared" si="15"/>
        <v>139521.99600000001</v>
      </c>
      <c r="U378" s="145">
        <f t="shared" si="16"/>
        <v>154869.41555999999</v>
      </c>
      <c r="V378" s="135" t="str">
        <f>VLOOKUP(K378,Sheet1!$B$5:$C$131,2,0)</f>
        <v>DYESTUFF</v>
      </c>
      <c r="W378" s="181">
        <f t="shared" si="17"/>
        <v>2.7209999999999999E-3</v>
      </c>
    </row>
    <row r="379" spans="1:23" s="139" customFormat="1">
      <c r="A379" s="146" t="s">
        <v>496</v>
      </c>
      <c r="B379" s="147" t="s">
        <v>497</v>
      </c>
      <c r="C379" s="146" t="s">
        <v>137</v>
      </c>
      <c r="D379" s="146" t="s">
        <v>138</v>
      </c>
      <c r="E379" s="146" t="s">
        <v>139</v>
      </c>
      <c r="F379" s="146" t="s">
        <v>140</v>
      </c>
      <c r="G379" s="148" t="s">
        <v>303</v>
      </c>
      <c r="H379" s="146">
        <v>0</v>
      </c>
      <c r="I379" s="146">
        <v>2</v>
      </c>
      <c r="J379" s="146" t="s">
        <v>143</v>
      </c>
      <c r="K379" s="146" t="s">
        <v>90</v>
      </c>
      <c r="L379" s="148" t="s">
        <v>3</v>
      </c>
      <c r="M379" s="146" t="s">
        <v>142</v>
      </c>
      <c r="N379" s="149">
        <v>1000</v>
      </c>
      <c r="O379" s="152">
        <f>SUMIF('GUDANG BESAR'!C:C,K:K,'GUDANG BESAR'!I:I)</f>
        <v>194556</v>
      </c>
      <c r="P379" s="153">
        <f>SUMIF('GUDANG BESAR'!C:C,K:K,'GUDANG BESAR'!K:K)</f>
        <v>215957.16</v>
      </c>
      <c r="Q379" s="150">
        <v>5.0000000000000001E-3</v>
      </c>
      <c r="R379" s="149">
        <v>0</v>
      </c>
      <c r="S379" s="149">
        <v>5</v>
      </c>
      <c r="T379" s="145">
        <f t="shared" si="15"/>
        <v>972.78</v>
      </c>
      <c r="U379" s="145">
        <f t="shared" si="16"/>
        <v>1079.7858000000001</v>
      </c>
      <c r="V379" s="135" t="str">
        <f>VLOOKUP(K379,Sheet1!$B$5:$C$131,2,0)</f>
        <v>DYESTUFF</v>
      </c>
      <c r="W379" s="181">
        <f t="shared" si="17"/>
        <v>5.0000000000000004E-6</v>
      </c>
    </row>
    <row r="380" spans="1:23" s="139" customFormat="1">
      <c r="A380" s="146" t="s">
        <v>496</v>
      </c>
      <c r="B380" s="147" t="s">
        <v>497</v>
      </c>
      <c r="C380" s="146" t="s">
        <v>137</v>
      </c>
      <c r="D380" s="146" t="s">
        <v>138</v>
      </c>
      <c r="E380" s="146" t="s">
        <v>139</v>
      </c>
      <c r="F380" s="146" t="s">
        <v>140</v>
      </c>
      <c r="G380" s="148" t="s">
        <v>303</v>
      </c>
      <c r="H380" s="146">
        <v>0</v>
      </c>
      <c r="I380" s="146">
        <v>3</v>
      </c>
      <c r="J380" s="146" t="s">
        <v>346</v>
      </c>
      <c r="K380" s="146" t="s">
        <v>343</v>
      </c>
      <c r="L380" s="148" t="s">
        <v>3</v>
      </c>
      <c r="M380" s="146" t="s">
        <v>142</v>
      </c>
      <c r="N380" s="149">
        <v>1000</v>
      </c>
      <c r="O380" s="152">
        <f>SUMIF('GUDANG BESAR'!C:C,K:K,'GUDANG BESAR'!I:I)</f>
        <v>60680</v>
      </c>
      <c r="P380" s="153">
        <f>SUMIF('GUDANG BESAR'!C:C,K:K,'GUDANG BESAR'!K:K)</f>
        <v>67354.8</v>
      </c>
      <c r="Q380" s="150">
        <v>18.529</v>
      </c>
      <c r="R380" s="149">
        <v>18</v>
      </c>
      <c r="S380" s="149">
        <v>529</v>
      </c>
      <c r="T380" s="145">
        <f t="shared" si="15"/>
        <v>1124339.72</v>
      </c>
      <c r="U380" s="145">
        <f t="shared" si="16"/>
        <v>1248017.0892</v>
      </c>
      <c r="V380" s="135" t="str">
        <f>VLOOKUP(K380,Sheet1!$B$5:$C$131,2,0)</f>
        <v>DYESTUFF</v>
      </c>
      <c r="W380" s="181">
        <f t="shared" si="17"/>
        <v>1.8529E-2</v>
      </c>
    </row>
    <row r="381" spans="1:23" s="139" customFormat="1">
      <c r="A381" s="146" t="s">
        <v>496</v>
      </c>
      <c r="B381" s="147" t="s">
        <v>497</v>
      </c>
      <c r="C381" s="146" t="s">
        <v>137</v>
      </c>
      <c r="D381" s="146" t="s">
        <v>138</v>
      </c>
      <c r="E381" s="146" t="s">
        <v>139</v>
      </c>
      <c r="F381" s="146" t="s">
        <v>140</v>
      </c>
      <c r="G381" s="148" t="s">
        <v>303</v>
      </c>
      <c r="H381" s="146">
        <v>0</v>
      </c>
      <c r="I381" s="146">
        <v>12</v>
      </c>
      <c r="J381" s="146" t="s">
        <v>151</v>
      </c>
      <c r="K381" s="146" t="s">
        <v>28</v>
      </c>
      <c r="L381" s="148" t="s">
        <v>3</v>
      </c>
      <c r="M381" s="146" t="s">
        <v>142</v>
      </c>
      <c r="N381" s="149">
        <v>1000</v>
      </c>
      <c r="O381" s="152">
        <f>SUMIF('GUDANG BESAR'!C:C,K:K,'GUDANG BESAR'!I:I)</f>
        <v>413967</v>
      </c>
      <c r="P381" s="153">
        <f>SUMIF('GUDANG BESAR'!C:C,K:K,'GUDANG BESAR'!K:K)</f>
        <v>459503.37</v>
      </c>
      <c r="Q381" s="150">
        <v>0.03</v>
      </c>
      <c r="R381" s="149">
        <v>0</v>
      </c>
      <c r="S381" s="149">
        <v>30</v>
      </c>
      <c r="T381" s="145">
        <f t="shared" si="15"/>
        <v>12419.01</v>
      </c>
      <c r="U381" s="145">
        <f t="shared" si="16"/>
        <v>13785.1011</v>
      </c>
      <c r="V381" s="135" t="str">
        <f>VLOOKUP(K381,Sheet1!$B$5:$C$131,2,0)</f>
        <v>DYESTUFF</v>
      </c>
      <c r="W381" s="181">
        <f t="shared" si="17"/>
        <v>2.9999999999999997E-5</v>
      </c>
    </row>
    <row r="382" spans="1:23" s="139" customFormat="1">
      <c r="A382" s="146" t="s">
        <v>496</v>
      </c>
      <c r="B382" s="147" t="s">
        <v>497</v>
      </c>
      <c r="C382" s="146" t="s">
        <v>137</v>
      </c>
      <c r="D382" s="146" t="s">
        <v>138</v>
      </c>
      <c r="E382" s="146" t="s">
        <v>139</v>
      </c>
      <c r="F382" s="146" t="s">
        <v>140</v>
      </c>
      <c r="G382" s="148" t="s">
        <v>303</v>
      </c>
      <c r="H382" s="146">
        <v>0</v>
      </c>
      <c r="I382" s="146">
        <v>4</v>
      </c>
      <c r="J382" s="146" t="s">
        <v>169</v>
      </c>
      <c r="K382" s="146" t="s">
        <v>64</v>
      </c>
      <c r="L382" s="148" t="s">
        <v>3</v>
      </c>
      <c r="M382" s="146" t="s">
        <v>142</v>
      </c>
      <c r="N382" s="149">
        <v>1000</v>
      </c>
      <c r="O382" s="152">
        <f>SUMIF('GUDANG BESAR'!C:C,K:K,'GUDANG BESAR'!I:I)</f>
        <v>506080</v>
      </c>
      <c r="P382" s="153">
        <f>SUMIF('GUDANG BESAR'!C:C,K:K,'GUDANG BESAR'!K:K)</f>
        <v>561748.80000000005</v>
      </c>
      <c r="Q382" s="150">
        <v>6.0000000000000001E-3</v>
      </c>
      <c r="R382" s="149">
        <v>0</v>
      </c>
      <c r="S382" s="149">
        <v>6</v>
      </c>
      <c r="T382" s="145">
        <f t="shared" si="15"/>
        <v>3036.48</v>
      </c>
      <c r="U382" s="145">
        <f t="shared" si="16"/>
        <v>3370.4928000000004</v>
      </c>
      <c r="V382" s="135" t="str">
        <f>VLOOKUP(K382,Sheet1!$B$5:$C$131,2,0)</f>
        <v>DYESTUFF</v>
      </c>
      <c r="W382" s="181">
        <f t="shared" si="17"/>
        <v>6.0000000000000002E-6</v>
      </c>
    </row>
    <row r="383" spans="1:23" s="139" customFormat="1">
      <c r="A383" s="146" t="s">
        <v>496</v>
      </c>
      <c r="B383" s="147" t="s">
        <v>497</v>
      </c>
      <c r="C383" s="146" t="s">
        <v>137</v>
      </c>
      <c r="D383" s="146" t="s">
        <v>138</v>
      </c>
      <c r="E383" s="146" t="s">
        <v>139</v>
      </c>
      <c r="F383" s="146" t="s">
        <v>140</v>
      </c>
      <c r="G383" s="148" t="s">
        <v>303</v>
      </c>
      <c r="H383" s="146">
        <v>0</v>
      </c>
      <c r="I383" s="146">
        <v>5</v>
      </c>
      <c r="J383" s="146" t="s">
        <v>250</v>
      </c>
      <c r="K383" s="146" t="s">
        <v>38</v>
      </c>
      <c r="L383" s="148" t="s">
        <v>3</v>
      </c>
      <c r="M383" s="146" t="s">
        <v>142</v>
      </c>
      <c r="N383" s="149">
        <v>1000</v>
      </c>
      <c r="O383" s="152">
        <f>SUMIF('GUDANG BESAR'!C:C,K:K,'GUDANG BESAR'!I:I)</f>
        <v>366255</v>
      </c>
      <c r="P383" s="153">
        <f>SUMIF('GUDANG BESAR'!C:C,K:K,'GUDANG BESAR'!K:K)</f>
        <v>406543.05</v>
      </c>
      <c r="Q383" s="150">
        <v>7.8769999999999998</v>
      </c>
      <c r="R383" s="149">
        <v>7</v>
      </c>
      <c r="S383" s="149">
        <v>877</v>
      </c>
      <c r="T383" s="145">
        <f t="shared" si="15"/>
        <v>2884990.6349999998</v>
      </c>
      <c r="U383" s="145">
        <f t="shared" si="16"/>
        <v>3202339.6048499998</v>
      </c>
      <c r="V383" s="135" t="str">
        <f>VLOOKUP(K383,Sheet1!$B$5:$C$131,2,0)</f>
        <v>DYESTUFF</v>
      </c>
      <c r="W383" s="181">
        <f t="shared" si="17"/>
        <v>7.8770000000000003E-3</v>
      </c>
    </row>
    <row r="384" spans="1:23" s="139" customFormat="1">
      <c r="A384" s="146" t="s">
        <v>496</v>
      </c>
      <c r="B384" s="147" t="s">
        <v>497</v>
      </c>
      <c r="C384" s="146" t="s">
        <v>137</v>
      </c>
      <c r="D384" s="146" t="s">
        <v>138</v>
      </c>
      <c r="E384" s="146" t="s">
        <v>139</v>
      </c>
      <c r="F384" s="146" t="s">
        <v>140</v>
      </c>
      <c r="G384" s="148" t="s">
        <v>303</v>
      </c>
      <c r="H384" s="146">
        <v>0</v>
      </c>
      <c r="I384" s="146">
        <v>6</v>
      </c>
      <c r="J384" s="146" t="s">
        <v>144</v>
      </c>
      <c r="K384" s="146" t="s">
        <v>26</v>
      </c>
      <c r="L384" s="148" t="s">
        <v>3</v>
      </c>
      <c r="M384" s="146" t="s">
        <v>142</v>
      </c>
      <c r="N384" s="149">
        <v>1000</v>
      </c>
      <c r="O384" s="152">
        <f>SUMIF('GUDANG BESAR'!C:C,K:K,'GUDANG BESAR'!I:I)</f>
        <v>52016</v>
      </c>
      <c r="P384" s="153">
        <f>SUMIF('GUDANG BESAR'!C:C,K:K,'GUDANG BESAR'!K:K)</f>
        <v>57737.760000000002</v>
      </c>
      <c r="Q384" s="150">
        <v>8.0660000000000007</v>
      </c>
      <c r="R384" s="149">
        <v>8</v>
      </c>
      <c r="S384" s="149">
        <v>66</v>
      </c>
      <c r="T384" s="145">
        <f t="shared" si="15"/>
        <v>419561.05600000004</v>
      </c>
      <c r="U384" s="145">
        <f t="shared" si="16"/>
        <v>465712.77216000005</v>
      </c>
      <c r="V384" s="135" t="str">
        <f>VLOOKUP(K384,Sheet1!$B$5:$C$131,2,0)</f>
        <v>DYESTUFF</v>
      </c>
      <c r="W384" s="181">
        <f t="shared" si="17"/>
        <v>8.0660000000000003E-3</v>
      </c>
    </row>
    <row r="385" spans="1:23" s="139" customFormat="1">
      <c r="A385" s="146" t="s">
        <v>496</v>
      </c>
      <c r="B385" s="147" t="s">
        <v>497</v>
      </c>
      <c r="C385" s="146" t="s">
        <v>137</v>
      </c>
      <c r="D385" s="146" t="s">
        <v>138</v>
      </c>
      <c r="E385" s="146" t="s">
        <v>139</v>
      </c>
      <c r="F385" s="146" t="s">
        <v>140</v>
      </c>
      <c r="G385" s="148" t="s">
        <v>303</v>
      </c>
      <c r="H385" s="146">
        <v>0</v>
      </c>
      <c r="I385" s="146">
        <v>7</v>
      </c>
      <c r="J385" s="146" t="s">
        <v>145</v>
      </c>
      <c r="K385" s="146" t="s">
        <v>27</v>
      </c>
      <c r="L385" s="148" t="s">
        <v>3</v>
      </c>
      <c r="M385" s="146" t="s">
        <v>142</v>
      </c>
      <c r="N385" s="149">
        <v>1000</v>
      </c>
      <c r="O385" s="152">
        <f>SUMIF('GUDANG BESAR'!C:C,K:K,'GUDANG BESAR'!I:I)</f>
        <v>71148</v>
      </c>
      <c r="P385" s="153">
        <f>SUMIF('GUDANG BESAR'!C:C,K:K,'GUDANG BESAR'!K:K)</f>
        <v>78974.28</v>
      </c>
      <c r="Q385" s="150">
        <v>2.8140000000000001</v>
      </c>
      <c r="R385" s="149">
        <v>2</v>
      </c>
      <c r="S385" s="149">
        <v>814</v>
      </c>
      <c r="T385" s="145">
        <f t="shared" si="15"/>
        <v>200210.47200000001</v>
      </c>
      <c r="U385" s="145">
        <f t="shared" si="16"/>
        <v>222233.62392000001</v>
      </c>
      <c r="V385" s="135" t="str">
        <f>VLOOKUP(K385,Sheet1!$B$5:$C$131,2,0)</f>
        <v>DYESTUFF</v>
      </c>
      <c r="W385" s="181">
        <f t="shared" si="17"/>
        <v>2.8140000000000001E-3</v>
      </c>
    </row>
    <row r="386" spans="1:23" s="139" customFormat="1">
      <c r="A386" s="146" t="s">
        <v>496</v>
      </c>
      <c r="B386" s="147" t="s">
        <v>497</v>
      </c>
      <c r="C386" s="146" t="s">
        <v>137</v>
      </c>
      <c r="D386" s="146" t="s">
        <v>138</v>
      </c>
      <c r="E386" s="146" t="s">
        <v>139</v>
      </c>
      <c r="F386" s="146" t="s">
        <v>140</v>
      </c>
      <c r="G386" s="148" t="e">
        <v>#N/A</v>
      </c>
      <c r="H386" s="146">
        <v>0</v>
      </c>
      <c r="I386" s="146">
        <v>8</v>
      </c>
      <c r="J386" s="146" t="s">
        <v>489</v>
      </c>
      <c r="K386" s="146" t="s">
        <v>490</v>
      </c>
      <c r="L386" s="148" t="s">
        <v>3</v>
      </c>
      <c r="M386" s="146" t="s">
        <v>142</v>
      </c>
      <c r="N386" s="149">
        <v>1000</v>
      </c>
      <c r="O386" s="152">
        <f>SUMIF('GUDANG BESAR'!C:C,K:K,'GUDANG BESAR'!I:I)</f>
        <v>0</v>
      </c>
      <c r="P386" s="153">
        <f>SUMIF('GUDANG BESAR'!C:C,K:K,'GUDANG BESAR'!K:K)</f>
        <v>0</v>
      </c>
      <c r="Q386" s="150">
        <v>1.7999999999999999E-2</v>
      </c>
      <c r="R386" s="149">
        <v>0</v>
      </c>
      <c r="S386" s="149">
        <v>18</v>
      </c>
      <c r="T386" s="145">
        <f t="shared" si="15"/>
        <v>0</v>
      </c>
      <c r="U386" s="145">
        <f t="shared" si="16"/>
        <v>0</v>
      </c>
      <c r="V386" s="135" t="e">
        <f>VLOOKUP(K386,Sheet1!$B$5:$C$131,2,0)</f>
        <v>#N/A</v>
      </c>
      <c r="W386" s="181">
        <f t="shared" si="17"/>
        <v>1.7999999999999997E-5</v>
      </c>
    </row>
    <row r="387" spans="1:23" s="139" customFormat="1">
      <c r="A387" s="146" t="s">
        <v>496</v>
      </c>
      <c r="B387" s="147" t="s">
        <v>497</v>
      </c>
      <c r="C387" s="146" t="s">
        <v>137</v>
      </c>
      <c r="D387" s="146" t="s">
        <v>138</v>
      </c>
      <c r="E387" s="146" t="s">
        <v>139</v>
      </c>
      <c r="F387" s="146" t="s">
        <v>140</v>
      </c>
      <c r="G387" s="148" t="s">
        <v>303</v>
      </c>
      <c r="H387" s="146">
        <v>0</v>
      </c>
      <c r="I387" s="146">
        <v>9</v>
      </c>
      <c r="J387" s="146" t="s">
        <v>171</v>
      </c>
      <c r="K387" s="146" t="s">
        <v>102</v>
      </c>
      <c r="L387" s="148" t="s">
        <v>3</v>
      </c>
      <c r="M387" s="146" t="s">
        <v>142</v>
      </c>
      <c r="N387" s="149">
        <v>1000</v>
      </c>
      <c r="O387" s="152">
        <f>SUMIF('GUDANG BESAR'!C:C,K:K,'GUDANG BESAR'!I:I)</f>
        <v>385283</v>
      </c>
      <c r="P387" s="153">
        <f>SUMIF('GUDANG BESAR'!C:C,K:K,'GUDANG BESAR'!K:K)</f>
        <v>427664.13</v>
      </c>
      <c r="Q387" s="150">
        <v>8.9999999999999993E-3</v>
      </c>
      <c r="R387" s="149">
        <v>0</v>
      </c>
      <c r="S387" s="149">
        <v>9</v>
      </c>
      <c r="T387" s="145">
        <f t="shared" si="15"/>
        <v>3467.5469999999996</v>
      </c>
      <c r="U387" s="145">
        <f t="shared" si="16"/>
        <v>3848.9771699999997</v>
      </c>
      <c r="V387" s="135" t="str">
        <f>VLOOKUP(K387,Sheet1!$B$5:$C$131,2,0)</f>
        <v>DYESTUFF</v>
      </c>
      <c r="W387" s="181">
        <f t="shared" si="17"/>
        <v>8.9999999999999985E-6</v>
      </c>
    </row>
    <row r="388" spans="1:23" s="139" customFormat="1">
      <c r="A388" s="146" t="s">
        <v>496</v>
      </c>
      <c r="B388" s="147" t="s">
        <v>497</v>
      </c>
      <c r="C388" s="146" t="s">
        <v>137</v>
      </c>
      <c r="D388" s="146" t="s">
        <v>138</v>
      </c>
      <c r="E388" s="146" t="s">
        <v>139</v>
      </c>
      <c r="F388" s="146" t="s">
        <v>140</v>
      </c>
      <c r="G388" s="148" t="s">
        <v>303</v>
      </c>
      <c r="H388" s="146">
        <v>0</v>
      </c>
      <c r="I388" s="146">
        <v>10</v>
      </c>
      <c r="J388" s="146" t="s">
        <v>146</v>
      </c>
      <c r="K388" s="146" t="s">
        <v>46</v>
      </c>
      <c r="L388" s="148" t="s">
        <v>3</v>
      </c>
      <c r="M388" s="146" t="s">
        <v>142</v>
      </c>
      <c r="N388" s="149">
        <v>1000</v>
      </c>
      <c r="O388" s="152">
        <f>SUMIF('GUDANG BESAR'!C:C,K:K,'GUDANG BESAR'!I:I)</f>
        <v>100812</v>
      </c>
      <c r="P388" s="153">
        <f>SUMIF('GUDANG BESAR'!C:C,K:K,'GUDANG BESAR'!K:K)</f>
        <v>111901.32</v>
      </c>
      <c r="Q388" s="150">
        <v>1.3580000000000001</v>
      </c>
      <c r="R388" s="149">
        <v>1</v>
      </c>
      <c r="S388" s="149">
        <v>358</v>
      </c>
      <c r="T388" s="145">
        <f t="shared" si="15"/>
        <v>136902.696</v>
      </c>
      <c r="U388" s="145">
        <f t="shared" si="16"/>
        <v>151961.99256000001</v>
      </c>
      <c r="V388" s="135" t="str">
        <f>VLOOKUP(K388,Sheet1!$B$5:$C$131,2,0)</f>
        <v>DYESTUFF</v>
      </c>
      <c r="W388" s="181">
        <f t="shared" si="17"/>
        <v>1.358E-3</v>
      </c>
    </row>
    <row r="389" spans="1:23" s="139" customFormat="1">
      <c r="A389" s="146" t="s">
        <v>496</v>
      </c>
      <c r="B389" s="147" t="s">
        <v>497</v>
      </c>
      <c r="C389" s="146" t="s">
        <v>137</v>
      </c>
      <c r="D389" s="146" t="s">
        <v>138</v>
      </c>
      <c r="E389" s="146" t="s">
        <v>139</v>
      </c>
      <c r="F389" s="146" t="s">
        <v>140</v>
      </c>
      <c r="G389" s="148" t="s">
        <v>303</v>
      </c>
      <c r="H389" s="146">
        <v>0</v>
      </c>
      <c r="I389" s="146">
        <v>11</v>
      </c>
      <c r="J389" s="146" t="s">
        <v>147</v>
      </c>
      <c r="K389" s="146" t="s">
        <v>41</v>
      </c>
      <c r="L389" s="148" t="s">
        <v>3</v>
      </c>
      <c r="M389" s="146" t="s">
        <v>142</v>
      </c>
      <c r="N389" s="149">
        <v>1000</v>
      </c>
      <c r="O389" s="152">
        <f>SUMIF('GUDANG BESAR'!C:C,K:K,'GUDANG BESAR'!I:I)</f>
        <v>54071</v>
      </c>
      <c r="P389" s="153">
        <f>SUMIF('GUDANG BESAR'!C:C,K:K,'GUDANG BESAR'!K:K)</f>
        <v>60018.81</v>
      </c>
      <c r="Q389" s="150">
        <v>9.6379999999999999</v>
      </c>
      <c r="R389" s="149">
        <v>9</v>
      </c>
      <c r="S389" s="149">
        <v>638</v>
      </c>
      <c r="T389" s="145">
        <f t="shared" si="15"/>
        <v>521136.29800000001</v>
      </c>
      <c r="U389" s="145">
        <f t="shared" si="16"/>
        <v>578461.29077999992</v>
      </c>
      <c r="V389" s="135" t="str">
        <f>VLOOKUP(K389,Sheet1!$B$5:$C$131,2,0)</f>
        <v>DYESTUFF</v>
      </c>
      <c r="W389" s="181">
        <f t="shared" si="17"/>
        <v>9.6380000000000007E-3</v>
      </c>
    </row>
    <row r="390" spans="1:23" s="139" customFormat="1">
      <c r="A390" s="146" t="s">
        <v>496</v>
      </c>
      <c r="B390" s="147" t="s">
        <v>497</v>
      </c>
      <c r="C390" s="146" t="s">
        <v>137</v>
      </c>
      <c r="D390" s="146" t="s">
        <v>138</v>
      </c>
      <c r="E390" s="146" t="s">
        <v>139</v>
      </c>
      <c r="F390" s="146" t="s">
        <v>140</v>
      </c>
      <c r="G390" s="148" t="s">
        <v>303</v>
      </c>
      <c r="H390" s="146">
        <v>0</v>
      </c>
      <c r="I390" s="146">
        <v>13</v>
      </c>
      <c r="J390" s="146" t="s">
        <v>170</v>
      </c>
      <c r="K390" s="146" t="s">
        <v>29</v>
      </c>
      <c r="L390" s="148" t="s">
        <v>3</v>
      </c>
      <c r="M390" s="146" t="s">
        <v>142</v>
      </c>
      <c r="N390" s="149">
        <v>1000</v>
      </c>
      <c r="O390" s="152">
        <f>SUMIF('GUDANG BESAR'!C:C,K:K,'GUDANG BESAR'!I:I)</f>
        <v>100590</v>
      </c>
      <c r="P390" s="153">
        <f>SUMIF('GUDANG BESAR'!C:C,K:K,'GUDANG BESAR'!K:K)</f>
        <v>111654.9</v>
      </c>
      <c r="Q390" s="150">
        <v>6.0000000000000001E-3</v>
      </c>
      <c r="R390" s="149">
        <v>0</v>
      </c>
      <c r="S390" s="149">
        <v>6</v>
      </c>
      <c r="T390" s="145">
        <f t="shared" ref="T390:T453" si="18">O390*Q390</f>
        <v>603.54</v>
      </c>
      <c r="U390" s="145">
        <f t="shared" ref="U390:U453" si="19">P390*Q390</f>
        <v>669.92939999999999</v>
      </c>
      <c r="V390" s="135" t="str">
        <f>VLOOKUP(K390,Sheet1!$B$5:$C$131,2,0)</f>
        <v>DYESTUFF</v>
      </c>
      <c r="W390" s="181">
        <f t="shared" ref="W390:W453" si="20">Q390/$W$5</f>
        <v>6.0000000000000002E-6</v>
      </c>
    </row>
    <row r="391" spans="1:23" s="139" customFormat="1">
      <c r="A391" s="146" t="s">
        <v>496</v>
      </c>
      <c r="B391" s="147" t="s">
        <v>497</v>
      </c>
      <c r="C391" s="146" t="s">
        <v>137</v>
      </c>
      <c r="D391" s="146" t="s">
        <v>138</v>
      </c>
      <c r="E391" s="146" t="s">
        <v>139</v>
      </c>
      <c r="F391" s="146" t="s">
        <v>140</v>
      </c>
      <c r="G391" s="148" t="s">
        <v>303</v>
      </c>
      <c r="H391" s="146">
        <v>0</v>
      </c>
      <c r="I391" s="146">
        <v>14</v>
      </c>
      <c r="J391" s="146" t="s">
        <v>148</v>
      </c>
      <c r="K391" s="146" t="s">
        <v>30</v>
      </c>
      <c r="L391" s="148" t="s">
        <v>3</v>
      </c>
      <c r="M391" s="146" t="s">
        <v>142</v>
      </c>
      <c r="N391" s="149">
        <v>1000</v>
      </c>
      <c r="O391" s="152">
        <f>SUMIF('GUDANG BESAR'!C:C,K:K,'GUDANG BESAR'!I:I)</f>
        <v>77089.399999999994</v>
      </c>
      <c r="P391" s="153">
        <f>SUMIF('GUDANG BESAR'!C:C,K:K,'GUDANG BESAR'!K:K)</f>
        <v>85569.233999999997</v>
      </c>
      <c r="Q391" s="150">
        <v>5.508</v>
      </c>
      <c r="R391" s="149">
        <v>5</v>
      </c>
      <c r="S391" s="149">
        <v>508</v>
      </c>
      <c r="T391" s="145">
        <f t="shared" si="18"/>
        <v>424608.41519999999</v>
      </c>
      <c r="U391" s="145">
        <f t="shared" si="19"/>
        <v>471315.34087199997</v>
      </c>
      <c r="V391" s="135" t="str">
        <f>VLOOKUP(K391,Sheet1!$B$5:$C$131,2,0)</f>
        <v>DYESTUFF</v>
      </c>
      <c r="W391" s="181">
        <f t="shared" si="20"/>
        <v>5.5079999999999999E-3</v>
      </c>
    </row>
    <row r="392" spans="1:23" s="139" customFormat="1">
      <c r="A392" s="146" t="s">
        <v>496</v>
      </c>
      <c r="B392" s="147" t="s">
        <v>497</v>
      </c>
      <c r="C392" s="146" t="s">
        <v>137</v>
      </c>
      <c r="D392" s="146" t="s">
        <v>138</v>
      </c>
      <c r="E392" s="146" t="s">
        <v>139</v>
      </c>
      <c r="F392" s="146" t="s">
        <v>162</v>
      </c>
      <c r="G392" s="148" t="s">
        <v>214</v>
      </c>
      <c r="H392" s="146">
        <v>0</v>
      </c>
      <c r="I392" s="146">
        <v>19</v>
      </c>
      <c r="J392" s="146" t="s">
        <v>163</v>
      </c>
      <c r="K392" s="146" t="s">
        <v>14</v>
      </c>
      <c r="L392" s="148" t="s">
        <v>3</v>
      </c>
      <c r="M392" s="146" t="s">
        <v>142</v>
      </c>
      <c r="N392" s="149">
        <v>1000</v>
      </c>
      <c r="O392" s="152">
        <f>SUMIF('GUDANG BESAR'!C:C,K:K,'GUDANG BESAR'!I:I)</f>
        <v>30500</v>
      </c>
      <c r="P392" s="153">
        <f>SUMIF('GUDANG BESAR'!C:C,K:K,'GUDANG BESAR'!K:K)</f>
        <v>33855</v>
      </c>
      <c r="Q392" s="150">
        <v>15</v>
      </c>
      <c r="R392" s="149">
        <v>15</v>
      </c>
      <c r="S392" s="149">
        <v>0</v>
      </c>
      <c r="T392" s="145">
        <f t="shared" si="18"/>
        <v>457500</v>
      </c>
      <c r="U392" s="145">
        <f t="shared" si="19"/>
        <v>507825</v>
      </c>
      <c r="V392" s="135" t="str">
        <f>VLOOKUP(K392,Sheet1!$B$5:$C$131,2,0)</f>
        <v>LIMBAH</v>
      </c>
      <c r="W392" s="181">
        <f t="shared" si="20"/>
        <v>1.4999999999999999E-2</v>
      </c>
    </row>
    <row r="393" spans="1:23" s="139" customFormat="1">
      <c r="A393" s="146" t="s">
        <v>496</v>
      </c>
      <c r="B393" s="147" t="s">
        <v>497</v>
      </c>
      <c r="C393" s="146" t="s">
        <v>137</v>
      </c>
      <c r="D393" s="146" t="s">
        <v>138</v>
      </c>
      <c r="E393" s="146" t="s">
        <v>139</v>
      </c>
      <c r="F393" s="146" t="s">
        <v>140</v>
      </c>
      <c r="G393" s="148" t="s">
        <v>300</v>
      </c>
      <c r="H393" s="146">
        <v>0</v>
      </c>
      <c r="I393" s="146">
        <v>15</v>
      </c>
      <c r="J393" s="146" t="s">
        <v>314</v>
      </c>
      <c r="K393" s="146" t="s">
        <v>281</v>
      </c>
      <c r="L393" s="148" t="s">
        <v>3</v>
      </c>
      <c r="M393" s="146" t="s">
        <v>142</v>
      </c>
      <c r="N393" s="149">
        <v>1000</v>
      </c>
      <c r="O393" s="152">
        <f>SUMIF('GUDANG BESAR'!C:C,K:K,'GUDANG BESAR'!I:I)</f>
        <v>23590.51</v>
      </c>
      <c r="P393" s="153">
        <f>SUMIF('GUDANG BESAR'!C:C,K:K,'GUDANG BESAR'!K:K)</f>
        <v>26185.466099999998</v>
      </c>
      <c r="Q393" s="150">
        <v>180</v>
      </c>
      <c r="R393" s="149">
        <v>180</v>
      </c>
      <c r="S393" s="149">
        <v>0</v>
      </c>
      <c r="T393" s="145">
        <f t="shared" si="18"/>
        <v>4246291.8</v>
      </c>
      <c r="U393" s="145">
        <f t="shared" si="19"/>
        <v>4713383.898</v>
      </c>
      <c r="V393" s="135" t="str">
        <f>VLOOKUP(K393,Sheet1!$B$5:$C$131,2,0)</f>
        <v>CK</v>
      </c>
      <c r="W393" s="181">
        <f t="shared" si="20"/>
        <v>0.18</v>
      </c>
    </row>
    <row r="394" spans="1:23" s="139" customFormat="1">
      <c r="A394" s="146" t="s">
        <v>496</v>
      </c>
      <c r="B394" s="147" t="s">
        <v>497</v>
      </c>
      <c r="C394" s="146" t="s">
        <v>137</v>
      </c>
      <c r="D394" s="146" t="s">
        <v>138</v>
      </c>
      <c r="E394" s="146" t="s">
        <v>139</v>
      </c>
      <c r="F394" s="146" t="s">
        <v>162</v>
      </c>
      <c r="G394" s="148" t="s">
        <v>214</v>
      </c>
      <c r="H394" s="146">
        <v>0</v>
      </c>
      <c r="I394" s="146">
        <v>16</v>
      </c>
      <c r="J394" s="146" t="s">
        <v>234</v>
      </c>
      <c r="K394" s="146" t="s">
        <v>233</v>
      </c>
      <c r="L394" s="148" t="s">
        <v>3</v>
      </c>
      <c r="M394" s="146" t="s">
        <v>142</v>
      </c>
      <c r="N394" s="149">
        <v>1000</v>
      </c>
      <c r="O394" s="152">
        <f>SUMIF('GUDANG BESAR'!C:C,K:K,'GUDANG BESAR'!I:I)</f>
        <v>5500</v>
      </c>
      <c r="P394" s="153">
        <f>SUMIF('GUDANG BESAR'!C:C,K:K,'GUDANG BESAR'!K:K)</f>
        <v>6105</v>
      </c>
      <c r="Q394" s="150">
        <v>125</v>
      </c>
      <c r="R394" s="149">
        <v>125</v>
      </c>
      <c r="S394" s="149">
        <v>0</v>
      </c>
      <c r="T394" s="145">
        <f t="shared" si="18"/>
        <v>687500</v>
      </c>
      <c r="U394" s="145">
        <f t="shared" si="19"/>
        <v>763125</v>
      </c>
      <c r="V394" s="135" t="str">
        <f>VLOOKUP(K394,Sheet1!$B$5:$C$131,2,0)</f>
        <v>LIMBAH</v>
      </c>
      <c r="W394" s="181">
        <f t="shared" si="20"/>
        <v>0.125</v>
      </c>
    </row>
    <row r="395" spans="1:23" s="139" customFormat="1">
      <c r="A395" s="146" t="s">
        <v>496</v>
      </c>
      <c r="B395" s="147" t="s">
        <v>497</v>
      </c>
      <c r="C395" s="146" t="s">
        <v>137</v>
      </c>
      <c r="D395" s="146" t="s">
        <v>138</v>
      </c>
      <c r="E395" s="146" t="s">
        <v>139</v>
      </c>
      <c r="F395" s="146" t="s">
        <v>162</v>
      </c>
      <c r="G395" s="148" t="s">
        <v>214</v>
      </c>
      <c r="H395" s="146">
        <v>0</v>
      </c>
      <c r="I395" s="146">
        <v>22</v>
      </c>
      <c r="J395" s="146" t="s">
        <v>165</v>
      </c>
      <c r="K395" s="146" t="s">
        <v>80</v>
      </c>
      <c r="L395" s="148" t="s">
        <v>3</v>
      </c>
      <c r="M395" s="146" t="s">
        <v>142</v>
      </c>
      <c r="N395" s="149">
        <v>1000</v>
      </c>
      <c r="O395" s="152">
        <f>SUMIF('GUDANG BESAR'!C:C,K:K,'GUDANG BESAR'!I:I)</f>
        <v>1550000</v>
      </c>
      <c r="P395" s="153">
        <f>SUMIF('GUDANG BESAR'!C:C,K:K,'GUDANG BESAR'!K:K)</f>
        <v>1720500</v>
      </c>
      <c r="Q395" s="150">
        <v>0.05</v>
      </c>
      <c r="R395" s="149">
        <v>0</v>
      </c>
      <c r="S395" s="149">
        <v>50</v>
      </c>
      <c r="T395" s="145">
        <f t="shared" si="18"/>
        <v>77500</v>
      </c>
      <c r="U395" s="145">
        <f t="shared" si="19"/>
        <v>86025</v>
      </c>
      <c r="V395" s="135" t="str">
        <f>VLOOKUP(K395,Sheet1!$B$5:$C$131,2,0)</f>
        <v>LIMBAH</v>
      </c>
      <c r="W395" s="181">
        <f t="shared" si="20"/>
        <v>5.0000000000000002E-5</v>
      </c>
    </row>
    <row r="396" spans="1:23" s="139" customFormat="1">
      <c r="A396" s="146" t="s">
        <v>496</v>
      </c>
      <c r="B396" s="147" t="s">
        <v>497</v>
      </c>
      <c r="C396" s="146" t="s">
        <v>137</v>
      </c>
      <c r="D396" s="146" t="s">
        <v>138</v>
      </c>
      <c r="E396" s="146" t="s">
        <v>139</v>
      </c>
      <c r="F396" s="146" t="s">
        <v>162</v>
      </c>
      <c r="G396" s="148" t="s">
        <v>214</v>
      </c>
      <c r="H396" s="146">
        <v>0</v>
      </c>
      <c r="I396" s="146">
        <v>21</v>
      </c>
      <c r="J396" s="146" t="s">
        <v>164</v>
      </c>
      <c r="K396" s="146" t="s">
        <v>74</v>
      </c>
      <c r="L396" s="148" t="s">
        <v>5</v>
      </c>
      <c r="M396" s="146" t="s">
        <v>142</v>
      </c>
      <c r="N396" s="149">
        <v>1000</v>
      </c>
      <c r="O396" s="152">
        <f>SUMIF('GUDANG BESAR'!C:C,K:K,'GUDANG BESAR'!I:I)</f>
        <v>13180</v>
      </c>
      <c r="P396" s="153">
        <f>SUMIF('GUDANG BESAR'!C:C,K:K,'GUDANG BESAR'!K:K)</f>
        <v>14629.8</v>
      </c>
      <c r="Q396" s="150">
        <v>15</v>
      </c>
      <c r="R396" s="149">
        <v>15</v>
      </c>
      <c r="S396" s="149">
        <v>0</v>
      </c>
      <c r="T396" s="145">
        <f t="shared" si="18"/>
        <v>197700</v>
      </c>
      <c r="U396" s="145">
        <f t="shared" si="19"/>
        <v>219447</v>
      </c>
      <c r="V396" s="135" t="str">
        <f>VLOOKUP(K396,Sheet1!$B$5:$C$131,2,0)</f>
        <v>LIMBAH</v>
      </c>
      <c r="W396" s="181">
        <f t="shared" si="20"/>
        <v>1.4999999999999999E-2</v>
      </c>
    </row>
    <row r="397" spans="1:23" s="139" customFormat="1">
      <c r="A397" s="146" t="s">
        <v>496</v>
      </c>
      <c r="B397" s="147" t="s">
        <v>497</v>
      </c>
      <c r="C397" s="146" t="s">
        <v>137</v>
      </c>
      <c r="D397" s="146" t="s">
        <v>138</v>
      </c>
      <c r="E397" s="146" t="s">
        <v>139</v>
      </c>
      <c r="F397" s="146" t="s">
        <v>162</v>
      </c>
      <c r="G397" s="148" t="s">
        <v>214</v>
      </c>
      <c r="H397" s="146">
        <v>0</v>
      </c>
      <c r="I397" s="146">
        <v>17</v>
      </c>
      <c r="J397" s="146" t="s">
        <v>262</v>
      </c>
      <c r="K397" s="146" t="s">
        <v>258</v>
      </c>
      <c r="L397" s="148" t="s">
        <v>3</v>
      </c>
      <c r="M397" s="146" t="s">
        <v>142</v>
      </c>
      <c r="N397" s="149">
        <v>1000</v>
      </c>
      <c r="O397" s="152">
        <f>SUMIF('GUDANG BESAR'!C:C,K:K,'GUDANG BESAR'!I:I)</f>
        <v>33000</v>
      </c>
      <c r="P397" s="153">
        <f>SUMIF('GUDANG BESAR'!C:C,K:K,'GUDANG BESAR'!K:K)</f>
        <v>36630</v>
      </c>
      <c r="Q397" s="150">
        <v>7</v>
      </c>
      <c r="R397" s="149">
        <v>7</v>
      </c>
      <c r="S397" s="149">
        <v>0</v>
      </c>
      <c r="T397" s="145">
        <f t="shared" si="18"/>
        <v>231000</v>
      </c>
      <c r="U397" s="145">
        <f t="shared" si="19"/>
        <v>256410</v>
      </c>
      <c r="V397" s="135" t="str">
        <f>VLOOKUP(K397,Sheet1!$B$5:$C$131,2,0)</f>
        <v>LIMBAH</v>
      </c>
      <c r="W397" s="181">
        <f t="shared" si="20"/>
        <v>7.0000000000000001E-3</v>
      </c>
    </row>
    <row r="398" spans="1:23" s="139" customFormat="1">
      <c r="A398" s="146" t="s">
        <v>496</v>
      </c>
      <c r="B398" s="147" t="s">
        <v>497</v>
      </c>
      <c r="C398" s="146" t="s">
        <v>137</v>
      </c>
      <c r="D398" s="146" t="s">
        <v>138</v>
      </c>
      <c r="E398" s="146" t="s">
        <v>139</v>
      </c>
      <c r="F398" s="146" t="s">
        <v>162</v>
      </c>
      <c r="G398" s="148" t="s">
        <v>214</v>
      </c>
      <c r="H398" s="146">
        <v>0</v>
      </c>
      <c r="I398" s="146">
        <v>18</v>
      </c>
      <c r="J398" s="146" t="s">
        <v>263</v>
      </c>
      <c r="K398" s="146" t="s">
        <v>259</v>
      </c>
      <c r="L398" s="148" t="s">
        <v>3</v>
      </c>
      <c r="M398" s="146" t="s">
        <v>142</v>
      </c>
      <c r="N398" s="149">
        <v>1000</v>
      </c>
      <c r="O398" s="152">
        <f>SUMIF('GUDANG BESAR'!C:C,K:K,'GUDANG BESAR'!I:I)</f>
        <v>47500</v>
      </c>
      <c r="P398" s="153">
        <f>SUMIF('GUDANG BESAR'!C:C,K:K,'GUDANG BESAR'!K:K)</f>
        <v>52725</v>
      </c>
      <c r="Q398" s="150">
        <v>9</v>
      </c>
      <c r="R398" s="149">
        <v>9</v>
      </c>
      <c r="S398" s="149">
        <v>0</v>
      </c>
      <c r="T398" s="145">
        <f t="shared" si="18"/>
        <v>427500</v>
      </c>
      <c r="U398" s="145">
        <f t="shared" si="19"/>
        <v>474525</v>
      </c>
      <c r="V398" s="135" t="str">
        <f>VLOOKUP(K398,Sheet1!$B$5:$C$131,2,0)</f>
        <v>LIMBAH</v>
      </c>
      <c r="W398" s="181">
        <f t="shared" si="20"/>
        <v>8.9999999999999993E-3</v>
      </c>
    </row>
    <row r="399" spans="1:23" s="139" customFormat="1">
      <c r="A399" s="146" t="s">
        <v>498</v>
      </c>
      <c r="B399" s="147" t="s">
        <v>499</v>
      </c>
      <c r="C399" s="146" t="s">
        <v>137</v>
      </c>
      <c r="D399" s="146" t="s">
        <v>138</v>
      </c>
      <c r="E399" s="146" t="s">
        <v>139</v>
      </c>
      <c r="F399" s="146" t="s">
        <v>153</v>
      </c>
      <c r="G399" s="148" t="s">
        <v>299</v>
      </c>
      <c r="H399" s="146">
        <v>0</v>
      </c>
      <c r="I399" s="146">
        <v>17</v>
      </c>
      <c r="J399" s="146" t="s">
        <v>154</v>
      </c>
      <c r="K399" s="146" t="s">
        <v>23</v>
      </c>
      <c r="L399" s="148" t="s">
        <v>3</v>
      </c>
      <c r="M399" s="146" t="s">
        <v>142</v>
      </c>
      <c r="N399" s="149">
        <v>1000</v>
      </c>
      <c r="O399" s="152">
        <f>SUMIF('GUDANG BESAR'!C:C,K:K,'GUDANG BESAR'!I:I)</f>
        <v>28844</v>
      </c>
      <c r="P399" s="153">
        <f>SUMIF('GUDANG BESAR'!C:C,K:K,'GUDANG BESAR'!K:K)</f>
        <v>32016.84</v>
      </c>
      <c r="Q399" s="150">
        <v>150</v>
      </c>
      <c r="R399" s="149">
        <v>150</v>
      </c>
      <c r="S399" s="149">
        <v>0</v>
      </c>
      <c r="T399" s="145">
        <f t="shared" si="18"/>
        <v>4326600</v>
      </c>
      <c r="U399" s="145">
        <f t="shared" si="19"/>
        <v>4802526</v>
      </c>
      <c r="V399" s="135" t="str">
        <f>VLOOKUP(K399,Sheet1!$B$5:$C$131,2,0)</f>
        <v>RC</v>
      </c>
      <c r="W399" s="181">
        <f t="shared" si="20"/>
        <v>0.15</v>
      </c>
    </row>
    <row r="400" spans="1:23" s="139" customFormat="1">
      <c r="A400" s="146" t="s">
        <v>498</v>
      </c>
      <c r="B400" s="147" t="s">
        <v>499</v>
      </c>
      <c r="C400" s="146" t="s">
        <v>137</v>
      </c>
      <c r="D400" s="146" t="s">
        <v>138</v>
      </c>
      <c r="E400" s="146" t="s">
        <v>139</v>
      </c>
      <c r="F400" s="146" t="s">
        <v>159</v>
      </c>
      <c r="G400" s="148" t="s">
        <v>302</v>
      </c>
      <c r="H400" s="146">
        <v>0</v>
      </c>
      <c r="I400" s="146">
        <v>22</v>
      </c>
      <c r="J400" s="146" t="s">
        <v>160</v>
      </c>
      <c r="K400" s="146" t="s">
        <v>62</v>
      </c>
      <c r="L400" s="148" t="s">
        <v>3</v>
      </c>
      <c r="M400" s="146" t="s">
        <v>142</v>
      </c>
      <c r="N400" s="149">
        <v>1000</v>
      </c>
      <c r="O400" s="152">
        <f>SUMIF('GUDANG BESAR'!C:C,K:K,'GUDANG BESAR'!I:I)</f>
        <v>24000</v>
      </c>
      <c r="P400" s="153">
        <f>SUMIF('GUDANG BESAR'!C:C,K:K,'GUDANG BESAR'!K:K)</f>
        <v>26640</v>
      </c>
      <c r="Q400" s="150">
        <v>60</v>
      </c>
      <c r="R400" s="149">
        <v>60</v>
      </c>
      <c r="S400" s="149">
        <v>0</v>
      </c>
      <c r="T400" s="145">
        <f t="shared" si="18"/>
        <v>1440000</v>
      </c>
      <c r="U400" s="145">
        <f t="shared" si="19"/>
        <v>1598400</v>
      </c>
      <c r="V400" s="135" t="str">
        <f>VLOOKUP(K400,Sheet1!$B$5:$C$131,2,0)</f>
        <v>BOILER</v>
      </c>
      <c r="W400" s="181">
        <f t="shared" si="20"/>
        <v>0.06</v>
      </c>
    </row>
    <row r="401" spans="1:23" s="139" customFormat="1">
      <c r="A401" s="146" t="s">
        <v>498</v>
      </c>
      <c r="B401" s="147" t="s">
        <v>499</v>
      </c>
      <c r="C401" s="146" t="s">
        <v>137</v>
      </c>
      <c r="D401" s="146" t="s">
        <v>138</v>
      </c>
      <c r="E401" s="146" t="s">
        <v>139</v>
      </c>
      <c r="F401" s="146" t="s">
        <v>159</v>
      </c>
      <c r="G401" s="148" t="s">
        <v>302</v>
      </c>
      <c r="H401" s="146">
        <v>0</v>
      </c>
      <c r="I401" s="146">
        <v>23</v>
      </c>
      <c r="J401" s="146" t="s">
        <v>161</v>
      </c>
      <c r="K401" s="146" t="s">
        <v>63</v>
      </c>
      <c r="L401" s="148" t="s">
        <v>3</v>
      </c>
      <c r="M401" s="146" t="s">
        <v>142</v>
      </c>
      <c r="N401" s="149">
        <v>1000</v>
      </c>
      <c r="O401" s="152">
        <f>SUMIF('GUDANG BESAR'!C:C,K:K,'GUDANG BESAR'!I:I)</f>
        <v>23000</v>
      </c>
      <c r="P401" s="153">
        <f>SUMIF('GUDANG BESAR'!C:C,K:K,'GUDANG BESAR'!K:K)</f>
        <v>25530</v>
      </c>
      <c r="Q401" s="150">
        <v>60</v>
      </c>
      <c r="R401" s="149">
        <v>60</v>
      </c>
      <c r="S401" s="149">
        <v>0</v>
      </c>
      <c r="T401" s="145">
        <f t="shared" si="18"/>
        <v>1380000</v>
      </c>
      <c r="U401" s="145">
        <f t="shared" si="19"/>
        <v>1531800</v>
      </c>
      <c r="V401" s="135" t="str">
        <f>VLOOKUP(K401,Sheet1!$B$5:$C$131,2,0)</f>
        <v>BOILER</v>
      </c>
      <c r="W401" s="181">
        <f t="shared" si="20"/>
        <v>0.06</v>
      </c>
    </row>
    <row r="402" spans="1:23" s="139" customFormat="1">
      <c r="A402" s="146" t="s">
        <v>498</v>
      </c>
      <c r="B402" s="147" t="s">
        <v>499</v>
      </c>
      <c r="C402" s="146" t="s">
        <v>137</v>
      </c>
      <c r="D402" s="146" t="s">
        <v>138</v>
      </c>
      <c r="E402" s="146" t="s">
        <v>139</v>
      </c>
      <c r="F402" s="146" t="s">
        <v>153</v>
      </c>
      <c r="G402" s="148" t="s">
        <v>299</v>
      </c>
      <c r="H402" s="146">
        <v>0</v>
      </c>
      <c r="I402" s="146">
        <v>18</v>
      </c>
      <c r="J402" s="146" t="s">
        <v>155</v>
      </c>
      <c r="K402" s="146" t="s">
        <v>33</v>
      </c>
      <c r="L402" s="148" t="s">
        <v>3</v>
      </c>
      <c r="M402" s="146" t="s">
        <v>142</v>
      </c>
      <c r="N402" s="149">
        <v>1000</v>
      </c>
      <c r="O402" s="152">
        <f>SUMIF('GUDANG BESAR'!C:C,K:K,'GUDANG BESAR'!I:I)</f>
        <v>11087.5</v>
      </c>
      <c r="P402" s="153">
        <f>SUMIF('GUDANG BESAR'!C:C,K:K,'GUDANG BESAR'!K:K)</f>
        <v>12307.125</v>
      </c>
      <c r="Q402" s="150">
        <v>100</v>
      </c>
      <c r="R402" s="149">
        <v>100</v>
      </c>
      <c r="S402" s="149">
        <v>0</v>
      </c>
      <c r="T402" s="145">
        <f t="shared" si="18"/>
        <v>1108750</v>
      </c>
      <c r="U402" s="145">
        <f t="shared" si="19"/>
        <v>1230712.5</v>
      </c>
      <c r="V402" s="135" t="str">
        <f>VLOOKUP(K402,Sheet1!$B$5:$C$131,2,0)</f>
        <v>RC</v>
      </c>
      <c r="W402" s="181">
        <f t="shared" si="20"/>
        <v>0.1</v>
      </c>
    </row>
    <row r="403" spans="1:23" s="139" customFormat="1">
      <c r="A403" s="146" t="s">
        <v>498</v>
      </c>
      <c r="B403" s="147" t="s">
        <v>499</v>
      </c>
      <c r="C403" s="146" t="s">
        <v>137</v>
      </c>
      <c r="D403" s="146" t="s">
        <v>138</v>
      </c>
      <c r="E403" s="146" t="s">
        <v>139</v>
      </c>
      <c r="F403" s="146" t="s">
        <v>140</v>
      </c>
      <c r="G403" s="148" t="s">
        <v>303</v>
      </c>
      <c r="H403" s="146">
        <v>0</v>
      </c>
      <c r="I403" s="146">
        <v>1</v>
      </c>
      <c r="J403" s="146" t="s">
        <v>141</v>
      </c>
      <c r="K403" s="146" t="s">
        <v>37</v>
      </c>
      <c r="L403" s="148" t="s">
        <v>3</v>
      </c>
      <c r="M403" s="146" t="s">
        <v>142</v>
      </c>
      <c r="N403" s="149">
        <v>1000</v>
      </c>
      <c r="O403" s="152">
        <f>SUMIF('GUDANG BESAR'!C:C,K:K,'GUDANG BESAR'!I:I)</f>
        <v>51276</v>
      </c>
      <c r="P403" s="153">
        <f>SUMIF('GUDANG BESAR'!C:C,K:K,'GUDANG BESAR'!K:K)</f>
        <v>56916.36</v>
      </c>
      <c r="Q403" s="150">
        <v>5.4480000000000004</v>
      </c>
      <c r="R403" s="149">
        <v>5</v>
      </c>
      <c r="S403" s="149">
        <v>448</v>
      </c>
      <c r="T403" s="145">
        <f t="shared" si="18"/>
        <v>279351.64800000004</v>
      </c>
      <c r="U403" s="145">
        <f t="shared" si="19"/>
        <v>310080.32928000001</v>
      </c>
      <c r="V403" s="135" t="str">
        <f>VLOOKUP(K403,Sheet1!$B$5:$C$131,2,0)</f>
        <v>DYESTUFF</v>
      </c>
      <c r="W403" s="181">
        <f t="shared" si="20"/>
        <v>5.4480000000000006E-3</v>
      </c>
    </row>
    <row r="404" spans="1:23" s="139" customFormat="1">
      <c r="A404" s="146" t="s">
        <v>498</v>
      </c>
      <c r="B404" s="147" t="s">
        <v>499</v>
      </c>
      <c r="C404" s="146" t="s">
        <v>137</v>
      </c>
      <c r="D404" s="146" t="s">
        <v>138</v>
      </c>
      <c r="E404" s="146" t="s">
        <v>139</v>
      </c>
      <c r="F404" s="146" t="s">
        <v>140</v>
      </c>
      <c r="G404" s="148" t="s">
        <v>303</v>
      </c>
      <c r="H404" s="146">
        <v>0</v>
      </c>
      <c r="I404" s="146">
        <v>2</v>
      </c>
      <c r="J404" s="146" t="s">
        <v>346</v>
      </c>
      <c r="K404" s="146" t="s">
        <v>343</v>
      </c>
      <c r="L404" s="148" t="s">
        <v>3</v>
      </c>
      <c r="M404" s="146" t="s">
        <v>142</v>
      </c>
      <c r="N404" s="149">
        <v>1000</v>
      </c>
      <c r="O404" s="152">
        <f>SUMIF('GUDANG BESAR'!C:C,K:K,'GUDANG BESAR'!I:I)</f>
        <v>60680</v>
      </c>
      <c r="P404" s="153">
        <f>SUMIF('GUDANG BESAR'!C:C,K:K,'GUDANG BESAR'!K:K)</f>
        <v>67354.8</v>
      </c>
      <c r="Q404" s="150">
        <v>15.291</v>
      </c>
      <c r="R404" s="149">
        <v>15</v>
      </c>
      <c r="S404" s="149">
        <v>291</v>
      </c>
      <c r="T404" s="145">
        <f t="shared" si="18"/>
        <v>927857.88</v>
      </c>
      <c r="U404" s="145">
        <f t="shared" si="19"/>
        <v>1029922.2468000001</v>
      </c>
      <c r="V404" s="135" t="str">
        <f>VLOOKUP(K404,Sheet1!$B$5:$C$131,2,0)</f>
        <v>DYESTUFF</v>
      </c>
      <c r="W404" s="181">
        <f t="shared" si="20"/>
        <v>1.5291000000000001E-2</v>
      </c>
    </row>
    <row r="405" spans="1:23" s="139" customFormat="1">
      <c r="A405" s="146" t="s">
        <v>498</v>
      </c>
      <c r="B405" s="147" t="s">
        <v>499</v>
      </c>
      <c r="C405" s="146" t="s">
        <v>137</v>
      </c>
      <c r="D405" s="146" t="s">
        <v>138</v>
      </c>
      <c r="E405" s="146" t="s">
        <v>139</v>
      </c>
      <c r="F405" s="146" t="s">
        <v>140</v>
      </c>
      <c r="G405" s="148" t="s">
        <v>303</v>
      </c>
      <c r="H405" s="146">
        <v>0</v>
      </c>
      <c r="I405" s="146">
        <v>11</v>
      </c>
      <c r="J405" s="146" t="s">
        <v>151</v>
      </c>
      <c r="K405" s="146" t="s">
        <v>28</v>
      </c>
      <c r="L405" s="148" t="s">
        <v>3</v>
      </c>
      <c r="M405" s="146" t="s">
        <v>142</v>
      </c>
      <c r="N405" s="149">
        <v>1000</v>
      </c>
      <c r="O405" s="152">
        <f>SUMIF('GUDANG BESAR'!C:C,K:K,'GUDANG BESAR'!I:I)</f>
        <v>413967</v>
      </c>
      <c r="P405" s="153">
        <f>SUMIF('GUDANG BESAR'!C:C,K:K,'GUDANG BESAR'!K:K)</f>
        <v>459503.37</v>
      </c>
      <c r="Q405" s="150">
        <v>1.4E-2</v>
      </c>
      <c r="R405" s="149">
        <v>0</v>
      </c>
      <c r="S405" s="149">
        <v>14</v>
      </c>
      <c r="T405" s="145">
        <f t="shared" si="18"/>
        <v>5795.5380000000005</v>
      </c>
      <c r="U405" s="145">
        <f t="shared" si="19"/>
        <v>6433.0471800000005</v>
      </c>
      <c r="V405" s="135" t="str">
        <f>VLOOKUP(K405,Sheet1!$B$5:$C$131,2,0)</f>
        <v>DYESTUFF</v>
      </c>
      <c r="W405" s="181">
        <f t="shared" si="20"/>
        <v>1.4E-5</v>
      </c>
    </row>
    <row r="406" spans="1:23" s="139" customFormat="1">
      <c r="A406" s="146" t="s">
        <v>498</v>
      </c>
      <c r="B406" s="147" t="s">
        <v>499</v>
      </c>
      <c r="C406" s="146" t="s">
        <v>137</v>
      </c>
      <c r="D406" s="146" t="s">
        <v>138</v>
      </c>
      <c r="E406" s="146" t="s">
        <v>139</v>
      </c>
      <c r="F406" s="146" t="s">
        <v>140</v>
      </c>
      <c r="G406" s="148" t="s">
        <v>303</v>
      </c>
      <c r="H406" s="146">
        <v>0</v>
      </c>
      <c r="I406" s="146">
        <v>3</v>
      </c>
      <c r="J406" s="146" t="s">
        <v>169</v>
      </c>
      <c r="K406" s="146" t="s">
        <v>64</v>
      </c>
      <c r="L406" s="148" t="s">
        <v>3</v>
      </c>
      <c r="M406" s="146" t="s">
        <v>142</v>
      </c>
      <c r="N406" s="149">
        <v>1000</v>
      </c>
      <c r="O406" s="152">
        <f>SUMIF('GUDANG BESAR'!C:C,K:K,'GUDANG BESAR'!I:I)</f>
        <v>506080</v>
      </c>
      <c r="P406" s="153">
        <f>SUMIF('GUDANG BESAR'!C:C,K:K,'GUDANG BESAR'!K:K)</f>
        <v>561748.80000000005</v>
      </c>
      <c r="Q406" s="150">
        <v>0.13900000000000001</v>
      </c>
      <c r="R406" s="149">
        <v>0</v>
      </c>
      <c r="S406" s="149">
        <v>139</v>
      </c>
      <c r="T406" s="145">
        <f t="shared" si="18"/>
        <v>70345.12000000001</v>
      </c>
      <c r="U406" s="145">
        <f t="shared" si="19"/>
        <v>78083.083200000008</v>
      </c>
      <c r="V406" s="135" t="str">
        <f>VLOOKUP(K406,Sheet1!$B$5:$C$131,2,0)</f>
        <v>DYESTUFF</v>
      </c>
      <c r="W406" s="181">
        <f t="shared" si="20"/>
        <v>1.3900000000000002E-4</v>
      </c>
    </row>
    <row r="407" spans="1:23" s="139" customFormat="1">
      <c r="A407" s="146" t="s">
        <v>498</v>
      </c>
      <c r="B407" s="147" t="s">
        <v>499</v>
      </c>
      <c r="C407" s="146" t="s">
        <v>137</v>
      </c>
      <c r="D407" s="146" t="s">
        <v>138</v>
      </c>
      <c r="E407" s="146" t="s">
        <v>139</v>
      </c>
      <c r="F407" s="146" t="s">
        <v>140</v>
      </c>
      <c r="G407" s="148" t="s">
        <v>303</v>
      </c>
      <c r="H407" s="146">
        <v>0</v>
      </c>
      <c r="I407" s="146">
        <v>4</v>
      </c>
      <c r="J407" s="146" t="s">
        <v>250</v>
      </c>
      <c r="K407" s="146" t="s">
        <v>38</v>
      </c>
      <c r="L407" s="148" t="s">
        <v>3</v>
      </c>
      <c r="M407" s="146" t="s">
        <v>142</v>
      </c>
      <c r="N407" s="149">
        <v>1000</v>
      </c>
      <c r="O407" s="152">
        <f>SUMIF('GUDANG BESAR'!C:C,K:K,'GUDANG BESAR'!I:I)</f>
        <v>366255</v>
      </c>
      <c r="P407" s="153">
        <f>SUMIF('GUDANG BESAR'!C:C,K:K,'GUDANG BESAR'!K:K)</f>
        <v>406543.05</v>
      </c>
      <c r="Q407" s="150">
        <v>0.01</v>
      </c>
      <c r="R407" s="149">
        <v>0</v>
      </c>
      <c r="S407" s="149">
        <v>10</v>
      </c>
      <c r="T407" s="145">
        <f t="shared" si="18"/>
        <v>3662.55</v>
      </c>
      <c r="U407" s="145">
        <f t="shared" si="19"/>
        <v>4065.4304999999999</v>
      </c>
      <c r="V407" s="135" t="str">
        <f>VLOOKUP(K407,Sheet1!$B$5:$C$131,2,0)</f>
        <v>DYESTUFF</v>
      </c>
      <c r="W407" s="181">
        <f t="shared" si="20"/>
        <v>1.0000000000000001E-5</v>
      </c>
    </row>
    <row r="408" spans="1:23" s="139" customFormat="1">
      <c r="A408" s="146" t="s">
        <v>498</v>
      </c>
      <c r="B408" s="147" t="s">
        <v>499</v>
      </c>
      <c r="C408" s="146" t="s">
        <v>137</v>
      </c>
      <c r="D408" s="146" t="s">
        <v>138</v>
      </c>
      <c r="E408" s="146" t="s">
        <v>139</v>
      </c>
      <c r="F408" s="146" t="s">
        <v>140</v>
      </c>
      <c r="G408" s="148" t="s">
        <v>303</v>
      </c>
      <c r="H408" s="146">
        <v>0</v>
      </c>
      <c r="I408" s="146">
        <v>5</v>
      </c>
      <c r="J408" s="146" t="s">
        <v>144</v>
      </c>
      <c r="K408" s="146" t="s">
        <v>26</v>
      </c>
      <c r="L408" s="148" t="s">
        <v>3</v>
      </c>
      <c r="M408" s="146" t="s">
        <v>142</v>
      </c>
      <c r="N408" s="149">
        <v>1000</v>
      </c>
      <c r="O408" s="152">
        <f>SUMIF('GUDANG BESAR'!C:C,K:K,'GUDANG BESAR'!I:I)</f>
        <v>52016</v>
      </c>
      <c r="P408" s="153">
        <f>SUMIF('GUDANG BESAR'!C:C,K:K,'GUDANG BESAR'!K:K)</f>
        <v>57737.760000000002</v>
      </c>
      <c r="Q408" s="150">
        <v>9.4719999999999995</v>
      </c>
      <c r="R408" s="149">
        <v>9</v>
      </c>
      <c r="S408" s="149">
        <v>472</v>
      </c>
      <c r="T408" s="145">
        <f t="shared" si="18"/>
        <v>492695.55199999997</v>
      </c>
      <c r="U408" s="145">
        <f t="shared" si="19"/>
        <v>546892.06272000005</v>
      </c>
      <c r="V408" s="135" t="str">
        <f>VLOOKUP(K408,Sheet1!$B$5:$C$131,2,0)</f>
        <v>DYESTUFF</v>
      </c>
      <c r="W408" s="181">
        <f t="shared" si="20"/>
        <v>9.4719999999999995E-3</v>
      </c>
    </row>
    <row r="409" spans="1:23" s="139" customFormat="1">
      <c r="A409" s="146" t="s">
        <v>498</v>
      </c>
      <c r="B409" s="147" t="s">
        <v>499</v>
      </c>
      <c r="C409" s="146" t="s">
        <v>137</v>
      </c>
      <c r="D409" s="146" t="s">
        <v>138</v>
      </c>
      <c r="E409" s="146" t="s">
        <v>139</v>
      </c>
      <c r="F409" s="146" t="s">
        <v>140</v>
      </c>
      <c r="G409" s="148" t="s">
        <v>303</v>
      </c>
      <c r="H409" s="146">
        <v>0</v>
      </c>
      <c r="I409" s="146">
        <v>6</v>
      </c>
      <c r="J409" s="146" t="s">
        <v>145</v>
      </c>
      <c r="K409" s="146" t="s">
        <v>27</v>
      </c>
      <c r="L409" s="148" t="s">
        <v>3</v>
      </c>
      <c r="M409" s="146" t="s">
        <v>142</v>
      </c>
      <c r="N409" s="149">
        <v>1000</v>
      </c>
      <c r="O409" s="152">
        <f>SUMIF('GUDANG BESAR'!C:C,K:K,'GUDANG BESAR'!I:I)</f>
        <v>71148</v>
      </c>
      <c r="P409" s="153">
        <f>SUMIF('GUDANG BESAR'!C:C,K:K,'GUDANG BESAR'!K:K)</f>
        <v>78974.28</v>
      </c>
      <c r="Q409" s="150">
        <v>0.85799999999999998</v>
      </c>
      <c r="R409" s="149">
        <v>0</v>
      </c>
      <c r="S409" s="149">
        <v>858</v>
      </c>
      <c r="T409" s="145">
        <f t="shared" si="18"/>
        <v>61044.983999999997</v>
      </c>
      <c r="U409" s="145">
        <f t="shared" si="19"/>
        <v>67759.932239999995</v>
      </c>
      <c r="V409" s="135" t="str">
        <f>VLOOKUP(K409,Sheet1!$B$5:$C$131,2,0)</f>
        <v>DYESTUFF</v>
      </c>
      <c r="W409" s="181">
        <f t="shared" si="20"/>
        <v>8.5800000000000004E-4</v>
      </c>
    </row>
    <row r="410" spans="1:23" s="139" customFormat="1">
      <c r="A410" s="146" t="s">
        <v>498</v>
      </c>
      <c r="B410" s="147" t="s">
        <v>499</v>
      </c>
      <c r="C410" s="146" t="s">
        <v>137</v>
      </c>
      <c r="D410" s="146" t="s">
        <v>138</v>
      </c>
      <c r="E410" s="146" t="s">
        <v>139</v>
      </c>
      <c r="F410" s="146" t="s">
        <v>140</v>
      </c>
      <c r="G410" s="148" t="s">
        <v>303</v>
      </c>
      <c r="H410" s="146">
        <v>0</v>
      </c>
      <c r="I410" s="146">
        <v>7</v>
      </c>
      <c r="J410" s="146" t="s">
        <v>289</v>
      </c>
      <c r="K410" s="146" t="s">
        <v>255</v>
      </c>
      <c r="L410" s="148" t="s">
        <v>3</v>
      </c>
      <c r="M410" s="146" t="s">
        <v>142</v>
      </c>
      <c r="N410" s="149">
        <v>1000</v>
      </c>
      <c r="O410" s="152">
        <f>SUMIF('GUDANG BESAR'!C:C,K:K,'GUDANG BESAR'!I:I)</f>
        <v>195336</v>
      </c>
      <c r="P410" s="153">
        <f>SUMIF('GUDANG BESAR'!C:C,K:K,'GUDANG BESAR'!K:K)</f>
        <v>216822.96</v>
      </c>
      <c r="Q410" s="150">
        <v>0.03</v>
      </c>
      <c r="R410" s="149">
        <v>0</v>
      </c>
      <c r="S410" s="149">
        <v>30</v>
      </c>
      <c r="T410" s="145">
        <f t="shared" si="18"/>
        <v>5860.08</v>
      </c>
      <c r="U410" s="145">
        <f t="shared" si="19"/>
        <v>6504.6887999999999</v>
      </c>
      <c r="V410" s="135" t="str">
        <f>VLOOKUP(K410,Sheet1!$B$5:$C$131,2,0)</f>
        <v>DYESTUFF</v>
      </c>
      <c r="W410" s="181">
        <f t="shared" si="20"/>
        <v>2.9999999999999997E-5</v>
      </c>
    </row>
    <row r="411" spans="1:23" s="139" customFormat="1">
      <c r="A411" s="146" t="s">
        <v>498</v>
      </c>
      <c r="B411" s="147" t="s">
        <v>499</v>
      </c>
      <c r="C411" s="146" t="s">
        <v>137</v>
      </c>
      <c r="D411" s="146" t="s">
        <v>138</v>
      </c>
      <c r="E411" s="146" t="s">
        <v>139</v>
      </c>
      <c r="F411" s="146" t="s">
        <v>140</v>
      </c>
      <c r="G411" s="148" t="s">
        <v>303</v>
      </c>
      <c r="H411" s="146">
        <v>0</v>
      </c>
      <c r="I411" s="146">
        <v>8</v>
      </c>
      <c r="J411" s="146" t="s">
        <v>171</v>
      </c>
      <c r="K411" s="146" t="s">
        <v>102</v>
      </c>
      <c r="L411" s="148" t="s">
        <v>3</v>
      </c>
      <c r="M411" s="146" t="s">
        <v>142</v>
      </c>
      <c r="N411" s="149">
        <v>1000</v>
      </c>
      <c r="O411" s="152">
        <f>SUMIF('GUDANG BESAR'!C:C,K:K,'GUDANG BESAR'!I:I)</f>
        <v>385283</v>
      </c>
      <c r="P411" s="153">
        <f>SUMIF('GUDANG BESAR'!C:C,K:K,'GUDANG BESAR'!K:K)</f>
        <v>427664.13</v>
      </c>
      <c r="Q411" s="150">
        <v>1.4E-2</v>
      </c>
      <c r="R411" s="149">
        <v>0</v>
      </c>
      <c r="S411" s="149">
        <v>14</v>
      </c>
      <c r="T411" s="145">
        <f t="shared" si="18"/>
        <v>5393.9620000000004</v>
      </c>
      <c r="U411" s="145">
        <f t="shared" si="19"/>
        <v>5987.2978199999998</v>
      </c>
      <c r="V411" s="135" t="str">
        <f>VLOOKUP(K411,Sheet1!$B$5:$C$131,2,0)</f>
        <v>DYESTUFF</v>
      </c>
      <c r="W411" s="181">
        <f t="shared" si="20"/>
        <v>1.4E-5</v>
      </c>
    </row>
    <row r="412" spans="1:23" s="139" customFormat="1">
      <c r="A412" s="146" t="s">
        <v>498</v>
      </c>
      <c r="B412" s="147" t="s">
        <v>499</v>
      </c>
      <c r="C412" s="146" t="s">
        <v>137</v>
      </c>
      <c r="D412" s="146" t="s">
        <v>138</v>
      </c>
      <c r="E412" s="146" t="s">
        <v>139</v>
      </c>
      <c r="F412" s="146" t="s">
        <v>140</v>
      </c>
      <c r="G412" s="148" t="s">
        <v>303</v>
      </c>
      <c r="H412" s="146">
        <v>0</v>
      </c>
      <c r="I412" s="146">
        <v>9</v>
      </c>
      <c r="J412" s="146" t="s">
        <v>146</v>
      </c>
      <c r="K412" s="146" t="s">
        <v>46</v>
      </c>
      <c r="L412" s="148" t="s">
        <v>3</v>
      </c>
      <c r="M412" s="146" t="s">
        <v>142</v>
      </c>
      <c r="N412" s="149">
        <v>1000</v>
      </c>
      <c r="O412" s="152">
        <f>SUMIF('GUDANG BESAR'!C:C,K:K,'GUDANG BESAR'!I:I)</f>
        <v>100812</v>
      </c>
      <c r="P412" s="153">
        <f>SUMIF('GUDANG BESAR'!C:C,K:K,'GUDANG BESAR'!K:K)</f>
        <v>111901.32</v>
      </c>
      <c r="Q412" s="150">
        <v>0.89200000000000002</v>
      </c>
      <c r="R412" s="149">
        <v>0</v>
      </c>
      <c r="S412" s="149">
        <v>892</v>
      </c>
      <c r="T412" s="145">
        <f t="shared" si="18"/>
        <v>89924.304000000004</v>
      </c>
      <c r="U412" s="145">
        <f t="shared" si="19"/>
        <v>99815.977440000002</v>
      </c>
      <c r="V412" s="135" t="str">
        <f>VLOOKUP(K412,Sheet1!$B$5:$C$131,2,0)</f>
        <v>DYESTUFF</v>
      </c>
      <c r="W412" s="181">
        <f t="shared" si="20"/>
        <v>8.92E-4</v>
      </c>
    </row>
    <row r="413" spans="1:23" s="139" customFormat="1">
      <c r="A413" s="146" t="s">
        <v>498</v>
      </c>
      <c r="B413" s="147" t="s">
        <v>499</v>
      </c>
      <c r="C413" s="146" t="s">
        <v>137</v>
      </c>
      <c r="D413" s="146" t="s">
        <v>138</v>
      </c>
      <c r="E413" s="146" t="s">
        <v>139</v>
      </c>
      <c r="F413" s="146" t="s">
        <v>140</v>
      </c>
      <c r="G413" s="148" t="s">
        <v>303</v>
      </c>
      <c r="H413" s="146">
        <v>0</v>
      </c>
      <c r="I413" s="146">
        <v>10</v>
      </c>
      <c r="J413" s="146" t="s">
        <v>147</v>
      </c>
      <c r="K413" s="146" t="s">
        <v>41</v>
      </c>
      <c r="L413" s="148" t="s">
        <v>3</v>
      </c>
      <c r="M413" s="146" t="s">
        <v>142</v>
      </c>
      <c r="N413" s="149">
        <v>1000</v>
      </c>
      <c r="O413" s="152">
        <f>SUMIF('GUDANG BESAR'!C:C,K:K,'GUDANG BESAR'!I:I)</f>
        <v>54071</v>
      </c>
      <c r="P413" s="153">
        <f>SUMIF('GUDANG BESAR'!C:C,K:K,'GUDANG BESAR'!K:K)</f>
        <v>60018.81</v>
      </c>
      <c r="Q413" s="150">
        <v>5.4320000000000004</v>
      </c>
      <c r="R413" s="149">
        <v>5</v>
      </c>
      <c r="S413" s="149">
        <v>432</v>
      </c>
      <c r="T413" s="145">
        <f t="shared" si="18"/>
        <v>293713.67200000002</v>
      </c>
      <c r="U413" s="145">
        <f t="shared" si="19"/>
        <v>326022.17592000001</v>
      </c>
      <c r="V413" s="135" t="str">
        <f>VLOOKUP(K413,Sheet1!$B$5:$C$131,2,0)</f>
        <v>DYESTUFF</v>
      </c>
      <c r="W413" s="181">
        <f t="shared" si="20"/>
        <v>5.4320000000000002E-3</v>
      </c>
    </row>
    <row r="414" spans="1:23" s="139" customFormat="1">
      <c r="A414" s="146" t="s">
        <v>498</v>
      </c>
      <c r="B414" s="147" t="s">
        <v>499</v>
      </c>
      <c r="C414" s="146" t="s">
        <v>137</v>
      </c>
      <c r="D414" s="146" t="s">
        <v>138</v>
      </c>
      <c r="E414" s="146" t="s">
        <v>139</v>
      </c>
      <c r="F414" s="146" t="s">
        <v>140</v>
      </c>
      <c r="G414" s="148" t="s">
        <v>303</v>
      </c>
      <c r="H414" s="146">
        <v>0</v>
      </c>
      <c r="I414" s="146">
        <v>12</v>
      </c>
      <c r="J414" s="146" t="s">
        <v>170</v>
      </c>
      <c r="K414" s="146" t="s">
        <v>29</v>
      </c>
      <c r="L414" s="148" t="s">
        <v>3</v>
      </c>
      <c r="M414" s="146" t="s">
        <v>142</v>
      </c>
      <c r="N414" s="149">
        <v>1000</v>
      </c>
      <c r="O414" s="152">
        <f>SUMIF('GUDANG BESAR'!C:C,K:K,'GUDANG BESAR'!I:I)</f>
        <v>100590</v>
      </c>
      <c r="P414" s="153">
        <f>SUMIF('GUDANG BESAR'!C:C,K:K,'GUDANG BESAR'!K:K)</f>
        <v>111654.9</v>
      </c>
      <c r="Q414" s="150">
        <v>0.03</v>
      </c>
      <c r="R414" s="149">
        <v>0</v>
      </c>
      <c r="S414" s="149">
        <v>30</v>
      </c>
      <c r="T414" s="145">
        <f t="shared" si="18"/>
        <v>3017.7</v>
      </c>
      <c r="U414" s="145">
        <f t="shared" si="19"/>
        <v>3349.6469999999995</v>
      </c>
      <c r="V414" s="135" t="str">
        <f>VLOOKUP(K414,Sheet1!$B$5:$C$131,2,0)</f>
        <v>DYESTUFF</v>
      </c>
      <c r="W414" s="181">
        <f t="shared" si="20"/>
        <v>2.9999999999999997E-5</v>
      </c>
    </row>
    <row r="415" spans="1:23" s="139" customFormat="1">
      <c r="A415" s="146" t="s">
        <v>498</v>
      </c>
      <c r="B415" s="147" t="s">
        <v>499</v>
      </c>
      <c r="C415" s="146" t="s">
        <v>137</v>
      </c>
      <c r="D415" s="146" t="s">
        <v>138</v>
      </c>
      <c r="E415" s="146" t="s">
        <v>139</v>
      </c>
      <c r="F415" s="146" t="s">
        <v>140</v>
      </c>
      <c r="G415" s="148" t="s">
        <v>303</v>
      </c>
      <c r="H415" s="146">
        <v>0</v>
      </c>
      <c r="I415" s="146">
        <v>13</v>
      </c>
      <c r="J415" s="146" t="s">
        <v>148</v>
      </c>
      <c r="K415" s="146" t="s">
        <v>30</v>
      </c>
      <c r="L415" s="148" t="s">
        <v>3</v>
      </c>
      <c r="M415" s="146" t="s">
        <v>142</v>
      </c>
      <c r="N415" s="149">
        <v>1000</v>
      </c>
      <c r="O415" s="152">
        <f>SUMIF('GUDANG BESAR'!C:C,K:K,'GUDANG BESAR'!I:I)</f>
        <v>77089.399999999994</v>
      </c>
      <c r="P415" s="153">
        <f>SUMIF('GUDANG BESAR'!C:C,K:K,'GUDANG BESAR'!K:K)</f>
        <v>85569.233999999997</v>
      </c>
      <c r="Q415" s="150">
        <v>12.826000000000001</v>
      </c>
      <c r="R415" s="149">
        <v>12</v>
      </c>
      <c r="S415" s="149">
        <v>826</v>
      </c>
      <c r="T415" s="145">
        <f t="shared" si="18"/>
        <v>988748.64439999999</v>
      </c>
      <c r="U415" s="145">
        <f t="shared" si="19"/>
        <v>1097510.9952839999</v>
      </c>
      <c r="V415" s="135" t="str">
        <f>VLOOKUP(K415,Sheet1!$B$5:$C$131,2,0)</f>
        <v>DYESTUFF</v>
      </c>
      <c r="W415" s="181">
        <f t="shared" si="20"/>
        <v>1.2826000000000001E-2</v>
      </c>
    </row>
    <row r="416" spans="1:23" s="139" customFormat="1">
      <c r="A416" s="146" t="s">
        <v>498</v>
      </c>
      <c r="B416" s="147" t="s">
        <v>499</v>
      </c>
      <c r="C416" s="146" t="s">
        <v>137</v>
      </c>
      <c r="D416" s="146" t="s">
        <v>138</v>
      </c>
      <c r="E416" s="146" t="s">
        <v>139</v>
      </c>
      <c r="F416" s="146" t="s">
        <v>162</v>
      </c>
      <c r="G416" s="148" t="s">
        <v>214</v>
      </c>
      <c r="H416" s="146">
        <v>0</v>
      </c>
      <c r="I416" s="146">
        <v>34</v>
      </c>
      <c r="J416" s="146" t="s">
        <v>163</v>
      </c>
      <c r="K416" s="146" t="s">
        <v>14</v>
      </c>
      <c r="L416" s="148" t="s">
        <v>3</v>
      </c>
      <c r="M416" s="146" t="s">
        <v>142</v>
      </c>
      <c r="N416" s="149">
        <v>1000</v>
      </c>
      <c r="O416" s="152">
        <f>SUMIF('GUDANG BESAR'!C:C,K:K,'GUDANG BESAR'!I:I)</f>
        <v>30500</v>
      </c>
      <c r="P416" s="153">
        <f>SUMIF('GUDANG BESAR'!C:C,K:K,'GUDANG BESAR'!K:K)</f>
        <v>33855</v>
      </c>
      <c r="Q416" s="150">
        <v>20</v>
      </c>
      <c r="R416" s="149">
        <v>20</v>
      </c>
      <c r="S416" s="149">
        <v>0</v>
      </c>
      <c r="T416" s="145">
        <f t="shared" si="18"/>
        <v>610000</v>
      </c>
      <c r="U416" s="145">
        <f t="shared" si="19"/>
        <v>677100</v>
      </c>
      <c r="V416" s="135" t="str">
        <f>VLOOKUP(K416,Sheet1!$B$5:$C$131,2,0)</f>
        <v>LIMBAH</v>
      </c>
      <c r="W416" s="181">
        <f t="shared" si="20"/>
        <v>0.02</v>
      </c>
    </row>
    <row r="417" spans="1:23" s="139" customFormat="1">
      <c r="A417" s="146" t="s">
        <v>498</v>
      </c>
      <c r="B417" s="147" t="s">
        <v>499</v>
      </c>
      <c r="C417" s="146" t="s">
        <v>137</v>
      </c>
      <c r="D417" s="146" t="s">
        <v>138</v>
      </c>
      <c r="E417" s="146" t="s">
        <v>139</v>
      </c>
      <c r="F417" s="146" t="s">
        <v>159</v>
      </c>
      <c r="G417" s="148" t="s">
        <v>302</v>
      </c>
      <c r="H417" s="146">
        <v>0</v>
      </c>
      <c r="I417" s="146">
        <v>37</v>
      </c>
      <c r="J417" s="146" t="s">
        <v>261</v>
      </c>
      <c r="K417" s="146" t="s">
        <v>49</v>
      </c>
      <c r="L417" s="148" t="s">
        <v>3</v>
      </c>
      <c r="M417" s="146" t="s">
        <v>142</v>
      </c>
      <c r="N417" s="149">
        <v>1000</v>
      </c>
      <c r="O417" s="152">
        <f>SUMIF('GUDANG BESAR'!C:C,K:K,'GUDANG BESAR'!I:I)</f>
        <v>1500</v>
      </c>
      <c r="P417" s="153">
        <f>SUMIF('GUDANG BESAR'!C:C,K:K,'GUDANG BESAR'!K:K)</f>
        <v>1500</v>
      </c>
      <c r="Q417" s="150">
        <v>300</v>
      </c>
      <c r="R417" s="149">
        <v>300</v>
      </c>
      <c r="S417" s="149">
        <v>0</v>
      </c>
      <c r="T417" s="145">
        <f t="shared" si="18"/>
        <v>450000</v>
      </c>
      <c r="U417" s="145">
        <f t="shared" si="19"/>
        <v>450000</v>
      </c>
      <c r="V417" s="135" t="str">
        <f>VLOOKUP(K417,Sheet1!$B$5:$C$131,2,0)</f>
        <v>BOILER</v>
      </c>
      <c r="W417" s="181">
        <f t="shared" si="20"/>
        <v>0.3</v>
      </c>
    </row>
    <row r="418" spans="1:23" s="139" customFormat="1">
      <c r="A418" s="146" t="s">
        <v>498</v>
      </c>
      <c r="B418" s="147" t="s">
        <v>499</v>
      </c>
      <c r="C418" s="146" t="s">
        <v>137</v>
      </c>
      <c r="D418" s="146" t="s">
        <v>138</v>
      </c>
      <c r="E418" s="146" t="s">
        <v>139</v>
      </c>
      <c r="F418" s="146" t="s">
        <v>153</v>
      </c>
      <c r="G418" s="148" t="s">
        <v>301</v>
      </c>
      <c r="H418" s="146">
        <v>0</v>
      </c>
      <c r="I418" s="146">
        <v>21</v>
      </c>
      <c r="J418" s="146" t="s">
        <v>344</v>
      </c>
      <c r="K418" s="146" t="s">
        <v>15</v>
      </c>
      <c r="L418" s="148" t="s">
        <v>3</v>
      </c>
      <c r="M418" s="146" t="s">
        <v>142</v>
      </c>
      <c r="N418" s="149">
        <v>1000</v>
      </c>
      <c r="O418" s="152">
        <f>SUMIF('GUDANG BESAR'!C:C,K:K,'GUDANG BESAR'!I:I)</f>
        <v>33646</v>
      </c>
      <c r="P418" s="153">
        <f>SUMIF('GUDANG BESAR'!C:C,K:K,'GUDANG BESAR'!K:K)</f>
        <v>37347.06</v>
      </c>
      <c r="Q418" s="150">
        <v>36</v>
      </c>
      <c r="R418" s="149">
        <v>36</v>
      </c>
      <c r="S418" s="149">
        <v>0</v>
      </c>
      <c r="T418" s="145">
        <f t="shared" si="18"/>
        <v>1211256</v>
      </c>
      <c r="U418" s="145">
        <f t="shared" si="19"/>
        <v>1344494.16</v>
      </c>
      <c r="V418" s="135" t="str">
        <f>VLOOKUP(K418,Sheet1!$B$5:$C$131,2,0)</f>
        <v>DYEING</v>
      </c>
      <c r="W418" s="181">
        <f t="shared" si="20"/>
        <v>3.5999999999999997E-2</v>
      </c>
    </row>
    <row r="419" spans="1:23" s="139" customFormat="1">
      <c r="A419" s="146" t="s">
        <v>498</v>
      </c>
      <c r="B419" s="147" t="s">
        <v>499</v>
      </c>
      <c r="C419" s="146" t="s">
        <v>137</v>
      </c>
      <c r="D419" s="146" t="s">
        <v>138</v>
      </c>
      <c r="E419" s="146" t="s">
        <v>139</v>
      </c>
      <c r="F419" s="146" t="s">
        <v>140</v>
      </c>
      <c r="G419" s="148" t="s">
        <v>300</v>
      </c>
      <c r="H419" s="146">
        <v>0</v>
      </c>
      <c r="I419" s="146">
        <v>14</v>
      </c>
      <c r="J419" s="146" t="s">
        <v>314</v>
      </c>
      <c r="K419" s="146" t="s">
        <v>281</v>
      </c>
      <c r="L419" s="148" t="s">
        <v>3</v>
      </c>
      <c r="M419" s="146" t="s">
        <v>142</v>
      </c>
      <c r="N419" s="149">
        <v>1000</v>
      </c>
      <c r="O419" s="152">
        <f>SUMIF('GUDANG BESAR'!C:C,K:K,'GUDANG BESAR'!I:I)</f>
        <v>23590.51</v>
      </c>
      <c r="P419" s="153">
        <f>SUMIF('GUDANG BESAR'!C:C,K:K,'GUDANG BESAR'!K:K)</f>
        <v>26185.466099999998</v>
      </c>
      <c r="Q419" s="150">
        <v>180</v>
      </c>
      <c r="R419" s="149">
        <v>180</v>
      </c>
      <c r="S419" s="149">
        <v>0</v>
      </c>
      <c r="T419" s="145">
        <f t="shared" si="18"/>
        <v>4246291.8</v>
      </c>
      <c r="U419" s="145">
        <f t="shared" si="19"/>
        <v>4713383.898</v>
      </c>
      <c r="V419" s="135" t="str">
        <f>VLOOKUP(K419,Sheet1!$B$5:$C$131,2,0)</f>
        <v>CK</v>
      </c>
      <c r="W419" s="181">
        <f t="shared" si="20"/>
        <v>0.18</v>
      </c>
    </row>
    <row r="420" spans="1:23" s="139" customFormat="1">
      <c r="A420" s="146" t="s">
        <v>498</v>
      </c>
      <c r="B420" s="147" t="s">
        <v>499</v>
      </c>
      <c r="C420" s="146" t="s">
        <v>137</v>
      </c>
      <c r="D420" s="146" t="s">
        <v>138</v>
      </c>
      <c r="E420" s="146" t="s">
        <v>139</v>
      </c>
      <c r="F420" s="146" t="s">
        <v>162</v>
      </c>
      <c r="G420" s="148" t="s">
        <v>214</v>
      </c>
      <c r="H420" s="146">
        <v>0</v>
      </c>
      <c r="I420" s="146">
        <v>31</v>
      </c>
      <c r="J420" s="146" t="s">
        <v>234</v>
      </c>
      <c r="K420" s="146" t="s">
        <v>233</v>
      </c>
      <c r="L420" s="148" t="s">
        <v>3</v>
      </c>
      <c r="M420" s="146" t="s">
        <v>142</v>
      </c>
      <c r="N420" s="149">
        <v>1000</v>
      </c>
      <c r="O420" s="152">
        <f>SUMIF('GUDANG BESAR'!C:C,K:K,'GUDANG BESAR'!I:I)</f>
        <v>5500</v>
      </c>
      <c r="P420" s="153">
        <f>SUMIF('GUDANG BESAR'!C:C,K:K,'GUDANG BESAR'!K:K)</f>
        <v>6105</v>
      </c>
      <c r="Q420" s="150">
        <v>375</v>
      </c>
      <c r="R420" s="149">
        <v>375</v>
      </c>
      <c r="S420" s="149">
        <v>0</v>
      </c>
      <c r="T420" s="145">
        <f t="shared" si="18"/>
        <v>2062500</v>
      </c>
      <c r="U420" s="145">
        <f t="shared" si="19"/>
        <v>2289375</v>
      </c>
      <c r="V420" s="135" t="str">
        <f>VLOOKUP(K420,Sheet1!$B$5:$C$131,2,0)</f>
        <v>LIMBAH</v>
      </c>
      <c r="W420" s="181">
        <f t="shared" si="20"/>
        <v>0.375</v>
      </c>
    </row>
    <row r="421" spans="1:23" s="139" customFormat="1">
      <c r="A421" s="146" t="s">
        <v>498</v>
      </c>
      <c r="B421" s="147" t="s">
        <v>499</v>
      </c>
      <c r="C421" s="146" t="s">
        <v>137</v>
      </c>
      <c r="D421" s="146" t="s">
        <v>138</v>
      </c>
      <c r="E421" s="146" t="s">
        <v>139</v>
      </c>
      <c r="F421" s="146" t="s">
        <v>140</v>
      </c>
      <c r="G421" s="148" t="s">
        <v>303</v>
      </c>
      <c r="H421" s="146">
        <v>0</v>
      </c>
      <c r="I421" s="146">
        <v>24</v>
      </c>
      <c r="J421" s="146" t="s">
        <v>501</v>
      </c>
      <c r="K421" s="146" t="s">
        <v>98</v>
      </c>
      <c r="L421" s="148" t="s">
        <v>3</v>
      </c>
      <c r="M421" s="146" t="s">
        <v>142</v>
      </c>
      <c r="N421" s="149">
        <v>1000</v>
      </c>
      <c r="O421" s="152">
        <f>SUMIF('GUDANG BESAR'!C:C,K:K,'GUDANG BESAR'!I:I)</f>
        <v>45414</v>
      </c>
      <c r="P421" s="153">
        <f>SUMIF('GUDANG BESAR'!C:C,K:K,'GUDANG BESAR'!K:K)</f>
        <v>50409.54</v>
      </c>
      <c r="Q421" s="150">
        <v>0.11700000000000001</v>
      </c>
      <c r="R421" s="149">
        <v>0</v>
      </c>
      <c r="S421" s="149">
        <v>117</v>
      </c>
      <c r="T421" s="145">
        <f t="shared" si="18"/>
        <v>5313.4380000000001</v>
      </c>
      <c r="U421" s="145">
        <f t="shared" si="19"/>
        <v>5897.9161800000002</v>
      </c>
      <c r="V421" s="135" t="str">
        <f>VLOOKUP(K421,Sheet1!$B$5:$C$131,2,0)</f>
        <v>DYESTUFF</v>
      </c>
      <c r="W421" s="181">
        <f t="shared" si="20"/>
        <v>1.1700000000000001E-4</v>
      </c>
    </row>
    <row r="422" spans="1:23" s="139" customFormat="1">
      <c r="A422" s="146" t="s">
        <v>498</v>
      </c>
      <c r="B422" s="147" t="s">
        <v>499</v>
      </c>
      <c r="C422" s="146" t="s">
        <v>137</v>
      </c>
      <c r="D422" s="146" t="s">
        <v>138</v>
      </c>
      <c r="E422" s="146" t="s">
        <v>139</v>
      </c>
      <c r="F422" s="146" t="s">
        <v>140</v>
      </c>
      <c r="G422" s="148" t="s">
        <v>303</v>
      </c>
      <c r="H422" s="146">
        <v>0</v>
      </c>
      <c r="I422" s="146">
        <v>25</v>
      </c>
      <c r="J422" s="146" t="s">
        <v>502</v>
      </c>
      <c r="K422" s="146" t="s">
        <v>103</v>
      </c>
      <c r="L422" s="148" t="s">
        <v>3</v>
      </c>
      <c r="M422" s="146" t="s">
        <v>142</v>
      </c>
      <c r="N422" s="149">
        <v>1000</v>
      </c>
      <c r="O422" s="152">
        <f>SUMIF('GUDANG BESAR'!C:C,K:K,'GUDANG BESAR'!I:I)</f>
        <v>114100</v>
      </c>
      <c r="P422" s="153">
        <f>SUMIF('GUDANG BESAR'!C:C,K:K,'GUDANG BESAR'!K:K)</f>
        <v>126651</v>
      </c>
      <c r="Q422" s="150">
        <v>1.3129999999999999</v>
      </c>
      <c r="R422" s="149">
        <v>1</v>
      </c>
      <c r="S422" s="149">
        <v>313</v>
      </c>
      <c r="T422" s="145">
        <f t="shared" si="18"/>
        <v>149813.29999999999</v>
      </c>
      <c r="U422" s="145">
        <f t="shared" si="19"/>
        <v>166292.76300000001</v>
      </c>
      <c r="V422" s="135" t="str">
        <f>VLOOKUP(K422,Sheet1!$B$5:$C$131,2,0)</f>
        <v>DYESTUFF</v>
      </c>
      <c r="W422" s="181">
        <f t="shared" si="20"/>
        <v>1.3129999999999999E-3</v>
      </c>
    </row>
    <row r="423" spans="1:23" s="139" customFormat="1">
      <c r="A423" s="146" t="s">
        <v>498</v>
      </c>
      <c r="B423" s="147" t="s">
        <v>499</v>
      </c>
      <c r="C423" s="146" t="s">
        <v>137</v>
      </c>
      <c r="D423" s="146" t="s">
        <v>138</v>
      </c>
      <c r="E423" s="146" t="s">
        <v>139</v>
      </c>
      <c r="F423" s="146" t="s">
        <v>140</v>
      </c>
      <c r="G423" s="148" t="s">
        <v>303</v>
      </c>
      <c r="H423" s="146">
        <v>0</v>
      </c>
      <c r="I423" s="146">
        <v>26</v>
      </c>
      <c r="J423" s="146" t="s">
        <v>503</v>
      </c>
      <c r="K423" s="146" t="s">
        <v>104</v>
      </c>
      <c r="L423" s="148" t="s">
        <v>3</v>
      </c>
      <c r="M423" s="146" t="s">
        <v>142</v>
      </c>
      <c r="N423" s="149">
        <v>1000</v>
      </c>
      <c r="O423" s="152">
        <f>SUMIF('GUDANG BESAR'!C:C,K:K,'GUDANG BESAR'!I:I)</f>
        <v>179300</v>
      </c>
      <c r="P423" s="153">
        <f>SUMIF('GUDANG BESAR'!C:C,K:K,'GUDANG BESAR'!K:K)</f>
        <v>199023</v>
      </c>
      <c r="Q423" s="150">
        <v>0.93700000000000006</v>
      </c>
      <c r="R423" s="149">
        <v>0</v>
      </c>
      <c r="S423" s="149">
        <v>937</v>
      </c>
      <c r="T423" s="145">
        <f t="shared" si="18"/>
        <v>168004.1</v>
      </c>
      <c r="U423" s="145">
        <f t="shared" si="19"/>
        <v>186484.55100000001</v>
      </c>
      <c r="V423" s="135" t="str">
        <f>VLOOKUP(K423,Sheet1!$B$5:$C$131,2,0)</f>
        <v>DYESTUFF</v>
      </c>
      <c r="W423" s="181">
        <f t="shared" si="20"/>
        <v>9.3700000000000001E-4</v>
      </c>
    </row>
    <row r="424" spans="1:23" s="139" customFormat="1">
      <c r="A424" s="146" t="s">
        <v>498</v>
      </c>
      <c r="B424" s="147" t="s">
        <v>499</v>
      </c>
      <c r="C424" s="146" t="s">
        <v>137</v>
      </c>
      <c r="D424" s="146" t="s">
        <v>138</v>
      </c>
      <c r="E424" s="146" t="s">
        <v>139</v>
      </c>
      <c r="F424" s="146" t="s">
        <v>140</v>
      </c>
      <c r="G424" s="148" t="s">
        <v>303</v>
      </c>
      <c r="H424" s="146">
        <v>0</v>
      </c>
      <c r="I424" s="146">
        <v>27</v>
      </c>
      <c r="J424" s="146" t="s">
        <v>504</v>
      </c>
      <c r="K424" s="146" t="s">
        <v>107</v>
      </c>
      <c r="L424" s="148" t="s">
        <v>3</v>
      </c>
      <c r="M424" s="146" t="s">
        <v>142</v>
      </c>
      <c r="N424" s="149">
        <v>1000</v>
      </c>
      <c r="O424" s="152">
        <f>SUMIF('GUDANG BESAR'!C:C,K:K,'GUDANG BESAR'!I:I)</f>
        <v>113785</v>
      </c>
      <c r="P424" s="153">
        <f>SUMIF('GUDANG BESAR'!C:C,K:K,'GUDANG BESAR'!K:K)</f>
        <v>126301.35</v>
      </c>
      <c r="Q424" s="150">
        <v>1.984</v>
      </c>
      <c r="R424" s="149">
        <v>1</v>
      </c>
      <c r="S424" s="149">
        <v>984</v>
      </c>
      <c r="T424" s="145">
        <f t="shared" si="18"/>
        <v>225749.44</v>
      </c>
      <c r="U424" s="145">
        <f t="shared" si="19"/>
        <v>250581.87840000002</v>
      </c>
      <c r="V424" s="135" t="str">
        <f>VLOOKUP(K424,Sheet1!$B$5:$C$131,2,0)</f>
        <v>DYESTUFF</v>
      </c>
      <c r="W424" s="181">
        <f t="shared" si="20"/>
        <v>1.9840000000000001E-3</v>
      </c>
    </row>
    <row r="425" spans="1:23" s="139" customFormat="1">
      <c r="A425" s="146" t="s">
        <v>498</v>
      </c>
      <c r="B425" s="147" t="s">
        <v>499</v>
      </c>
      <c r="C425" s="146" t="s">
        <v>137</v>
      </c>
      <c r="D425" s="146" t="s">
        <v>138</v>
      </c>
      <c r="E425" s="146" t="s">
        <v>139</v>
      </c>
      <c r="F425" s="146" t="s">
        <v>140</v>
      </c>
      <c r="G425" s="148" t="s">
        <v>303</v>
      </c>
      <c r="H425" s="146">
        <v>0</v>
      </c>
      <c r="I425" s="146">
        <v>28</v>
      </c>
      <c r="J425" s="146" t="s">
        <v>505</v>
      </c>
      <c r="K425" s="146" t="s">
        <v>109</v>
      </c>
      <c r="L425" s="148" t="s">
        <v>3</v>
      </c>
      <c r="M425" s="146" t="s">
        <v>142</v>
      </c>
      <c r="N425" s="149">
        <v>1000</v>
      </c>
      <c r="O425" s="152">
        <f>SUMIF('GUDANG BESAR'!C:C,K:K,'GUDANG BESAR'!I:I)</f>
        <v>156750</v>
      </c>
      <c r="P425" s="153">
        <f>SUMIF('GUDANG BESAR'!C:C,K:K,'GUDANG BESAR'!K:K)</f>
        <v>173992.5</v>
      </c>
      <c r="Q425" s="150">
        <v>0.13400000000000001</v>
      </c>
      <c r="R425" s="149">
        <v>0</v>
      </c>
      <c r="S425" s="149">
        <v>134</v>
      </c>
      <c r="T425" s="145">
        <f t="shared" si="18"/>
        <v>21004.5</v>
      </c>
      <c r="U425" s="145">
        <f t="shared" si="19"/>
        <v>23314.995000000003</v>
      </c>
      <c r="V425" s="135" t="str">
        <f>VLOOKUP(K425,Sheet1!$B$5:$C$131,2,0)</f>
        <v>DYESTUFF</v>
      </c>
      <c r="W425" s="181">
        <f t="shared" si="20"/>
        <v>1.34E-4</v>
      </c>
    </row>
    <row r="426" spans="1:23" s="139" customFormat="1">
      <c r="A426" s="146" t="s">
        <v>498</v>
      </c>
      <c r="B426" s="147" t="s">
        <v>499</v>
      </c>
      <c r="C426" s="146" t="s">
        <v>137</v>
      </c>
      <c r="D426" s="146" t="s">
        <v>138</v>
      </c>
      <c r="E426" s="146" t="s">
        <v>139</v>
      </c>
      <c r="F426" s="146" t="s">
        <v>140</v>
      </c>
      <c r="G426" s="148" t="s">
        <v>303</v>
      </c>
      <c r="H426" s="146">
        <v>0</v>
      </c>
      <c r="I426" s="146">
        <v>29</v>
      </c>
      <c r="J426" s="146" t="s">
        <v>506</v>
      </c>
      <c r="K426" s="146" t="s">
        <v>110</v>
      </c>
      <c r="L426" s="148" t="s">
        <v>3</v>
      </c>
      <c r="M426" s="146" t="s">
        <v>142</v>
      </c>
      <c r="N426" s="149">
        <v>1000</v>
      </c>
      <c r="O426" s="152">
        <f>SUMIF('GUDANG BESAR'!C:C,K:K,'GUDANG BESAR'!I:I)</f>
        <v>138978</v>
      </c>
      <c r="P426" s="153">
        <f>SUMIF('GUDANG BESAR'!C:C,K:K,'GUDANG BESAR'!K:K)</f>
        <v>154265.57999999999</v>
      </c>
      <c r="Q426" s="150">
        <v>2.625</v>
      </c>
      <c r="R426" s="149">
        <v>2</v>
      </c>
      <c r="S426" s="149">
        <v>625</v>
      </c>
      <c r="T426" s="145">
        <f t="shared" si="18"/>
        <v>364817.25</v>
      </c>
      <c r="U426" s="145">
        <f t="shared" si="19"/>
        <v>404947.14749999996</v>
      </c>
      <c r="V426" s="135" t="str">
        <f>VLOOKUP(K426,Sheet1!$B$5:$C$131,2,0)</f>
        <v>DYESTUFF</v>
      </c>
      <c r="W426" s="181">
        <f t="shared" si="20"/>
        <v>2.6250000000000002E-3</v>
      </c>
    </row>
    <row r="427" spans="1:23" s="139" customFormat="1">
      <c r="A427" s="146" t="s">
        <v>498</v>
      </c>
      <c r="B427" s="147" t="s">
        <v>499</v>
      </c>
      <c r="C427" s="146" t="s">
        <v>137</v>
      </c>
      <c r="D427" s="146" t="s">
        <v>138</v>
      </c>
      <c r="E427" s="146" t="s">
        <v>139</v>
      </c>
      <c r="F427" s="146" t="s">
        <v>140</v>
      </c>
      <c r="G427" s="148" t="s">
        <v>303</v>
      </c>
      <c r="H427" s="146">
        <v>0</v>
      </c>
      <c r="I427" s="146">
        <v>30</v>
      </c>
      <c r="J427" s="146" t="s">
        <v>507</v>
      </c>
      <c r="K427" s="146" t="s">
        <v>113</v>
      </c>
      <c r="L427" s="148" t="s">
        <v>3</v>
      </c>
      <c r="M427" s="146" t="s">
        <v>142</v>
      </c>
      <c r="N427" s="149">
        <v>1000</v>
      </c>
      <c r="O427" s="152">
        <f>SUMIF('GUDANG BESAR'!C:C,K:K,'GUDANG BESAR'!I:I)</f>
        <v>57050</v>
      </c>
      <c r="P427" s="153">
        <f>SUMIF('GUDANG BESAR'!C:C,K:K,'GUDANG BESAR'!K:K)</f>
        <v>63325.5</v>
      </c>
      <c r="Q427" s="150">
        <v>5.6660000000000004</v>
      </c>
      <c r="R427" s="149">
        <v>5</v>
      </c>
      <c r="S427" s="149">
        <v>666</v>
      </c>
      <c r="T427" s="145">
        <f t="shared" si="18"/>
        <v>323245.30000000005</v>
      </c>
      <c r="U427" s="145">
        <f t="shared" si="19"/>
        <v>358802.283</v>
      </c>
      <c r="V427" s="135" t="str">
        <f>VLOOKUP(K427,Sheet1!$B$5:$C$131,2,0)</f>
        <v>DYESTUFF</v>
      </c>
      <c r="W427" s="181">
        <f t="shared" si="20"/>
        <v>5.666E-3</v>
      </c>
    </row>
    <row r="428" spans="1:23" s="139" customFormat="1">
      <c r="A428" s="146" t="s">
        <v>498</v>
      </c>
      <c r="B428" s="147" t="s">
        <v>499</v>
      </c>
      <c r="C428" s="146" t="s">
        <v>137</v>
      </c>
      <c r="D428" s="146" t="s">
        <v>138</v>
      </c>
      <c r="E428" s="146" t="s">
        <v>139</v>
      </c>
      <c r="F428" s="146" t="s">
        <v>140</v>
      </c>
      <c r="G428" s="148" t="s">
        <v>300</v>
      </c>
      <c r="H428" s="146">
        <v>0</v>
      </c>
      <c r="I428" s="146">
        <v>15</v>
      </c>
      <c r="J428" s="146" t="s">
        <v>345</v>
      </c>
      <c r="K428" s="146" t="s">
        <v>313</v>
      </c>
      <c r="L428" s="148" t="s">
        <v>3</v>
      </c>
      <c r="M428" s="146" t="s">
        <v>142</v>
      </c>
      <c r="N428" s="149">
        <v>1000</v>
      </c>
      <c r="O428" s="152">
        <f>SUMIF('GUDANG BESAR'!C:C,K:K,'GUDANG BESAR'!I:I)</f>
        <v>17787</v>
      </c>
      <c r="P428" s="153">
        <f>SUMIF('GUDANG BESAR'!C:C,K:K,'GUDANG BESAR'!K:K)</f>
        <v>19743.57</v>
      </c>
      <c r="Q428" s="150">
        <v>141</v>
      </c>
      <c r="R428" s="149">
        <v>141</v>
      </c>
      <c r="S428" s="149">
        <v>0</v>
      </c>
      <c r="T428" s="145">
        <f t="shared" si="18"/>
        <v>2507967</v>
      </c>
      <c r="U428" s="145">
        <f t="shared" si="19"/>
        <v>2783843.37</v>
      </c>
      <c r="V428" s="135" t="str">
        <f>VLOOKUP(K428,Sheet1!$B$5:$C$131,2,0)</f>
        <v>CK</v>
      </c>
      <c r="W428" s="181">
        <f t="shared" si="20"/>
        <v>0.14099999999999999</v>
      </c>
    </row>
    <row r="429" spans="1:23" s="139" customFormat="1">
      <c r="A429" s="146" t="s">
        <v>498</v>
      </c>
      <c r="B429" s="147" t="s">
        <v>499</v>
      </c>
      <c r="C429" s="146" t="s">
        <v>137</v>
      </c>
      <c r="D429" s="146" t="s">
        <v>138</v>
      </c>
      <c r="E429" s="146" t="s">
        <v>139</v>
      </c>
      <c r="F429" s="146" t="s">
        <v>153</v>
      </c>
      <c r="G429" s="148" t="s">
        <v>301</v>
      </c>
      <c r="H429" s="146">
        <v>0</v>
      </c>
      <c r="I429" s="146">
        <v>20</v>
      </c>
      <c r="J429" s="146" t="s">
        <v>317</v>
      </c>
      <c r="K429" s="146" t="s">
        <v>17</v>
      </c>
      <c r="L429" s="148" t="s">
        <v>3</v>
      </c>
      <c r="M429" s="146" t="s">
        <v>142</v>
      </c>
      <c r="N429" s="149">
        <v>1000</v>
      </c>
      <c r="O429" s="152">
        <f>SUMIF('GUDANG BESAR'!C:C,K:K,'GUDANG BESAR'!I:I)</f>
        <v>25269.5</v>
      </c>
      <c r="P429" s="153">
        <f>SUMIF('GUDANG BESAR'!C:C,K:K,'GUDANG BESAR'!K:K)</f>
        <v>28049.145</v>
      </c>
      <c r="Q429" s="150">
        <v>52</v>
      </c>
      <c r="R429" s="149">
        <v>52</v>
      </c>
      <c r="S429" s="149">
        <v>0</v>
      </c>
      <c r="T429" s="145">
        <f t="shared" si="18"/>
        <v>1314014</v>
      </c>
      <c r="U429" s="145">
        <f t="shared" si="19"/>
        <v>1458555.54</v>
      </c>
      <c r="V429" s="135" t="str">
        <f>VLOOKUP(K429,Sheet1!$B$5:$C$131,2,0)</f>
        <v>DYEING</v>
      </c>
      <c r="W429" s="181">
        <f t="shared" si="20"/>
        <v>5.1999999999999998E-2</v>
      </c>
    </row>
    <row r="430" spans="1:23" s="139" customFormat="1">
      <c r="A430" s="146" t="s">
        <v>498</v>
      </c>
      <c r="B430" s="147" t="s">
        <v>499</v>
      </c>
      <c r="C430" s="146" t="s">
        <v>137</v>
      </c>
      <c r="D430" s="146" t="s">
        <v>138</v>
      </c>
      <c r="E430" s="146" t="s">
        <v>139</v>
      </c>
      <c r="F430" s="146" t="s">
        <v>153</v>
      </c>
      <c r="G430" s="148" t="s">
        <v>301</v>
      </c>
      <c r="H430" s="146">
        <v>0</v>
      </c>
      <c r="I430" s="146">
        <v>19</v>
      </c>
      <c r="J430" s="146" t="s">
        <v>251</v>
      </c>
      <c r="K430" s="146" t="s">
        <v>249</v>
      </c>
      <c r="L430" s="148" t="s">
        <v>3</v>
      </c>
      <c r="M430" s="146" t="s">
        <v>142</v>
      </c>
      <c r="N430" s="149">
        <v>1000</v>
      </c>
      <c r="O430" s="152">
        <f>SUMIF('GUDANG BESAR'!C:C,K:K,'GUDANG BESAR'!I:I)</f>
        <v>9119.6</v>
      </c>
      <c r="P430" s="153">
        <f>SUMIF('GUDANG BESAR'!C:C,K:K,'GUDANG BESAR'!K:K)</f>
        <v>10122.756000000001</v>
      </c>
      <c r="Q430" s="150">
        <v>15</v>
      </c>
      <c r="R430" s="149">
        <v>15</v>
      </c>
      <c r="S430" s="149">
        <v>0</v>
      </c>
      <c r="T430" s="145">
        <f t="shared" si="18"/>
        <v>136794</v>
      </c>
      <c r="U430" s="145">
        <f t="shared" si="19"/>
        <v>151841.34000000003</v>
      </c>
      <c r="V430" s="135" t="str">
        <f>VLOOKUP(K430,Sheet1!$B$5:$C$131,2,0)</f>
        <v>DYEING</v>
      </c>
      <c r="W430" s="181">
        <f t="shared" si="20"/>
        <v>1.4999999999999999E-2</v>
      </c>
    </row>
    <row r="431" spans="1:23" s="139" customFormat="1">
      <c r="A431" s="146" t="s">
        <v>498</v>
      </c>
      <c r="B431" s="147" t="s">
        <v>499</v>
      </c>
      <c r="C431" s="146" t="s">
        <v>137</v>
      </c>
      <c r="D431" s="146" t="s">
        <v>138</v>
      </c>
      <c r="E431" s="146" t="s">
        <v>139</v>
      </c>
      <c r="F431" s="146" t="s">
        <v>140</v>
      </c>
      <c r="G431" s="148" t="s">
        <v>300</v>
      </c>
      <c r="H431" s="146">
        <v>0</v>
      </c>
      <c r="I431" s="146">
        <v>16</v>
      </c>
      <c r="J431" s="146" t="s">
        <v>500</v>
      </c>
      <c r="K431" s="146" t="s">
        <v>232</v>
      </c>
      <c r="L431" s="148" t="s">
        <v>3</v>
      </c>
      <c r="M431" s="146" t="s">
        <v>142</v>
      </c>
      <c r="N431" s="149">
        <v>1000</v>
      </c>
      <c r="O431" s="152">
        <f>SUMIF('GUDANG BESAR'!C:C,K:K,'GUDANG BESAR'!I:I)</f>
        <v>55284</v>
      </c>
      <c r="P431" s="153">
        <f>SUMIF('GUDANG BESAR'!C:C,K:K,'GUDANG BESAR'!K:K)</f>
        <v>61365.24</v>
      </c>
      <c r="Q431" s="150">
        <v>60</v>
      </c>
      <c r="R431" s="149">
        <v>60</v>
      </c>
      <c r="S431" s="149">
        <v>0</v>
      </c>
      <c r="T431" s="145">
        <f t="shared" si="18"/>
        <v>3317040</v>
      </c>
      <c r="U431" s="145">
        <f t="shared" si="19"/>
        <v>3681914.4</v>
      </c>
      <c r="V431" s="135" t="str">
        <f>VLOOKUP(K431,Sheet1!$B$5:$C$131,2,0)</f>
        <v>CK</v>
      </c>
      <c r="W431" s="181">
        <f t="shared" si="20"/>
        <v>0.06</v>
      </c>
    </row>
    <row r="432" spans="1:23" s="139" customFormat="1">
      <c r="A432" s="146" t="s">
        <v>498</v>
      </c>
      <c r="B432" s="147" t="s">
        <v>499</v>
      </c>
      <c r="C432" s="146" t="s">
        <v>137</v>
      </c>
      <c r="D432" s="146" t="s">
        <v>138</v>
      </c>
      <c r="E432" s="146" t="s">
        <v>139</v>
      </c>
      <c r="F432" s="146" t="s">
        <v>162</v>
      </c>
      <c r="G432" s="148" t="s">
        <v>214</v>
      </c>
      <c r="H432" s="146">
        <v>0</v>
      </c>
      <c r="I432" s="146">
        <v>36</v>
      </c>
      <c r="J432" s="146" t="s">
        <v>165</v>
      </c>
      <c r="K432" s="146" t="s">
        <v>80</v>
      </c>
      <c r="L432" s="148" t="s">
        <v>3</v>
      </c>
      <c r="M432" s="146" t="s">
        <v>142</v>
      </c>
      <c r="N432" s="149">
        <v>1000</v>
      </c>
      <c r="O432" s="152">
        <f>SUMIF('GUDANG BESAR'!C:C,K:K,'GUDANG BESAR'!I:I)</f>
        <v>1550000</v>
      </c>
      <c r="P432" s="153">
        <f>SUMIF('GUDANG BESAR'!C:C,K:K,'GUDANG BESAR'!K:K)</f>
        <v>1720500</v>
      </c>
      <c r="Q432" s="150">
        <v>0.05</v>
      </c>
      <c r="R432" s="149">
        <v>0</v>
      </c>
      <c r="S432" s="149">
        <v>50</v>
      </c>
      <c r="T432" s="145">
        <f t="shared" si="18"/>
        <v>77500</v>
      </c>
      <c r="U432" s="145">
        <f t="shared" si="19"/>
        <v>86025</v>
      </c>
      <c r="V432" s="135" t="str">
        <f>VLOOKUP(K432,Sheet1!$B$5:$C$131,2,0)</f>
        <v>LIMBAH</v>
      </c>
      <c r="W432" s="181">
        <f t="shared" si="20"/>
        <v>5.0000000000000002E-5</v>
      </c>
    </row>
    <row r="433" spans="1:23" s="139" customFormat="1">
      <c r="A433" s="146" t="s">
        <v>498</v>
      </c>
      <c r="B433" s="147" t="s">
        <v>499</v>
      </c>
      <c r="C433" s="146" t="s">
        <v>137</v>
      </c>
      <c r="D433" s="146" t="s">
        <v>138</v>
      </c>
      <c r="E433" s="146" t="s">
        <v>139</v>
      </c>
      <c r="F433" s="146" t="s">
        <v>162</v>
      </c>
      <c r="G433" s="148" t="s">
        <v>214</v>
      </c>
      <c r="H433" s="146">
        <v>0</v>
      </c>
      <c r="I433" s="146">
        <v>35</v>
      </c>
      <c r="J433" s="146" t="s">
        <v>164</v>
      </c>
      <c r="K433" s="146" t="s">
        <v>74</v>
      </c>
      <c r="L433" s="148" t="s">
        <v>5</v>
      </c>
      <c r="M433" s="146" t="s">
        <v>142</v>
      </c>
      <c r="N433" s="149">
        <v>1000</v>
      </c>
      <c r="O433" s="152">
        <f>SUMIF('GUDANG BESAR'!C:C,K:K,'GUDANG BESAR'!I:I)</f>
        <v>13180</v>
      </c>
      <c r="P433" s="153">
        <f>SUMIF('GUDANG BESAR'!C:C,K:K,'GUDANG BESAR'!K:K)</f>
        <v>14629.8</v>
      </c>
      <c r="Q433" s="150">
        <v>15</v>
      </c>
      <c r="R433" s="149">
        <v>15</v>
      </c>
      <c r="S433" s="149">
        <v>0</v>
      </c>
      <c r="T433" s="145">
        <f t="shared" si="18"/>
        <v>197700</v>
      </c>
      <c r="U433" s="145">
        <f t="shared" si="19"/>
        <v>219447</v>
      </c>
      <c r="V433" s="135" t="str">
        <f>VLOOKUP(K433,Sheet1!$B$5:$C$131,2,0)</f>
        <v>LIMBAH</v>
      </c>
      <c r="W433" s="181">
        <f t="shared" si="20"/>
        <v>1.4999999999999999E-2</v>
      </c>
    </row>
    <row r="434" spans="1:23" s="139" customFormat="1">
      <c r="A434" s="146" t="s">
        <v>498</v>
      </c>
      <c r="B434" s="147" t="s">
        <v>499</v>
      </c>
      <c r="C434" s="146" t="s">
        <v>137</v>
      </c>
      <c r="D434" s="146" t="s">
        <v>138</v>
      </c>
      <c r="E434" s="146" t="s">
        <v>139</v>
      </c>
      <c r="F434" s="146" t="s">
        <v>162</v>
      </c>
      <c r="G434" s="148" t="s">
        <v>214</v>
      </c>
      <c r="H434" s="146">
        <v>0</v>
      </c>
      <c r="I434" s="146">
        <v>32</v>
      </c>
      <c r="J434" s="146" t="s">
        <v>262</v>
      </c>
      <c r="K434" s="146" t="s">
        <v>258</v>
      </c>
      <c r="L434" s="148" t="s">
        <v>3</v>
      </c>
      <c r="M434" s="146" t="s">
        <v>142</v>
      </c>
      <c r="N434" s="149">
        <v>1000</v>
      </c>
      <c r="O434" s="152">
        <f>SUMIF('GUDANG BESAR'!C:C,K:K,'GUDANG BESAR'!I:I)</f>
        <v>33000</v>
      </c>
      <c r="P434" s="153">
        <f>SUMIF('GUDANG BESAR'!C:C,K:K,'GUDANG BESAR'!K:K)</f>
        <v>36630</v>
      </c>
      <c r="Q434" s="150">
        <v>13</v>
      </c>
      <c r="R434" s="149">
        <v>13</v>
      </c>
      <c r="S434" s="149">
        <v>0</v>
      </c>
      <c r="T434" s="145">
        <f t="shared" si="18"/>
        <v>429000</v>
      </c>
      <c r="U434" s="145">
        <f t="shared" si="19"/>
        <v>476190</v>
      </c>
      <c r="V434" s="135" t="str">
        <f>VLOOKUP(K434,Sheet1!$B$5:$C$131,2,0)</f>
        <v>LIMBAH</v>
      </c>
      <c r="W434" s="181">
        <f t="shared" si="20"/>
        <v>1.2999999999999999E-2</v>
      </c>
    </row>
    <row r="435" spans="1:23" s="139" customFormat="1">
      <c r="A435" s="146" t="s">
        <v>498</v>
      </c>
      <c r="B435" s="147" t="s">
        <v>499</v>
      </c>
      <c r="C435" s="146" t="s">
        <v>137</v>
      </c>
      <c r="D435" s="146" t="s">
        <v>138</v>
      </c>
      <c r="E435" s="146" t="s">
        <v>139</v>
      </c>
      <c r="F435" s="146" t="s">
        <v>162</v>
      </c>
      <c r="G435" s="148" t="s">
        <v>214</v>
      </c>
      <c r="H435" s="146">
        <v>0</v>
      </c>
      <c r="I435" s="146">
        <v>33</v>
      </c>
      <c r="J435" s="146" t="s">
        <v>263</v>
      </c>
      <c r="K435" s="146" t="s">
        <v>259</v>
      </c>
      <c r="L435" s="148" t="s">
        <v>3</v>
      </c>
      <c r="M435" s="146" t="s">
        <v>142</v>
      </c>
      <c r="N435" s="149">
        <v>1000</v>
      </c>
      <c r="O435" s="152">
        <f>SUMIF('GUDANG BESAR'!C:C,K:K,'GUDANG BESAR'!I:I)</f>
        <v>47500</v>
      </c>
      <c r="P435" s="153">
        <f>SUMIF('GUDANG BESAR'!C:C,K:K,'GUDANG BESAR'!K:K)</f>
        <v>52725</v>
      </c>
      <c r="Q435" s="150">
        <v>13</v>
      </c>
      <c r="R435" s="149">
        <v>13</v>
      </c>
      <c r="S435" s="149">
        <v>0</v>
      </c>
      <c r="T435" s="145">
        <f t="shared" si="18"/>
        <v>617500</v>
      </c>
      <c r="U435" s="145">
        <f t="shared" si="19"/>
        <v>685425</v>
      </c>
      <c r="V435" s="135" t="str">
        <f>VLOOKUP(K435,Sheet1!$B$5:$C$131,2,0)</f>
        <v>LIMBAH</v>
      </c>
      <c r="W435" s="181">
        <f t="shared" si="20"/>
        <v>1.2999999999999999E-2</v>
      </c>
    </row>
    <row r="436" spans="1:23" s="139" customFormat="1">
      <c r="A436" s="146" t="s">
        <v>508</v>
      </c>
      <c r="B436" s="147" t="s">
        <v>509</v>
      </c>
      <c r="C436" s="146" t="s">
        <v>137</v>
      </c>
      <c r="D436" s="146" t="s">
        <v>138</v>
      </c>
      <c r="E436" s="146" t="s">
        <v>139</v>
      </c>
      <c r="F436" s="146" t="s">
        <v>166</v>
      </c>
      <c r="G436" s="148" t="s">
        <v>336</v>
      </c>
      <c r="H436" s="146">
        <v>0</v>
      </c>
      <c r="I436" s="146">
        <v>23</v>
      </c>
      <c r="J436" s="146" t="s">
        <v>157</v>
      </c>
      <c r="K436" s="146" t="s">
        <v>48</v>
      </c>
      <c r="L436" s="148" t="s">
        <v>93</v>
      </c>
      <c r="M436" s="146" t="s">
        <v>158</v>
      </c>
      <c r="N436" s="149">
        <v>1000</v>
      </c>
      <c r="O436" s="152">
        <f>SUMIF('GUDANG BESAR'!C:C,K:K,'GUDANG BESAR'!I:I)</f>
        <v>18500</v>
      </c>
      <c r="P436" s="153">
        <f>SUMIF('GUDANG BESAR'!C:C,K:K,'GUDANG BESAR'!K:K)</f>
        <v>20535</v>
      </c>
      <c r="Q436" s="150">
        <v>26</v>
      </c>
      <c r="R436" s="149">
        <v>26</v>
      </c>
      <c r="S436" s="149">
        <v>0</v>
      </c>
      <c r="T436" s="145">
        <f t="shared" si="18"/>
        <v>481000</v>
      </c>
      <c r="U436" s="145">
        <f t="shared" si="19"/>
        <v>533910</v>
      </c>
      <c r="V436" s="135" t="str">
        <f>VLOOKUP(K436,Sheet1!$B$5:$C$131,2,0)</f>
        <v>ENGGRAVING</v>
      </c>
      <c r="W436" s="181">
        <f t="shared" si="20"/>
        <v>2.5999999999999999E-2</v>
      </c>
    </row>
    <row r="437" spans="1:23" s="139" customFormat="1">
      <c r="A437" s="146" t="s">
        <v>508</v>
      </c>
      <c r="B437" s="147" t="s">
        <v>509</v>
      </c>
      <c r="C437" s="146" t="s">
        <v>137</v>
      </c>
      <c r="D437" s="146" t="s">
        <v>138</v>
      </c>
      <c r="E437" s="146" t="s">
        <v>139</v>
      </c>
      <c r="F437" s="146" t="s">
        <v>153</v>
      </c>
      <c r="G437" s="148" t="s">
        <v>299</v>
      </c>
      <c r="H437" s="146">
        <v>0</v>
      </c>
      <c r="I437" s="146">
        <v>18</v>
      </c>
      <c r="J437" s="146" t="s">
        <v>154</v>
      </c>
      <c r="K437" s="146" t="s">
        <v>23</v>
      </c>
      <c r="L437" s="148" t="s">
        <v>3</v>
      </c>
      <c r="M437" s="146" t="s">
        <v>142</v>
      </c>
      <c r="N437" s="149">
        <v>1000</v>
      </c>
      <c r="O437" s="152">
        <f>SUMIF('GUDANG BESAR'!C:C,K:K,'GUDANG BESAR'!I:I)</f>
        <v>28844</v>
      </c>
      <c r="P437" s="153">
        <f>SUMIF('GUDANG BESAR'!C:C,K:K,'GUDANG BESAR'!K:K)</f>
        <v>32016.84</v>
      </c>
      <c r="Q437" s="150">
        <v>150</v>
      </c>
      <c r="R437" s="149">
        <v>150</v>
      </c>
      <c r="S437" s="149">
        <v>0</v>
      </c>
      <c r="T437" s="145">
        <f t="shared" si="18"/>
        <v>4326600</v>
      </c>
      <c r="U437" s="145">
        <f t="shared" si="19"/>
        <v>4802526</v>
      </c>
      <c r="V437" s="135" t="str">
        <f>VLOOKUP(K437,Sheet1!$B$5:$C$131,2,0)</f>
        <v>RC</v>
      </c>
      <c r="W437" s="181">
        <f t="shared" si="20"/>
        <v>0.15</v>
      </c>
    </row>
    <row r="438" spans="1:23" s="139" customFormat="1">
      <c r="A438" s="146" t="s">
        <v>508</v>
      </c>
      <c r="B438" s="147" t="s">
        <v>509</v>
      </c>
      <c r="C438" s="146" t="s">
        <v>137</v>
      </c>
      <c r="D438" s="146" t="s">
        <v>138</v>
      </c>
      <c r="E438" s="146" t="s">
        <v>139</v>
      </c>
      <c r="F438" s="146" t="s">
        <v>162</v>
      </c>
      <c r="G438" s="148" t="s">
        <v>214</v>
      </c>
      <c r="H438" s="146">
        <v>0</v>
      </c>
      <c r="I438" s="146">
        <v>29</v>
      </c>
      <c r="J438" s="146" t="s">
        <v>240</v>
      </c>
      <c r="K438" s="146" t="s">
        <v>237</v>
      </c>
      <c r="L438" s="148" t="s">
        <v>3</v>
      </c>
      <c r="M438" s="146" t="s">
        <v>142</v>
      </c>
      <c r="N438" s="149">
        <v>1000</v>
      </c>
      <c r="O438" s="152">
        <f>SUMIF('GUDANG BESAR'!C:C,K:K,'GUDANG BESAR'!I:I)</f>
        <v>14750</v>
      </c>
      <c r="P438" s="153">
        <f>SUMIF('GUDANG BESAR'!C:C,K:K,'GUDANG BESAR'!K:K)</f>
        <v>16372.5</v>
      </c>
      <c r="Q438" s="150">
        <v>20</v>
      </c>
      <c r="R438" s="149">
        <v>20</v>
      </c>
      <c r="S438" s="149">
        <v>0</v>
      </c>
      <c r="T438" s="145">
        <f t="shared" si="18"/>
        <v>295000</v>
      </c>
      <c r="U438" s="145">
        <f t="shared" si="19"/>
        <v>327450</v>
      </c>
      <c r="V438" s="135" t="str">
        <f>VLOOKUP(K438,Sheet1!$B$5:$C$131,2,0)</f>
        <v>LIMBAH</v>
      </c>
      <c r="W438" s="181">
        <f t="shared" si="20"/>
        <v>0.02</v>
      </c>
    </row>
    <row r="439" spans="1:23" s="139" customFormat="1">
      <c r="A439" s="146" t="s">
        <v>508</v>
      </c>
      <c r="B439" s="147" t="s">
        <v>509</v>
      </c>
      <c r="C439" s="146" t="s">
        <v>137</v>
      </c>
      <c r="D439" s="146" t="s">
        <v>138</v>
      </c>
      <c r="E439" s="146" t="s">
        <v>139</v>
      </c>
      <c r="F439" s="146" t="s">
        <v>140</v>
      </c>
      <c r="G439" s="148" t="s">
        <v>303</v>
      </c>
      <c r="H439" s="146">
        <v>0</v>
      </c>
      <c r="I439" s="146">
        <v>1</v>
      </c>
      <c r="J439" s="146" t="s">
        <v>141</v>
      </c>
      <c r="K439" s="146" t="s">
        <v>37</v>
      </c>
      <c r="L439" s="148" t="s">
        <v>3</v>
      </c>
      <c r="M439" s="146" t="s">
        <v>142</v>
      </c>
      <c r="N439" s="149">
        <v>1000</v>
      </c>
      <c r="O439" s="152">
        <f>SUMIF('GUDANG BESAR'!C:C,K:K,'GUDANG BESAR'!I:I)</f>
        <v>51276</v>
      </c>
      <c r="P439" s="153">
        <f>SUMIF('GUDANG BESAR'!C:C,K:K,'GUDANG BESAR'!K:K)</f>
        <v>56916.36</v>
      </c>
      <c r="Q439" s="150">
        <v>6.1440000000000001</v>
      </c>
      <c r="R439" s="149">
        <v>6</v>
      </c>
      <c r="S439" s="149">
        <v>144</v>
      </c>
      <c r="T439" s="145">
        <f t="shared" si="18"/>
        <v>315039.74400000001</v>
      </c>
      <c r="U439" s="145">
        <f t="shared" si="19"/>
        <v>349694.11583999998</v>
      </c>
      <c r="V439" s="135" t="str">
        <f>VLOOKUP(K439,Sheet1!$B$5:$C$131,2,0)</f>
        <v>DYESTUFF</v>
      </c>
      <c r="W439" s="181">
        <f t="shared" si="20"/>
        <v>6.1440000000000002E-3</v>
      </c>
    </row>
    <row r="440" spans="1:23" s="139" customFormat="1">
      <c r="A440" s="146" t="s">
        <v>508</v>
      </c>
      <c r="B440" s="147" t="s">
        <v>509</v>
      </c>
      <c r="C440" s="146" t="s">
        <v>137</v>
      </c>
      <c r="D440" s="146" t="s">
        <v>138</v>
      </c>
      <c r="E440" s="146" t="s">
        <v>139</v>
      </c>
      <c r="F440" s="146" t="s">
        <v>140</v>
      </c>
      <c r="G440" s="148" t="s">
        <v>303</v>
      </c>
      <c r="H440" s="146">
        <v>0</v>
      </c>
      <c r="I440" s="146">
        <v>5</v>
      </c>
      <c r="J440" s="146" t="s">
        <v>143</v>
      </c>
      <c r="K440" s="146" t="s">
        <v>90</v>
      </c>
      <c r="L440" s="148" t="s">
        <v>3</v>
      </c>
      <c r="M440" s="146" t="s">
        <v>142</v>
      </c>
      <c r="N440" s="149">
        <v>1000</v>
      </c>
      <c r="O440" s="152">
        <f>SUMIF('GUDANG BESAR'!C:C,K:K,'GUDANG BESAR'!I:I)</f>
        <v>194556</v>
      </c>
      <c r="P440" s="153">
        <f>SUMIF('GUDANG BESAR'!C:C,K:K,'GUDANG BESAR'!K:K)</f>
        <v>215957.16</v>
      </c>
      <c r="Q440" s="150">
        <v>0.51700000000000002</v>
      </c>
      <c r="R440" s="149">
        <v>0</v>
      </c>
      <c r="S440" s="149">
        <v>517</v>
      </c>
      <c r="T440" s="145">
        <f t="shared" si="18"/>
        <v>100585.452</v>
      </c>
      <c r="U440" s="145">
        <f t="shared" si="19"/>
        <v>111649.85172000001</v>
      </c>
      <c r="V440" s="135" t="str">
        <f>VLOOKUP(K440,Sheet1!$B$5:$C$131,2,0)</f>
        <v>DYESTUFF</v>
      </c>
      <c r="W440" s="181">
        <f t="shared" si="20"/>
        <v>5.1699999999999999E-4</v>
      </c>
    </row>
    <row r="441" spans="1:23" s="139" customFormat="1">
      <c r="A441" s="146" t="s">
        <v>508</v>
      </c>
      <c r="B441" s="147" t="s">
        <v>509</v>
      </c>
      <c r="C441" s="146" t="s">
        <v>137</v>
      </c>
      <c r="D441" s="146" t="s">
        <v>138</v>
      </c>
      <c r="E441" s="146" t="s">
        <v>139</v>
      </c>
      <c r="F441" s="146" t="s">
        <v>140</v>
      </c>
      <c r="G441" s="148" t="s">
        <v>303</v>
      </c>
      <c r="H441" s="146">
        <v>0</v>
      </c>
      <c r="I441" s="146">
        <v>2</v>
      </c>
      <c r="J441" s="146" t="s">
        <v>346</v>
      </c>
      <c r="K441" s="146" t="s">
        <v>343</v>
      </c>
      <c r="L441" s="148" t="s">
        <v>3</v>
      </c>
      <c r="M441" s="146" t="s">
        <v>142</v>
      </c>
      <c r="N441" s="149">
        <v>1000</v>
      </c>
      <c r="O441" s="152">
        <f>SUMIF('GUDANG BESAR'!C:C,K:K,'GUDANG BESAR'!I:I)</f>
        <v>60680</v>
      </c>
      <c r="P441" s="153">
        <f>SUMIF('GUDANG BESAR'!C:C,K:K,'GUDANG BESAR'!K:K)</f>
        <v>67354.8</v>
      </c>
      <c r="Q441" s="150">
        <v>13.608000000000001</v>
      </c>
      <c r="R441" s="149">
        <v>13</v>
      </c>
      <c r="S441" s="149">
        <v>608</v>
      </c>
      <c r="T441" s="145">
        <f t="shared" si="18"/>
        <v>825733.44000000006</v>
      </c>
      <c r="U441" s="145">
        <f t="shared" si="19"/>
        <v>916564.11840000004</v>
      </c>
      <c r="V441" s="135" t="str">
        <f>VLOOKUP(K441,Sheet1!$B$5:$C$131,2,0)</f>
        <v>DYESTUFF</v>
      </c>
      <c r="W441" s="181">
        <f t="shared" si="20"/>
        <v>1.3608E-2</v>
      </c>
    </row>
    <row r="442" spans="1:23" s="139" customFormat="1">
      <c r="A442" s="146" t="s">
        <v>508</v>
      </c>
      <c r="B442" s="147" t="s">
        <v>509</v>
      </c>
      <c r="C442" s="146" t="s">
        <v>137</v>
      </c>
      <c r="D442" s="146" t="s">
        <v>138</v>
      </c>
      <c r="E442" s="146" t="s">
        <v>139</v>
      </c>
      <c r="F442" s="146" t="s">
        <v>140</v>
      </c>
      <c r="G442" s="148" t="s">
        <v>303</v>
      </c>
      <c r="H442" s="146">
        <v>0</v>
      </c>
      <c r="I442" s="146">
        <v>10</v>
      </c>
      <c r="J442" s="146" t="s">
        <v>151</v>
      </c>
      <c r="K442" s="146" t="s">
        <v>28</v>
      </c>
      <c r="L442" s="148" t="s">
        <v>3</v>
      </c>
      <c r="M442" s="146" t="s">
        <v>142</v>
      </c>
      <c r="N442" s="149">
        <v>1000</v>
      </c>
      <c r="O442" s="152">
        <f>SUMIF('GUDANG BESAR'!C:C,K:K,'GUDANG BESAR'!I:I)</f>
        <v>413967</v>
      </c>
      <c r="P442" s="153">
        <f>SUMIF('GUDANG BESAR'!C:C,K:K,'GUDANG BESAR'!K:K)</f>
        <v>459503.37</v>
      </c>
      <c r="Q442" s="150">
        <v>3.5000000000000003E-2</v>
      </c>
      <c r="R442" s="149">
        <v>0</v>
      </c>
      <c r="S442" s="149">
        <v>35</v>
      </c>
      <c r="T442" s="145">
        <f t="shared" si="18"/>
        <v>14488.845000000001</v>
      </c>
      <c r="U442" s="145">
        <f t="shared" si="19"/>
        <v>16082.617950000002</v>
      </c>
      <c r="V442" s="135" t="str">
        <f>VLOOKUP(K442,Sheet1!$B$5:$C$131,2,0)</f>
        <v>DYESTUFF</v>
      </c>
      <c r="W442" s="181">
        <f t="shared" si="20"/>
        <v>3.5000000000000004E-5</v>
      </c>
    </row>
    <row r="443" spans="1:23" s="139" customFormat="1">
      <c r="A443" s="146" t="s">
        <v>508</v>
      </c>
      <c r="B443" s="147" t="s">
        <v>509</v>
      </c>
      <c r="C443" s="146" t="s">
        <v>137</v>
      </c>
      <c r="D443" s="146" t="s">
        <v>138</v>
      </c>
      <c r="E443" s="146" t="s">
        <v>139</v>
      </c>
      <c r="F443" s="146" t="s">
        <v>140</v>
      </c>
      <c r="G443" s="148" t="s">
        <v>303</v>
      </c>
      <c r="H443" s="146">
        <v>0</v>
      </c>
      <c r="I443" s="146">
        <v>3</v>
      </c>
      <c r="J443" s="146" t="s">
        <v>169</v>
      </c>
      <c r="K443" s="146" t="s">
        <v>64</v>
      </c>
      <c r="L443" s="148" t="s">
        <v>3</v>
      </c>
      <c r="M443" s="146" t="s">
        <v>142</v>
      </c>
      <c r="N443" s="149">
        <v>1000</v>
      </c>
      <c r="O443" s="152">
        <f>SUMIF('GUDANG BESAR'!C:C,K:K,'GUDANG BESAR'!I:I)</f>
        <v>506080</v>
      </c>
      <c r="P443" s="153">
        <f>SUMIF('GUDANG BESAR'!C:C,K:K,'GUDANG BESAR'!K:K)</f>
        <v>561748.80000000005</v>
      </c>
      <c r="Q443" s="150">
        <v>0.27300000000000002</v>
      </c>
      <c r="R443" s="149">
        <v>0</v>
      </c>
      <c r="S443" s="149">
        <v>273</v>
      </c>
      <c r="T443" s="145">
        <f t="shared" si="18"/>
        <v>138159.84</v>
      </c>
      <c r="U443" s="145">
        <f t="shared" si="19"/>
        <v>153357.42240000001</v>
      </c>
      <c r="V443" s="135" t="str">
        <f>VLOOKUP(K443,Sheet1!$B$5:$C$131,2,0)</f>
        <v>DYESTUFF</v>
      </c>
      <c r="W443" s="181">
        <f t="shared" si="20"/>
        <v>2.7300000000000002E-4</v>
      </c>
    </row>
    <row r="444" spans="1:23" s="139" customFormat="1">
      <c r="A444" s="146" t="s">
        <v>508</v>
      </c>
      <c r="B444" s="147" t="s">
        <v>509</v>
      </c>
      <c r="C444" s="146" t="s">
        <v>137</v>
      </c>
      <c r="D444" s="146" t="s">
        <v>138</v>
      </c>
      <c r="E444" s="146" t="s">
        <v>139</v>
      </c>
      <c r="F444" s="146" t="s">
        <v>140</v>
      </c>
      <c r="G444" s="148" t="s">
        <v>303</v>
      </c>
      <c r="H444" s="146">
        <v>0</v>
      </c>
      <c r="I444" s="146">
        <v>4</v>
      </c>
      <c r="J444" s="146" t="s">
        <v>250</v>
      </c>
      <c r="K444" s="146" t="s">
        <v>38</v>
      </c>
      <c r="L444" s="148" t="s">
        <v>3</v>
      </c>
      <c r="M444" s="146" t="s">
        <v>142</v>
      </c>
      <c r="N444" s="149">
        <v>1000</v>
      </c>
      <c r="O444" s="152">
        <f>SUMIF('GUDANG BESAR'!C:C,K:K,'GUDANG BESAR'!I:I)</f>
        <v>366255</v>
      </c>
      <c r="P444" s="153">
        <f>SUMIF('GUDANG BESAR'!C:C,K:K,'GUDANG BESAR'!K:K)</f>
        <v>406543.05</v>
      </c>
      <c r="Q444" s="150">
        <v>1.208</v>
      </c>
      <c r="R444" s="149">
        <v>1</v>
      </c>
      <c r="S444" s="149">
        <v>208</v>
      </c>
      <c r="T444" s="145">
        <f t="shared" si="18"/>
        <v>442436.04</v>
      </c>
      <c r="U444" s="145">
        <f t="shared" si="19"/>
        <v>491104.00439999998</v>
      </c>
      <c r="V444" s="135" t="str">
        <f>VLOOKUP(K444,Sheet1!$B$5:$C$131,2,0)</f>
        <v>DYESTUFF</v>
      </c>
      <c r="W444" s="181">
        <f t="shared" si="20"/>
        <v>1.2079999999999999E-3</v>
      </c>
    </row>
    <row r="445" spans="1:23" s="139" customFormat="1">
      <c r="A445" s="146" t="s">
        <v>508</v>
      </c>
      <c r="B445" s="147" t="s">
        <v>509</v>
      </c>
      <c r="C445" s="146" t="s">
        <v>137</v>
      </c>
      <c r="D445" s="146" t="s">
        <v>138</v>
      </c>
      <c r="E445" s="146" t="s">
        <v>139</v>
      </c>
      <c r="F445" s="146" t="s">
        <v>140</v>
      </c>
      <c r="G445" s="148" t="s">
        <v>303</v>
      </c>
      <c r="H445" s="146">
        <v>0</v>
      </c>
      <c r="I445" s="146">
        <v>6</v>
      </c>
      <c r="J445" s="146" t="s">
        <v>144</v>
      </c>
      <c r="K445" s="146" t="s">
        <v>26</v>
      </c>
      <c r="L445" s="148" t="s">
        <v>3</v>
      </c>
      <c r="M445" s="146" t="s">
        <v>142</v>
      </c>
      <c r="N445" s="149">
        <v>1000</v>
      </c>
      <c r="O445" s="152">
        <f>SUMIF('GUDANG BESAR'!C:C,K:K,'GUDANG BESAR'!I:I)</f>
        <v>52016</v>
      </c>
      <c r="P445" s="153">
        <f>SUMIF('GUDANG BESAR'!C:C,K:K,'GUDANG BESAR'!K:K)</f>
        <v>57737.760000000002</v>
      </c>
      <c r="Q445" s="150">
        <v>3.4820000000000002</v>
      </c>
      <c r="R445" s="149">
        <v>3</v>
      </c>
      <c r="S445" s="149">
        <v>482</v>
      </c>
      <c r="T445" s="145">
        <f t="shared" si="18"/>
        <v>181119.712</v>
      </c>
      <c r="U445" s="145">
        <f t="shared" si="19"/>
        <v>201042.88032000003</v>
      </c>
      <c r="V445" s="135" t="str">
        <f>VLOOKUP(K445,Sheet1!$B$5:$C$131,2,0)</f>
        <v>DYESTUFF</v>
      </c>
      <c r="W445" s="181">
        <f t="shared" si="20"/>
        <v>3.4820000000000003E-3</v>
      </c>
    </row>
    <row r="446" spans="1:23" s="139" customFormat="1">
      <c r="A446" s="146" t="s">
        <v>508</v>
      </c>
      <c r="B446" s="147" t="s">
        <v>509</v>
      </c>
      <c r="C446" s="146" t="s">
        <v>137</v>
      </c>
      <c r="D446" s="146" t="s">
        <v>138</v>
      </c>
      <c r="E446" s="146" t="s">
        <v>139</v>
      </c>
      <c r="F446" s="146" t="s">
        <v>140</v>
      </c>
      <c r="G446" s="148" t="s">
        <v>303</v>
      </c>
      <c r="H446" s="146">
        <v>0</v>
      </c>
      <c r="I446" s="146">
        <v>7</v>
      </c>
      <c r="J446" s="146" t="s">
        <v>145</v>
      </c>
      <c r="K446" s="146" t="s">
        <v>27</v>
      </c>
      <c r="L446" s="148" t="s">
        <v>3</v>
      </c>
      <c r="M446" s="146" t="s">
        <v>142</v>
      </c>
      <c r="N446" s="149">
        <v>1000</v>
      </c>
      <c r="O446" s="152">
        <f>SUMIF('GUDANG BESAR'!C:C,K:K,'GUDANG BESAR'!I:I)</f>
        <v>71148</v>
      </c>
      <c r="P446" s="153">
        <f>SUMIF('GUDANG BESAR'!C:C,K:K,'GUDANG BESAR'!K:K)</f>
        <v>78974.28</v>
      </c>
      <c r="Q446" s="150">
        <v>2.6150000000000002</v>
      </c>
      <c r="R446" s="149">
        <v>2</v>
      </c>
      <c r="S446" s="149">
        <v>615</v>
      </c>
      <c r="T446" s="145">
        <f t="shared" si="18"/>
        <v>186052.02000000002</v>
      </c>
      <c r="U446" s="145">
        <f t="shared" si="19"/>
        <v>206517.74220000001</v>
      </c>
      <c r="V446" s="135" t="str">
        <f>VLOOKUP(K446,Sheet1!$B$5:$C$131,2,0)</f>
        <v>DYESTUFF</v>
      </c>
      <c r="W446" s="181">
        <f t="shared" si="20"/>
        <v>2.6150000000000001E-3</v>
      </c>
    </row>
    <row r="447" spans="1:23" s="139" customFormat="1">
      <c r="A447" s="146" t="s">
        <v>508</v>
      </c>
      <c r="B447" s="147" t="s">
        <v>509</v>
      </c>
      <c r="C447" s="146" t="s">
        <v>137</v>
      </c>
      <c r="D447" s="146" t="s">
        <v>138</v>
      </c>
      <c r="E447" s="146" t="s">
        <v>139</v>
      </c>
      <c r="F447" s="146" t="s">
        <v>140</v>
      </c>
      <c r="G447" s="148" t="s">
        <v>303</v>
      </c>
      <c r="H447" s="146">
        <v>0</v>
      </c>
      <c r="I447" s="146">
        <v>8</v>
      </c>
      <c r="J447" s="146" t="s">
        <v>146</v>
      </c>
      <c r="K447" s="146" t="s">
        <v>46</v>
      </c>
      <c r="L447" s="148" t="s">
        <v>3</v>
      </c>
      <c r="M447" s="146" t="s">
        <v>142</v>
      </c>
      <c r="N447" s="149">
        <v>1000</v>
      </c>
      <c r="O447" s="152">
        <f>SUMIF('GUDANG BESAR'!C:C,K:K,'GUDANG BESAR'!I:I)</f>
        <v>100812</v>
      </c>
      <c r="P447" s="153">
        <f>SUMIF('GUDANG BESAR'!C:C,K:K,'GUDANG BESAR'!K:K)</f>
        <v>111901.32</v>
      </c>
      <c r="Q447" s="150">
        <v>0.41299999999999998</v>
      </c>
      <c r="R447" s="149">
        <v>0</v>
      </c>
      <c r="S447" s="149">
        <v>413</v>
      </c>
      <c r="T447" s="145">
        <f t="shared" si="18"/>
        <v>41635.356</v>
      </c>
      <c r="U447" s="145">
        <f t="shared" si="19"/>
        <v>46215.245159999999</v>
      </c>
      <c r="V447" s="135" t="str">
        <f>VLOOKUP(K447,Sheet1!$B$5:$C$131,2,0)</f>
        <v>DYESTUFF</v>
      </c>
      <c r="W447" s="181">
        <f t="shared" si="20"/>
        <v>4.1299999999999996E-4</v>
      </c>
    </row>
    <row r="448" spans="1:23" s="139" customFormat="1">
      <c r="A448" s="146" t="s">
        <v>508</v>
      </c>
      <c r="B448" s="147" t="s">
        <v>509</v>
      </c>
      <c r="C448" s="146" t="s">
        <v>137</v>
      </c>
      <c r="D448" s="146" t="s">
        <v>138</v>
      </c>
      <c r="E448" s="146" t="s">
        <v>139</v>
      </c>
      <c r="F448" s="146" t="s">
        <v>140</v>
      </c>
      <c r="G448" s="148" t="s">
        <v>303</v>
      </c>
      <c r="H448" s="146">
        <v>0</v>
      </c>
      <c r="I448" s="146">
        <v>9</v>
      </c>
      <c r="J448" s="146" t="s">
        <v>147</v>
      </c>
      <c r="K448" s="146" t="s">
        <v>41</v>
      </c>
      <c r="L448" s="148" t="s">
        <v>3</v>
      </c>
      <c r="M448" s="146" t="s">
        <v>142</v>
      </c>
      <c r="N448" s="149">
        <v>1000</v>
      </c>
      <c r="O448" s="152">
        <f>SUMIF('GUDANG BESAR'!C:C,K:K,'GUDANG BESAR'!I:I)</f>
        <v>54071</v>
      </c>
      <c r="P448" s="153">
        <f>SUMIF('GUDANG BESAR'!C:C,K:K,'GUDANG BESAR'!K:K)</f>
        <v>60018.81</v>
      </c>
      <c r="Q448" s="150">
        <v>8.9469999999999992</v>
      </c>
      <c r="R448" s="149">
        <v>8</v>
      </c>
      <c r="S448" s="149">
        <v>947</v>
      </c>
      <c r="T448" s="145">
        <f t="shared" si="18"/>
        <v>483773.23699999996</v>
      </c>
      <c r="U448" s="145">
        <f t="shared" si="19"/>
        <v>536988.2930699999</v>
      </c>
      <c r="V448" s="135" t="str">
        <f>VLOOKUP(K448,Sheet1!$B$5:$C$131,2,0)</f>
        <v>DYESTUFF</v>
      </c>
      <c r="W448" s="181">
        <f t="shared" si="20"/>
        <v>8.9469999999999984E-3</v>
      </c>
    </row>
    <row r="449" spans="1:23" s="139" customFormat="1">
      <c r="A449" s="146" t="s">
        <v>508</v>
      </c>
      <c r="B449" s="147" t="s">
        <v>509</v>
      </c>
      <c r="C449" s="146" t="s">
        <v>137</v>
      </c>
      <c r="D449" s="146" t="s">
        <v>138</v>
      </c>
      <c r="E449" s="146" t="s">
        <v>139</v>
      </c>
      <c r="F449" s="146" t="s">
        <v>140</v>
      </c>
      <c r="G449" s="148" t="s">
        <v>303</v>
      </c>
      <c r="H449" s="146">
        <v>0</v>
      </c>
      <c r="I449" s="146">
        <v>11</v>
      </c>
      <c r="J449" s="146" t="s">
        <v>148</v>
      </c>
      <c r="K449" s="146" t="s">
        <v>30</v>
      </c>
      <c r="L449" s="148" t="s">
        <v>3</v>
      </c>
      <c r="M449" s="146" t="s">
        <v>142</v>
      </c>
      <c r="N449" s="149">
        <v>1000</v>
      </c>
      <c r="O449" s="152">
        <f>SUMIF('GUDANG BESAR'!C:C,K:K,'GUDANG BESAR'!I:I)</f>
        <v>77089.399999999994</v>
      </c>
      <c r="P449" s="153">
        <f>SUMIF('GUDANG BESAR'!C:C,K:K,'GUDANG BESAR'!K:K)</f>
        <v>85569.233999999997</v>
      </c>
      <c r="Q449" s="150">
        <v>20.513000000000002</v>
      </c>
      <c r="R449" s="149">
        <v>20</v>
      </c>
      <c r="S449" s="149">
        <v>513</v>
      </c>
      <c r="T449" s="145">
        <f t="shared" si="18"/>
        <v>1581334.8622000001</v>
      </c>
      <c r="U449" s="145">
        <f t="shared" si="19"/>
        <v>1755281.697042</v>
      </c>
      <c r="V449" s="135" t="str">
        <f>VLOOKUP(K449,Sheet1!$B$5:$C$131,2,0)</f>
        <v>DYESTUFF</v>
      </c>
      <c r="W449" s="181">
        <f t="shared" si="20"/>
        <v>2.0513E-2</v>
      </c>
    </row>
    <row r="450" spans="1:23" s="139" customFormat="1">
      <c r="A450" s="146" t="s">
        <v>508</v>
      </c>
      <c r="B450" s="147" t="s">
        <v>509</v>
      </c>
      <c r="C450" s="146" t="s">
        <v>137</v>
      </c>
      <c r="D450" s="146" t="s">
        <v>138</v>
      </c>
      <c r="E450" s="146" t="s">
        <v>139</v>
      </c>
      <c r="F450" s="146" t="s">
        <v>162</v>
      </c>
      <c r="G450" s="148" t="s">
        <v>214</v>
      </c>
      <c r="H450" s="146">
        <v>0</v>
      </c>
      <c r="I450" s="146">
        <v>28</v>
      </c>
      <c r="J450" s="146" t="s">
        <v>163</v>
      </c>
      <c r="K450" s="146" t="s">
        <v>14</v>
      </c>
      <c r="L450" s="148" t="s">
        <v>3</v>
      </c>
      <c r="M450" s="146" t="s">
        <v>142</v>
      </c>
      <c r="N450" s="149">
        <v>1000</v>
      </c>
      <c r="O450" s="152">
        <f>SUMIF('GUDANG BESAR'!C:C,K:K,'GUDANG BESAR'!I:I)</f>
        <v>30500</v>
      </c>
      <c r="P450" s="153">
        <f>SUMIF('GUDANG BESAR'!C:C,K:K,'GUDANG BESAR'!K:K)</f>
        <v>33855</v>
      </c>
      <c r="Q450" s="150">
        <v>25</v>
      </c>
      <c r="R450" s="149">
        <v>25</v>
      </c>
      <c r="S450" s="149">
        <v>0</v>
      </c>
      <c r="T450" s="145">
        <f t="shared" si="18"/>
        <v>762500</v>
      </c>
      <c r="U450" s="145">
        <f t="shared" si="19"/>
        <v>846375</v>
      </c>
      <c r="V450" s="135" t="str">
        <f>VLOOKUP(K450,Sheet1!$B$5:$C$131,2,0)</f>
        <v>LIMBAH</v>
      </c>
      <c r="W450" s="181">
        <f t="shared" si="20"/>
        <v>2.5000000000000001E-2</v>
      </c>
    </row>
    <row r="451" spans="1:23" s="139" customFormat="1">
      <c r="A451" s="146" t="s">
        <v>508</v>
      </c>
      <c r="B451" s="147" t="s">
        <v>509</v>
      </c>
      <c r="C451" s="146" t="s">
        <v>137</v>
      </c>
      <c r="D451" s="146" t="s">
        <v>138</v>
      </c>
      <c r="E451" s="146" t="s">
        <v>139</v>
      </c>
      <c r="F451" s="146" t="s">
        <v>167</v>
      </c>
      <c r="G451" s="148" t="s">
        <v>298</v>
      </c>
      <c r="H451" s="146">
        <v>0</v>
      </c>
      <c r="I451" s="146">
        <v>22</v>
      </c>
      <c r="J451" s="146" t="s">
        <v>270</v>
      </c>
      <c r="K451" s="146" t="s">
        <v>31</v>
      </c>
      <c r="L451" s="148" t="s">
        <v>3</v>
      </c>
      <c r="M451" s="146" t="s">
        <v>142</v>
      </c>
      <c r="N451" s="149">
        <v>1000</v>
      </c>
      <c r="O451" s="152">
        <f>SUMIF('GUDANG BESAR'!C:C,K:K,'GUDANG BESAR'!I:I)</f>
        <v>12160</v>
      </c>
      <c r="P451" s="153">
        <f>SUMIF('GUDANG BESAR'!C:C,K:K,'GUDANG BESAR'!K:K)</f>
        <v>13497.6</v>
      </c>
      <c r="Q451" s="150">
        <v>4</v>
      </c>
      <c r="R451" s="149">
        <v>4</v>
      </c>
      <c r="S451" s="149">
        <v>0</v>
      </c>
      <c r="T451" s="145">
        <f t="shared" si="18"/>
        <v>48640</v>
      </c>
      <c r="U451" s="145">
        <f t="shared" si="19"/>
        <v>53990.400000000001</v>
      </c>
      <c r="V451" s="135" t="str">
        <f>VLOOKUP(K451,Sheet1!$B$5:$C$131,2,0)</f>
        <v>FINISHING</v>
      </c>
      <c r="W451" s="181">
        <f t="shared" si="20"/>
        <v>4.0000000000000001E-3</v>
      </c>
    </row>
    <row r="452" spans="1:23" s="139" customFormat="1">
      <c r="A452" s="146" t="s">
        <v>508</v>
      </c>
      <c r="B452" s="147" t="s">
        <v>509</v>
      </c>
      <c r="C452" s="146" t="s">
        <v>137</v>
      </c>
      <c r="D452" s="146" t="s">
        <v>138</v>
      </c>
      <c r="E452" s="146" t="s">
        <v>139</v>
      </c>
      <c r="F452" s="146" t="s">
        <v>166</v>
      </c>
      <c r="G452" s="148" t="s">
        <v>336</v>
      </c>
      <c r="H452" s="146">
        <v>0</v>
      </c>
      <c r="I452" s="146">
        <v>24</v>
      </c>
      <c r="J452" s="146" t="s">
        <v>462</v>
      </c>
      <c r="K452" s="146" t="s">
        <v>54</v>
      </c>
      <c r="L452" s="148" t="s">
        <v>3</v>
      </c>
      <c r="M452" s="146" t="s">
        <v>142</v>
      </c>
      <c r="N452" s="149">
        <v>1000</v>
      </c>
      <c r="O452" s="152">
        <f>SUMIF('GUDANG BESAR'!C:C,K:K,'GUDANG BESAR'!I:I)</f>
        <v>35000</v>
      </c>
      <c r="P452" s="153">
        <f>SUMIF('GUDANG BESAR'!C:C,K:K,'GUDANG BESAR'!K:K)</f>
        <v>38850</v>
      </c>
      <c r="Q452" s="150">
        <v>35</v>
      </c>
      <c r="R452" s="149">
        <v>35</v>
      </c>
      <c r="S452" s="149">
        <v>0</v>
      </c>
      <c r="T452" s="145">
        <f t="shared" si="18"/>
        <v>1225000</v>
      </c>
      <c r="U452" s="145">
        <f t="shared" si="19"/>
        <v>1359750</v>
      </c>
      <c r="V452" s="135" t="str">
        <f>VLOOKUP(K452,Sheet1!$B$5:$C$131,2,0)</f>
        <v>ENGGRAVING</v>
      </c>
      <c r="W452" s="181">
        <f t="shared" si="20"/>
        <v>3.5000000000000003E-2</v>
      </c>
    </row>
    <row r="453" spans="1:23" s="139" customFormat="1">
      <c r="A453" s="146" t="s">
        <v>508</v>
      </c>
      <c r="B453" s="147" t="s">
        <v>509</v>
      </c>
      <c r="C453" s="146" t="s">
        <v>137</v>
      </c>
      <c r="D453" s="146" t="s">
        <v>138</v>
      </c>
      <c r="E453" s="146" t="s">
        <v>139</v>
      </c>
      <c r="F453" s="146" t="s">
        <v>140</v>
      </c>
      <c r="G453" s="148" t="s">
        <v>300</v>
      </c>
      <c r="H453" s="146">
        <v>0</v>
      </c>
      <c r="I453" s="146">
        <v>15</v>
      </c>
      <c r="J453" s="146" t="s">
        <v>314</v>
      </c>
      <c r="K453" s="146" t="s">
        <v>281</v>
      </c>
      <c r="L453" s="148" t="s">
        <v>3</v>
      </c>
      <c r="M453" s="146" t="s">
        <v>142</v>
      </c>
      <c r="N453" s="149">
        <v>1000</v>
      </c>
      <c r="O453" s="152">
        <f>SUMIF('GUDANG BESAR'!C:C,K:K,'GUDANG BESAR'!I:I)</f>
        <v>23590.51</v>
      </c>
      <c r="P453" s="153">
        <f>SUMIF('GUDANG BESAR'!C:C,K:K,'GUDANG BESAR'!K:K)</f>
        <v>26185.466099999998</v>
      </c>
      <c r="Q453" s="150">
        <v>180</v>
      </c>
      <c r="R453" s="149">
        <v>180</v>
      </c>
      <c r="S453" s="149">
        <v>0</v>
      </c>
      <c r="T453" s="145">
        <f t="shared" si="18"/>
        <v>4246291.8</v>
      </c>
      <c r="U453" s="145">
        <f t="shared" si="19"/>
        <v>4713383.898</v>
      </c>
      <c r="V453" s="135" t="str">
        <f>VLOOKUP(K453,Sheet1!$B$5:$C$131,2,0)</f>
        <v>CK</v>
      </c>
      <c r="W453" s="181">
        <f t="shared" si="20"/>
        <v>0.18</v>
      </c>
    </row>
    <row r="454" spans="1:23" s="139" customFormat="1">
      <c r="A454" s="146" t="s">
        <v>508</v>
      </c>
      <c r="B454" s="147" t="s">
        <v>509</v>
      </c>
      <c r="C454" s="146" t="s">
        <v>137</v>
      </c>
      <c r="D454" s="146" t="s">
        <v>138</v>
      </c>
      <c r="E454" s="146" t="s">
        <v>139</v>
      </c>
      <c r="F454" s="146" t="s">
        <v>162</v>
      </c>
      <c r="G454" s="148" t="s">
        <v>214</v>
      </c>
      <c r="H454" s="146">
        <v>0</v>
      </c>
      <c r="I454" s="146">
        <v>25</v>
      </c>
      <c r="J454" s="146" t="s">
        <v>234</v>
      </c>
      <c r="K454" s="146" t="s">
        <v>233</v>
      </c>
      <c r="L454" s="148" t="s">
        <v>3</v>
      </c>
      <c r="M454" s="146" t="s">
        <v>142</v>
      </c>
      <c r="N454" s="149">
        <v>1000</v>
      </c>
      <c r="O454" s="152">
        <f>SUMIF('GUDANG BESAR'!C:C,K:K,'GUDANG BESAR'!I:I)</f>
        <v>5500</v>
      </c>
      <c r="P454" s="153">
        <f>SUMIF('GUDANG BESAR'!C:C,K:K,'GUDANG BESAR'!K:K)</f>
        <v>6105</v>
      </c>
      <c r="Q454" s="150">
        <v>775</v>
      </c>
      <c r="R454" s="149">
        <v>775</v>
      </c>
      <c r="S454" s="149">
        <v>0</v>
      </c>
      <c r="T454" s="145">
        <f t="shared" ref="T454:T517" si="21">O454*Q454</f>
        <v>4262500</v>
      </c>
      <c r="U454" s="145">
        <f t="shared" ref="U454:U517" si="22">P454*Q454</f>
        <v>4731375</v>
      </c>
      <c r="V454" s="135" t="str">
        <f>VLOOKUP(K454,Sheet1!$B$5:$C$131,2,0)</f>
        <v>LIMBAH</v>
      </c>
      <c r="W454" s="181">
        <f t="shared" ref="W454:W517" si="23">Q454/$W$5</f>
        <v>0.77500000000000002</v>
      </c>
    </row>
    <row r="455" spans="1:23" s="139" customFormat="1">
      <c r="A455" s="146" t="s">
        <v>508</v>
      </c>
      <c r="B455" s="147" t="s">
        <v>509</v>
      </c>
      <c r="C455" s="146" t="s">
        <v>137</v>
      </c>
      <c r="D455" s="146" t="s">
        <v>138</v>
      </c>
      <c r="E455" s="146" t="s">
        <v>139</v>
      </c>
      <c r="F455" s="146" t="s">
        <v>140</v>
      </c>
      <c r="G455" s="148" t="s">
        <v>303</v>
      </c>
      <c r="H455" s="146">
        <v>0</v>
      </c>
      <c r="I455" s="146">
        <v>12</v>
      </c>
      <c r="J455" s="146" t="s">
        <v>502</v>
      </c>
      <c r="K455" s="146" t="s">
        <v>103</v>
      </c>
      <c r="L455" s="148" t="s">
        <v>3</v>
      </c>
      <c r="M455" s="146" t="s">
        <v>142</v>
      </c>
      <c r="N455" s="149">
        <v>1000</v>
      </c>
      <c r="O455" s="152">
        <f>SUMIF('GUDANG BESAR'!C:C,K:K,'GUDANG BESAR'!I:I)</f>
        <v>114100</v>
      </c>
      <c r="P455" s="153">
        <f>SUMIF('GUDANG BESAR'!C:C,K:K,'GUDANG BESAR'!K:K)</f>
        <v>126651</v>
      </c>
      <c r="Q455" s="150">
        <v>1.0999999999999999E-2</v>
      </c>
      <c r="R455" s="149">
        <v>0</v>
      </c>
      <c r="S455" s="149">
        <v>11</v>
      </c>
      <c r="T455" s="145">
        <f t="shared" si="21"/>
        <v>1255.0999999999999</v>
      </c>
      <c r="U455" s="145">
        <f t="shared" si="22"/>
        <v>1393.1609999999998</v>
      </c>
      <c r="V455" s="135" t="str">
        <f>VLOOKUP(K455,Sheet1!$B$5:$C$131,2,0)</f>
        <v>DYESTUFF</v>
      </c>
      <c r="W455" s="181">
        <f t="shared" si="23"/>
        <v>1.1E-5</v>
      </c>
    </row>
    <row r="456" spans="1:23" s="139" customFormat="1">
      <c r="A456" s="146" t="s">
        <v>508</v>
      </c>
      <c r="B456" s="147" t="s">
        <v>509</v>
      </c>
      <c r="C456" s="146" t="s">
        <v>137</v>
      </c>
      <c r="D456" s="146" t="s">
        <v>138</v>
      </c>
      <c r="E456" s="146" t="s">
        <v>139</v>
      </c>
      <c r="F456" s="146" t="s">
        <v>140</v>
      </c>
      <c r="G456" s="148" t="s">
        <v>303</v>
      </c>
      <c r="H456" s="146">
        <v>0</v>
      </c>
      <c r="I456" s="146">
        <v>13</v>
      </c>
      <c r="J456" s="146" t="s">
        <v>504</v>
      </c>
      <c r="K456" s="146" t="s">
        <v>107</v>
      </c>
      <c r="L456" s="148" t="s">
        <v>3</v>
      </c>
      <c r="M456" s="146" t="s">
        <v>142</v>
      </c>
      <c r="N456" s="149">
        <v>1000</v>
      </c>
      <c r="O456" s="152">
        <f>SUMIF('GUDANG BESAR'!C:C,K:K,'GUDANG BESAR'!I:I)</f>
        <v>113785</v>
      </c>
      <c r="P456" s="153">
        <f>SUMIF('GUDANG BESAR'!C:C,K:K,'GUDANG BESAR'!K:K)</f>
        <v>126301.35</v>
      </c>
      <c r="Q456" s="150">
        <v>7.4999999999999997E-2</v>
      </c>
      <c r="R456" s="149">
        <v>0</v>
      </c>
      <c r="S456" s="149">
        <v>75</v>
      </c>
      <c r="T456" s="145">
        <f t="shared" si="21"/>
        <v>8533.875</v>
      </c>
      <c r="U456" s="145">
        <f t="shared" si="22"/>
        <v>9472.6012499999997</v>
      </c>
      <c r="V456" s="135" t="str">
        <f>VLOOKUP(K456,Sheet1!$B$5:$C$131,2,0)</f>
        <v>DYESTUFF</v>
      </c>
      <c r="W456" s="181">
        <f t="shared" si="23"/>
        <v>7.4999999999999993E-5</v>
      </c>
    </row>
    <row r="457" spans="1:23" s="139" customFormat="1">
      <c r="A457" s="146" t="s">
        <v>508</v>
      </c>
      <c r="B457" s="147" t="s">
        <v>509</v>
      </c>
      <c r="C457" s="146" t="s">
        <v>137</v>
      </c>
      <c r="D457" s="146" t="s">
        <v>138</v>
      </c>
      <c r="E457" s="146" t="s">
        <v>139</v>
      </c>
      <c r="F457" s="146" t="s">
        <v>140</v>
      </c>
      <c r="G457" s="148" t="s">
        <v>303</v>
      </c>
      <c r="H457" s="146">
        <v>0</v>
      </c>
      <c r="I457" s="146">
        <v>14</v>
      </c>
      <c r="J457" s="146" t="s">
        <v>507</v>
      </c>
      <c r="K457" s="146" t="s">
        <v>113</v>
      </c>
      <c r="L457" s="148" t="s">
        <v>3</v>
      </c>
      <c r="M457" s="146" t="s">
        <v>142</v>
      </c>
      <c r="N457" s="149">
        <v>1000</v>
      </c>
      <c r="O457" s="152">
        <f>SUMIF('GUDANG BESAR'!C:C,K:K,'GUDANG BESAR'!I:I)</f>
        <v>57050</v>
      </c>
      <c r="P457" s="153">
        <f>SUMIF('GUDANG BESAR'!C:C,K:K,'GUDANG BESAR'!K:K)</f>
        <v>63325.5</v>
      </c>
      <c r="Q457" s="150">
        <v>3.5999999999999997E-2</v>
      </c>
      <c r="R457" s="149">
        <v>0</v>
      </c>
      <c r="S457" s="149">
        <v>36</v>
      </c>
      <c r="T457" s="145">
        <f t="shared" si="21"/>
        <v>2053.7999999999997</v>
      </c>
      <c r="U457" s="145">
        <f t="shared" si="22"/>
        <v>2279.7179999999998</v>
      </c>
      <c r="V457" s="135" t="str">
        <f>VLOOKUP(K457,Sheet1!$B$5:$C$131,2,0)</f>
        <v>DYESTUFF</v>
      </c>
      <c r="W457" s="181">
        <f t="shared" si="23"/>
        <v>3.5999999999999994E-5</v>
      </c>
    </row>
    <row r="458" spans="1:23" s="139" customFormat="1">
      <c r="A458" s="146" t="s">
        <v>508</v>
      </c>
      <c r="B458" s="147" t="s">
        <v>509</v>
      </c>
      <c r="C458" s="146" t="s">
        <v>137</v>
      </c>
      <c r="D458" s="146" t="s">
        <v>138</v>
      </c>
      <c r="E458" s="146" t="s">
        <v>139</v>
      </c>
      <c r="F458" s="146" t="s">
        <v>140</v>
      </c>
      <c r="G458" s="148" t="s">
        <v>300</v>
      </c>
      <c r="H458" s="146">
        <v>0</v>
      </c>
      <c r="I458" s="146">
        <v>16</v>
      </c>
      <c r="J458" s="146" t="s">
        <v>345</v>
      </c>
      <c r="K458" s="146" t="s">
        <v>313</v>
      </c>
      <c r="L458" s="148" t="s">
        <v>3</v>
      </c>
      <c r="M458" s="146" t="s">
        <v>142</v>
      </c>
      <c r="N458" s="149">
        <v>1000</v>
      </c>
      <c r="O458" s="152">
        <f>SUMIF('GUDANG BESAR'!C:C,K:K,'GUDANG BESAR'!I:I)</f>
        <v>17787</v>
      </c>
      <c r="P458" s="153">
        <f>SUMIF('GUDANG BESAR'!C:C,K:K,'GUDANG BESAR'!K:K)</f>
        <v>19743.57</v>
      </c>
      <c r="Q458" s="150">
        <v>6</v>
      </c>
      <c r="R458" s="149">
        <v>6</v>
      </c>
      <c r="S458" s="149">
        <v>0</v>
      </c>
      <c r="T458" s="145">
        <f t="shared" si="21"/>
        <v>106722</v>
      </c>
      <c r="U458" s="145">
        <f t="shared" si="22"/>
        <v>118461.42</v>
      </c>
      <c r="V458" s="135" t="str">
        <f>VLOOKUP(K458,Sheet1!$B$5:$C$131,2,0)</f>
        <v>CK</v>
      </c>
      <c r="W458" s="181">
        <f t="shared" si="23"/>
        <v>6.0000000000000001E-3</v>
      </c>
    </row>
    <row r="459" spans="1:23" s="139" customFormat="1">
      <c r="A459" s="146" t="s">
        <v>508</v>
      </c>
      <c r="B459" s="147" t="s">
        <v>509</v>
      </c>
      <c r="C459" s="146" t="s">
        <v>137</v>
      </c>
      <c r="D459" s="146" t="s">
        <v>138</v>
      </c>
      <c r="E459" s="146" t="s">
        <v>139</v>
      </c>
      <c r="F459" s="146" t="s">
        <v>153</v>
      </c>
      <c r="G459" s="148" t="s">
        <v>301</v>
      </c>
      <c r="H459" s="146">
        <v>0</v>
      </c>
      <c r="I459" s="146">
        <v>19</v>
      </c>
      <c r="J459" s="146" t="s">
        <v>317</v>
      </c>
      <c r="K459" s="146" t="s">
        <v>17</v>
      </c>
      <c r="L459" s="148" t="s">
        <v>3</v>
      </c>
      <c r="M459" s="146" t="s">
        <v>142</v>
      </c>
      <c r="N459" s="149">
        <v>1000</v>
      </c>
      <c r="O459" s="152">
        <f>SUMIF('GUDANG BESAR'!C:C,K:K,'GUDANG BESAR'!I:I)</f>
        <v>25269.5</v>
      </c>
      <c r="P459" s="153">
        <f>SUMIF('GUDANG BESAR'!C:C,K:K,'GUDANG BESAR'!K:K)</f>
        <v>28049.145</v>
      </c>
      <c r="Q459" s="150">
        <v>30</v>
      </c>
      <c r="R459" s="149">
        <v>30</v>
      </c>
      <c r="S459" s="149">
        <v>0</v>
      </c>
      <c r="T459" s="145">
        <f t="shared" si="21"/>
        <v>758085</v>
      </c>
      <c r="U459" s="145">
        <f t="shared" si="22"/>
        <v>841474.35</v>
      </c>
      <c r="V459" s="135" t="str">
        <f>VLOOKUP(K459,Sheet1!$B$5:$C$131,2,0)</f>
        <v>DYEING</v>
      </c>
      <c r="W459" s="181">
        <f t="shared" si="23"/>
        <v>0.03</v>
      </c>
    </row>
    <row r="460" spans="1:23" s="139" customFormat="1">
      <c r="A460" s="146" t="s">
        <v>508</v>
      </c>
      <c r="B460" s="147" t="s">
        <v>509</v>
      </c>
      <c r="C460" s="146" t="s">
        <v>137</v>
      </c>
      <c r="D460" s="146" t="s">
        <v>138</v>
      </c>
      <c r="E460" s="146" t="s">
        <v>139</v>
      </c>
      <c r="F460" s="146" t="s">
        <v>153</v>
      </c>
      <c r="G460" s="148" t="s">
        <v>301</v>
      </c>
      <c r="H460" s="146">
        <v>0</v>
      </c>
      <c r="I460" s="146">
        <v>21</v>
      </c>
      <c r="J460" s="146" t="s">
        <v>251</v>
      </c>
      <c r="K460" s="146" t="s">
        <v>249</v>
      </c>
      <c r="L460" s="148" t="s">
        <v>3</v>
      </c>
      <c r="M460" s="146" t="s">
        <v>142</v>
      </c>
      <c r="N460" s="149">
        <v>1000</v>
      </c>
      <c r="O460" s="152">
        <f>SUMIF('GUDANG BESAR'!C:C,K:K,'GUDANG BESAR'!I:I)</f>
        <v>9119.6</v>
      </c>
      <c r="P460" s="153">
        <f>SUMIF('GUDANG BESAR'!C:C,K:K,'GUDANG BESAR'!K:K)</f>
        <v>10122.756000000001</v>
      </c>
      <c r="Q460" s="150">
        <v>10</v>
      </c>
      <c r="R460" s="149">
        <v>10</v>
      </c>
      <c r="S460" s="149">
        <v>0</v>
      </c>
      <c r="T460" s="145">
        <f t="shared" si="21"/>
        <v>91196</v>
      </c>
      <c r="U460" s="145">
        <f t="shared" si="22"/>
        <v>101227.56000000001</v>
      </c>
      <c r="V460" s="135" t="str">
        <f>VLOOKUP(K460,Sheet1!$B$5:$C$131,2,0)</f>
        <v>DYEING</v>
      </c>
      <c r="W460" s="181">
        <f t="shared" si="23"/>
        <v>0.01</v>
      </c>
    </row>
    <row r="461" spans="1:23" s="139" customFormat="1">
      <c r="A461" s="146" t="s">
        <v>508</v>
      </c>
      <c r="B461" s="147" t="s">
        <v>509</v>
      </c>
      <c r="C461" s="146" t="s">
        <v>137</v>
      </c>
      <c r="D461" s="146" t="s">
        <v>138</v>
      </c>
      <c r="E461" s="146" t="s">
        <v>139</v>
      </c>
      <c r="F461" s="146" t="s">
        <v>153</v>
      </c>
      <c r="G461" s="148" t="s">
        <v>301</v>
      </c>
      <c r="H461" s="146">
        <v>0</v>
      </c>
      <c r="I461" s="146">
        <v>20</v>
      </c>
      <c r="J461" s="146" t="s">
        <v>168</v>
      </c>
      <c r="K461" s="146" t="s">
        <v>34</v>
      </c>
      <c r="L461" s="148" t="s">
        <v>3</v>
      </c>
      <c r="M461" s="146" t="s">
        <v>142</v>
      </c>
      <c r="N461" s="149">
        <v>1000</v>
      </c>
      <c r="O461" s="152">
        <f>SUMIF('GUDANG BESAR'!C:C,K:K,'GUDANG BESAR'!I:I)</f>
        <v>68397</v>
      </c>
      <c r="P461" s="153">
        <f>SUMIF('GUDANG BESAR'!C:C,K:K,'GUDANG BESAR'!K:K)</f>
        <v>75920.67</v>
      </c>
      <c r="Q461" s="150">
        <v>2.8</v>
      </c>
      <c r="R461" s="149">
        <v>2</v>
      </c>
      <c r="S461" s="149">
        <v>800</v>
      </c>
      <c r="T461" s="145">
        <f t="shared" si="21"/>
        <v>191511.59999999998</v>
      </c>
      <c r="U461" s="145">
        <f t="shared" si="22"/>
        <v>212577.87599999999</v>
      </c>
      <c r="V461" s="135" t="str">
        <f>VLOOKUP(K461,Sheet1!$B$5:$C$131,2,0)</f>
        <v>DYEING</v>
      </c>
      <c r="W461" s="181">
        <f t="shared" si="23"/>
        <v>2.8E-3</v>
      </c>
    </row>
    <row r="462" spans="1:23" s="139" customFormat="1">
      <c r="A462" s="146" t="s">
        <v>508</v>
      </c>
      <c r="B462" s="147" t="s">
        <v>509</v>
      </c>
      <c r="C462" s="146" t="s">
        <v>137</v>
      </c>
      <c r="D462" s="146" t="s">
        <v>138</v>
      </c>
      <c r="E462" s="146" t="s">
        <v>139</v>
      </c>
      <c r="F462" s="146" t="s">
        <v>140</v>
      </c>
      <c r="G462" s="148" t="s">
        <v>300</v>
      </c>
      <c r="H462" s="146">
        <v>0</v>
      </c>
      <c r="I462" s="146">
        <v>17</v>
      </c>
      <c r="J462" s="146" t="s">
        <v>510</v>
      </c>
      <c r="K462" s="146" t="s">
        <v>257</v>
      </c>
      <c r="L462" s="148" t="s">
        <v>3</v>
      </c>
      <c r="M462" s="146" t="s">
        <v>142</v>
      </c>
      <c r="N462" s="149">
        <v>1000</v>
      </c>
      <c r="O462" s="152">
        <f>SUMIF('GUDANG BESAR'!C:C,K:K,'GUDANG BESAR'!I:I)</f>
        <v>28000</v>
      </c>
      <c r="P462" s="153">
        <f>SUMIF('GUDANG BESAR'!C:C,K:K,'GUDANG BESAR'!K:K)</f>
        <v>31080</v>
      </c>
      <c r="Q462" s="150">
        <v>21</v>
      </c>
      <c r="R462" s="149">
        <v>21</v>
      </c>
      <c r="S462" s="149">
        <v>0</v>
      </c>
      <c r="T462" s="145">
        <f t="shared" si="21"/>
        <v>588000</v>
      </c>
      <c r="U462" s="145">
        <f t="shared" si="22"/>
        <v>652680</v>
      </c>
      <c r="V462" s="135" t="str">
        <f>VLOOKUP(K462,Sheet1!$B$5:$C$131,2,0)</f>
        <v>CK</v>
      </c>
      <c r="W462" s="181">
        <f t="shared" si="23"/>
        <v>2.1000000000000001E-2</v>
      </c>
    </row>
    <row r="463" spans="1:23" s="139" customFormat="1">
      <c r="A463" s="146" t="s">
        <v>508</v>
      </c>
      <c r="B463" s="147" t="s">
        <v>509</v>
      </c>
      <c r="C463" s="146" t="s">
        <v>137</v>
      </c>
      <c r="D463" s="146" t="s">
        <v>138</v>
      </c>
      <c r="E463" s="146" t="s">
        <v>139</v>
      </c>
      <c r="F463" s="146" t="s">
        <v>162</v>
      </c>
      <c r="G463" s="148" t="s">
        <v>214</v>
      </c>
      <c r="H463" s="146">
        <v>0</v>
      </c>
      <c r="I463" s="146">
        <v>31</v>
      </c>
      <c r="J463" s="146" t="s">
        <v>165</v>
      </c>
      <c r="K463" s="146" t="s">
        <v>80</v>
      </c>
      <c r="L463" s="148" t="s">
        <v>3</v>
      </c>
      <c r="M463" s="146" t="s">
        <v>142</v>
      </c>
      <c r="N463" s="149">
        <v>1000</v>
      </c>
      <c r="O463" s="152">
        <f>SUMIF('GUDANG BESAR'!C:C,K:K,'GUDANG BESAR'!I:I)</f>
        <v>1550000</v>
      </c>
      <c r="P463" s="153">
        <f>SUMIF('GUDANG BESAR'!C:C,K:K,'GUDANG BESAR'!K:K)</f>
        <v>1720500</v>
      </c>
      <c r="Q463" s="150">
        <v>0.05</v>
      </c>
      <c r="R463" s="149">
        <v>0</v>
      </c>
      <c r="S463" s="149">
        <v>50</v>
      </c>
      <c r="T463" s="145">
        <f t="shared" si="21"/>
        <v>77500</v>
      </c>
      <c r="U463" s="145">
        <f t="shared" si="22"/>
        <v>86025</v>
      </c>
      <c r="V463" s="135" t="str">
        <f>VLOOKUP(K463,Sheet1!$B$5:$C$131,2,0)</f>
        <v>LIMBAH</v>
      </c>
      <c r="W463" s="181">
        <f t="shared" si="23"/>
        <v>5.0000000000000002E-5</v>
      </c>
    </row>
    <row r="464" spans="1:23" s="139" customFormat="1">
      <c r="A464" s="146" t="s">
        <v>508</v>
      </c>
      <c r="B464" s="147" t="s">
        <v>509</v>
      </c>
      <c r="C464" s="146" t="s">
        <v>137</v>
      </c>
      <c r="D464" s="146" t="s">
        <v>138</v>
      </c>
      <c r="E464" s="146" t="s">
        <v>139</v>
      </c>
      <c r="F464" s="146" t="s">
        <v>162</v>
      </c>
      <c r="G464" s="148" t="s">
        <v>214</v>
      </c>
      <c r="H464" s="146">
        <v>0</v>
      </c>
      <c r="I464" s="146">
        <v>30</v>
      </c>
      <c r="J464" s="146" t="s">
        <v>164</v>
      </c>
      <c r="K464" s="146" t="s">
        <v>74</v>
      </c>
      <c r="L464" s="148" t="s">
        <v>5</v>
      </c>
      <c r="M464" s="146" t="s">
        <v>142</v>
      </c>
      <c r="N464" s="149">
        <v>1000</v>
      </c>
      <c r="O464" s="152">
        <f>SUMIF('GUDANG BESAR'!C:C,K:K,'GUDANG BESAR'!I:I)</f>
        <v>13180</v>
      </c>
      <c r="P464" s="153">
        <f>SUMIF('GUDANG BESAR'!C:C,K:K,'GUDANG BESAR'!K:K)</f>
        <v>14629.8</v>
      </c>
      <c r="Q464" s="150">
        <v>15</v>
      </c>
      <c r="R464" s="149">
        <v>15</v>
      </c>
      <c r="S464" s="149">
        <v>0</v>
      </c>
      <c r="T464" s="145">
        <f t="shared" si="21"/>
        <v>197700</v>
      </c>
      <c r="U464" s="145">
        <f t="shared" si="22"/>
        <v>219447</v>
      </c>
      <c r="V464" s="135" t="str">
        <f>VLOOKUP(K464,Sheet1!$B$5:$C$131,2,0)</f>
        <v>LIMBAH</v>
      </c>
      <c r="W464" s="181">
        <f t="shared" si="23"/>
        <v>1.4999999999999999E-2</v>
      </c>
    </row>
    <row r="465" spans="1:23" s="139" customFormat="1">
      <c r="A465" s="146" t="s">
        <v>508</v>
      </c>
      <c r="B465" s="147" t="s">
        <v>509</v>
      </c>
      <c r="C465" s="146" t="s">
        <v>137</v>
      </c>
      <c r="D465" s="146" t="s">
        <v>138</v>
      </c>
      <c r="E465" s="146" t="s">
        <v>139</v>
      </c>
      <c r="F465" s="146" t="s">
        <v>162</v>
      </c>
      <c r="G465" s="148" t="s">
        <v>214</v>
      </c>
      <c r="H465" s="146">
        <v>0</v>
      </c>
      <c r="I465" s="146">
        <v>26</v>
      </c>
      <c r="J465" s="146" t="s">
        <v>262</v>
      </c>
      <c r="K465" s="146" t="s">
        <v>258</v>
      </c>
      <c r="L465" s="148" t="s">
        <v>3</v>
      </c>
      <c r="M465" s="146" t="s">
        <v>142</v>
      </c>
      <c r="N465" s="149">
        <v>1000</v>
      </c>
      <c r="O465" s="152">
        <f>SUMIF('GUDANG BESAR'!C:C,K:K,'GUDANG BESAR'!I:I)</f>
        <v>33000</v>
      </c>
      <c r="P465" s="153">
        <f>SUMIF('GUDANG BESAR'!C:C,K:K,'GUDANG BESAR'!K:K)</f>
        <v>36630</v>
      </c>
      <c r="Q465" s="150">
        <v>10</v>
      </c>
      <c r="R465" s="149">
        <v>10</v>
      </c>
      <c r="S465" s="149">
        <v>0</v>
      </c>
      <c r="T465" s="145">
        <f t="shared" si="21"/>
        <v>330000</v>
      </c>
      <c r="U465" s="145">
        <f t="shared" si="22"/>
        <v>366300</v>
      </c>
      <c r="V465" s="135" t="str">
        <f>VLOOKUP(K465,Sheet1!$B$5:$C$131,2,0)</f>
        <v>LIMBAH</v>
      </c>
      <c r="W465" s="181">
        <f t="shared" si="23"/>
        <v>0.01</v>
      </c>
    </row>
    <row r="466" spans="1:23" s="139" customFormat="1">
      <c r="A466" s="146" t="s">
        <v>508</v>
      </c>
      <c r="B466" s="147" t="s">
        <v>509</v>
      </c>
      <c r="C466" s="146" t="s">
        <v>137</v>
      </c>
      <c r="D466" s="146" t="s">
        <v>138</v>
      </c>
      <c r="E466" s="146" t="s">
        <v>139</v>
      </c>
      <c r="F466" s="146" t="s">
        <v>162</v>
      </c>
      <c r="G466" s="148" t="s">
        <v>214</v>
      </c>
      <c r="H466" s="146">
        <v>0</v>
      </c>
      <c r="I466" s="146">
        <v>27</v>
      </c>
      <c r="J466" s="146" t="s">
        <v>263</v>
      </c>
      <c r="K466" s="146" t="s">
        <v>259</v>
      </c>
      <c r="L466" s="148" t="s">
        <v>3</v>
      </c>
      <c r="M466" s="146" t="s">
        <v>142</v>
      </c>
      <c r="N466" s="149">
        <v>1000</v>
      </c>
      <c r="O466" s="152">
        <f>SUMIF('GUDANG BESAR'!C:C,K:K,'GUDANG BESAR'!I:I)</f>
        <v>47500</v>
      </c>
      <c r="P466" s="153">
        <f>SUMIF('GUDANG BESAR'!C:C,K:K,'GUDANG BESAR'!K:K)</f>
        <v>52725</v>
      </c>
      <c r="Q466" s="150">
        <v>11</v>
      </c>
      <c r="R466" s="149">
        <v>11</v>
      </c>
      <c r="S466" s="149">
        <v>0</v>
      </c>
      <c r="T466" s="145">
        <f t="shared" si="21"/>
        <v>522500</v>
      </c>
      <c r="U466" s="145">
        <f t="shared" si="22"/>
        <v>579975</v>
      </c>
      <c r="V466" s="135" t="str">
        <f>VLOOKUP(K466,Sheet1!$B$5:$C$131,2,0)</f>
        <v>LIMBAH</v>
      </c>
      <c r="W466" s="181">
        <f t="shared" si="23"/>
        <v>1.0999999999999999E-2</v>
      </c>
    </row>
    <row r="467" spans="1:23" s="139" customFormat="1">
      <c r="A467" s="146" t="s">
        <v>511</v>
      </c>
      <c r="B467" s="147" t="s">
        <v>512</v>
      </c>
      <c r="C467" s="146" t="s">
        <v>137</v>
      </c>
      <c r="D467" s="146" t="s">
        <v>138</v>
      </c>
      <c r="E467" s="146" t="s">
        <v>139</v>
      </c>
      <c r="F467" s="146" t="s">
        <v>162</v>
      </c>
      <c r="G467" s="148" t="s">
        <v>214</v>
      </c>
      <c r="H467" s="146">
        <v>0</v>
      </c>
      <c r="I467" s="146">
        <v>20</v>
      </c>
      <c r="J467" s="146" t="s">
        <v>240</v>
      </c>
      <c r="K467" s="146" t="s">
        <v>237</v>
      </c>
      <c r="L467" s="148" t="s">
        <v>3</v>
      </c>
      <c r="M467" s="146" t="s">
        <v>142</v>
      </c>
      <c r="N467" s="149">
        <v>1000</v>
      </c>
      <c r="O467" s="152">
        <f>SUMIF('GUDANG BESAR'!C:C,K:K,'GUDANG BESAR'!I:I)</f>
        <v>14750</v>
      </c>
      <c r="P467" s="153">
        <f>SUMIF('GUDANG BESAR'!C:C,K:K,'GUDANG BESAR'!K:K)</f>
        <v>16372.5</v>
      </c>
      <c r="Q467" s="150">
        <v>15</v>
      </c>
      <c r="R467" s="149">
        <v>15</v>
      </c>
      <c r="S467" s="149">
        <v>0</v>
      </c>
      <c r="T467" s="145">
        <f t="shared" si="21"/>
        <v>221250</v>
      </c>
      <c r="U467" s="145">
        <f t="shared" si="22"/>
        <v>245587.5</v>
      </c>
      <c r="V467" s="135" t="str">
        <f>VLOOKUP(K467,Sheet1!$B$5:$C$131,2,0)</f>
        <v>LIMBAH</v>
      </c>
      <c r="W467" s="181">
        <f t="shared" si="23"/>
        <v>1.4999999999999999E-2</v>
      </c>
    </row>
    <row r="468" spans="1:23" s="139" customFormat="1">
      <c r="A468" s="146" t="s">
        <v>511</v>
      </c>
      <c r="B468" s="147" t="s">
        <v>512</v>
      </c>
      <c r="C468" s="146" t="s">
        <v>137</v>
      </c>
      <c r="D468" s="146" t="s">
        <v>138</v>
      </c>
      <c r="E468" s="146" t="s">
        <v>139</v>
      </c>
      <c r="F468" s="146" t="s">
        <v>140</v>
      </c>
      <c r="G468" s="148" t="s">
        <v>303</v>
      </c>
      <c r="H468" s="146">
        <v>0</v>
      </c>
      <c r="I468" s="146">
        <v>1</v>
      </c>
      <c r="J468" s="146" t="s">
        <v>141</v>
      </c>
      <c r="K468" s="146" t="s">
        <v>37</v>
      </c>
      <c r="L468" s="148" t="s">
        <v>3</v>
      </c>
      <c r="M468" s="146" t="s">
        <v>142</v>
      </c>
      <c r="N468" s="149">
        <v>1000</v>
      </c>
      <c r="O468" s="152">
        <f>SUMIF('GUDANG BESAR'!C:C,K:K,'GUDANG BESAR'!I:I)</f>
        <v>51276</v>
      </c>
      <c r="P468" s="153">
        <f>SUMIF('GUDANG BESAR'!C:C,K:K,'GUDANG BESAR'!K:K)</f>
        <v>56916.36</v>
      </c>
      <c r="Q468" s="150">
        <v>16.940999999999999</v>
      </c>
      <c r="R468" s="149">
        <v>16</v>
      </c>
      <c r="S468" s="149">
        <v>941</v>
      </c>
      <c r="T468" s="145">
        <f t="shared" si="21"/>
        <v>868666.7159999999</v>
      </c>
      <c r="U468" s="145">
        <f t="shared" si="22"/>
        <v>964220.05475999997</v>
      </c>
      <c r="V468" s="135" t="str">
        <f>VLOOKUP(K468,Sheet1!$B$5:$C$131,2,0)</f>
        <v>DYESTUFF</v>
      </c>
      <c r="W468" s="181">
        <f t="shared" si="23"/>
        <v>1.6940999999999998E-2</v>
      </c>
    </row>
    <row r="469" spans="1:23" s="139" customFormat="1">
      <c r="A469" s="146" t="s">
        <v>511</v>
      </c>
      <c r="B469" s="147" t="s">
        <v>512</v>
      </c>
      <c r="C469" s="146" t="s">
        <v>137</v>
      </c>
      <c r="D469" s="146" t="s">
        <v>138</v>
      </c>
      <c r="E469" s="146" t="s">
        <v>139</v>
      </c>
      <c r="F469" s="146" t="s">
        <v>140</v>
      </c>
      <c r="G469" s="148" t="s">
        <v>303</v>
      </c>
      <c r="H469" s="146">
        <v>0</v>
      </c>
      <c r="I469" s="146">
        <v>2</v>
      </c>
      <c r="J469" s="146" t="s">
        <v>143</v>
      </c>
      <c r="K469" s="146" t="s">
        <v>90</v>
      </c>
      <c r="L469" s="148" t="s">
        <v>3</v>
      </c>
      <c r="M469" s="146" t="s">
        <v>142</v>
      </c>
      <c r="N469" s="149">
        <v>1000</v>
      </c>
      <c r="O469" s="152">
        <f>SUMIF('GUDANG BESAR'!C:C,K:K,'GUDANG BESAR'!I:I)</f>
        <v>194556</v>
      </c>
      <c r="P469" s="153">
        <f>SUMIF('GUDANG BESAR'!C:C,K:K,'GUDANG BESAR'!K:K)</f>
        <v>215957.16</v>
      </c>
      <c r="Q469" s="150">
        <v>0.86899999999999999</v>
      </c>
      <c r="R469" s="149">
        <v>0</v>
      </c>
      <c r="S469" s="149">
        <v>869</v>
      </c>
      <c r="T469" s="145">
        <f t="shared" si="21"/>
        <v>169069.16399999999</v>
      </c>
      <c r="U469" s="145">
        <f t="shared" si="22"/>
        <v>187666.77204000001</v>
      </c>
      <c r="V469" s="135" t="str">
        <f>VLOOKUP(K469,Sheet1!$B$5:$C$131,2,0)</f>
        <v>DYESTUFF</v>
      </c>
      <c r="W469" s="181">
        <f t="shared" si="23"/>
        <v>8.6899999999999998E-4</v>
      </c>
    </row>
    <row r="470" spans="1:23" s="139" customFormat="1">
      <c r="A470" s="146" t="s">
        <v>511</v>
      </c>
      <c r="B470" s="147" t="s">
        <v>512</v>
      </c>
      <c r="C470" s="146" t="s">
        <v>137</v>
      </c>
      <c r="D470" s="146" t="s">
        <v>138</v>
      </c>
      <c r="E470" s="146" t="s">
        <v>139</v>
      </c>
      <c r="F470" s="146" t="s">
        <v>140</v>
      </c>
      <c r="G470" s="148" t="s">
        <v>303</v>
      </c>
      <c r="H470" s="146">
        <v>0</v>
      </c>
      <c r="I470" s="146">
        <v>3</v>
      </c>
      <c r="J470" s="146" t="s">
        <v>346</v>
      </c>
      <c r="K470" s="146" t="s">
        <v>343</v>
      </c>
      <c r="L470" s="148" t="s">
        <v>3</v>
      </c>
      <c r="M470" s="146" t="s">
        <v>142</v>
      </c>
      <c r="N470" s="149">
        <v>1000</v>
      </c>
      <c r="O470" s="152">
        <f>SUMIF('GUDANG BESAR'!C:C,K:K,'GUDANG BESAR'!I:I)</f>
        <v>60680</v>
      </c>
      <c r="P470" s="153">
        <f>SUMIF('GUDANG BESAR'!C:C,K:K,'GUDANG BESAR'!K:K)</f>
        <v>67354.8</v>
      </c>
      <c r="Q470" s="150">
        <v>13.564</v>
      </c>
      <c r="R470" s="149">
        <v>13</v>
      </c>
      <c r="S470" s="149">
        <v>564</v>
      </c>
      <c r="T470" s="145">
        <f t="shared" si="21"/>
        <v>823063.52</v>
      </c>
      <c r="U470" s="145">
        <f t="shared" si="22"/>
        <v>913600.50719999999</v>
      </c>
      <c r="V470" s="135" t="str">
        <f>VLOOKUP(K470,Sheet1!$B$5:$C$131,2,0)</f>
        <v>DYESTUFF</v>
      </c>
      <c r="W470" s="181">
        <f t="shared" si="23"/>
        <v>1.3564E-2</v>
      </c>
    </row>
    <row r="471" spans="1:23" s="139" customFormat="1">
      <c r="A471" s="146" t="s">
        <v>511</v>
      </c>
      <c r="B471" s="147" t="s">
        <v>512</v>
      </c>
      <c r="C471" s="146" t="s">
        <v>137</v>
      </c>
      <c r="D471" s="146" t="s">
        <v>138</v>
      </c>
      <c r="E471" s="146" t="s">
        <v>139</v>
      </c>
      <c r="F471" s="146" t="s">
        <v>140</v>
      </c>
      <c r="G471" s="148" t="s">
        <v>303</v>
      </c>
      <c r="H471" s="146">
        <v>0</v>
      </c>
      <c r="I471" s="146">
        <v>8</v>
      </c>
      <c r="J471" s="146" t="s">
        <v>151</v>
      </c>
      <c r="K471" s="146" t="s">
        <v>28</v>
      </c>
      <c r="L471" s="148" t="s">
        <v>3</v>
      </c>
      <c r="M471" s="146" t="s">
        <v>142</v>
      </c>
      <c r="N471" s="149">
        <v>1000</v>
      </c>
      <c r="O471" s="152">
        <f>SUMIF('GUDANG BESAR'!C:C,K:K,'GUDANG BESAR'!I:I)</f>
        <v>413967</v>
      </c>
      <c r="P471" s="153">
        <f>SUMIF('GUDANG BESAR'!C:C,K:K,'GUDANG BESAR'!K:K)</f>
        <v>459503.37</v>
      </c>
      <c r="Q471" s="150">
        <v>3.3000000000000002E-2</v>
      </c>
      <c r="R471" s="149">
        <v>0</v>
      </c>
      <c r="S471" s="149">
        <v>33</v>
      </c>
      <c r="T471" s="145">
        <f t="shared" si="21"/>
        <v>13660.911</v>
      </c>
      <c r="U471" s="145">
        <f t="shared" si="22"/>
        <v>15163.611210000001</v>
      </c>
      <c r="V471" s="135" t="str">
        <f>VLOOKUP(K471,Sheet1!$B$5:$C$131,2,0)</f>
        <v>DYESTUFF</v>
      </c>
      <c r="W471" s="181">
        <f t="shared" si="23"/>
        <v>3.3000000000000003E-5</v>
      </c>
    </row>
    <row r="472" spans="1:23" s="139" customFormat="1">
      <c r="A472" s="146" t="s">
        <v>511</v>
      </c>
      <c r="B472" s="147" t="s">
        <v>512</v>
      </c>
      <c r="C472" s="146" t="s">
        <v>137</v>
      </c>
      <c r="D472" s="146" t="s">
        <v>138</v>
      </c>
      <c r="E472" s="146" t="s">
        <v>139</v>
      </c>
      <c r="F472" s="146" t="s">
        <v>140</v>
      </c>
      <c r="G472" s="148" t="s">
        <v>303</v>
      </c>
      <c r="H472" s="146">
        <v>0</v>
      </c>
      <c r="I472" s="146">
        <v>4</v>
      </c>
      <c r="J472" s="146" t="s">
        <v>144</v>
      </c>
      <c r="K472" s="146" t="s">
        <v>26</v>
      </c>
      <c r="L472" s="148" t="s">
        <v>3</v>
      </c>
      <c r="M472" s="146" t="s">
        <v>142</v>
      </c>
      <c r="N472" s="149">
        <v>1000</v>
      </c>
      <c r="O472" s="152">
        <f>SUMIF('GUDANG BESAR'!C:C,K:K,'GUDANG BESAR'!I:I)</f>
        <v>52016</v>
      </c>
      <c r="P472" s="153">
        <f>SUMIF('GUDANG BESAR'!C:C,K:K,'GUDANG BESAR'!K:K)</f>
        <v>57737.760000000002</v>
      </c>
      <c r="Q472" s="150">
        <v>11.548999999999999</v>
      </c>
      <c r="R472" s="149">
        <v>11</v>
      </c>
      <c r="S472" s="149">
        <v>549</v>
      </c>
      <c r="T472" s="145">
        <f t="shared" si="21"/>
        <v>600732.78399999999</v>
      </c>
      <c r="U472" s="145">
        <f t="shared" si="22"/>
        <v>666813.39023999998</v>
      </c>
      <c r="V472" s="135" t="str">
        <f>VLOOKUP(K472,Sheet1!$B$5:$C$131,2,0)</f>
        <v>DYESTUFF</v>
      </c>
      <c r="W472" s="181">
        <f t="shared" si="23"/>
        <v>1.1549E-2</v>
      </c>
    </row>
    <row r="473" spans="1:23" s="139" customFormat="1">
      <c r="A473" s="146" t="s">
        <v>511</v>
      </c>
      <c r="B473" s="147" t="s">
        <v>512</v>
      </c>
      <c r="C473" s="146" t="s">
        <v>137</v>
      </c>
      <c r="D473" s="146" t="s">
        <v>138</v>
      </c>
      <c r="E473" s="146" t="s">
        <v>139</v>
      </c>
      <c r="F473" s="146" t="s">
        <v>140</v>
      </c>
      <c r="G473" s="148" t="s">
        <v>303</v>
      </c>
      <c r="H473" s="146">
        <v>0</v>
      </c>
      <c r="I473" s="146">
        <v>5</v>
      </c>
      <c r="J473" s="146" t="s">
        <v>145</v>
      </c>
      <c r="K473" s="146" t="s">
        <v>27</v>
      </c>
      <c r="L473" s="148" t="s">
        <v>3</v>
      </c>
      <c r="M473" s="146" t="s">
        <v>142</v>
      </c>
      <c r="N473" s="149">
        <v>1000</v>
      </c>
      <c r="O473" s="152">
        <f>SUMIF('GUDANG BESAR'!C:C,K:K,'GUDANG BESAR'!I:I)</f>
        <v>71148</v>
      </c>
      <c r="P473" s="153">
        <f>SUMIF('GUDANG BESAR'!C:C,K:K,'GUDANG BESAR'!K:K)</f>
        <v>78974.28</v>
      </c>
      <c r="Q473" s="150">
        <v>10.52</v>
      </c>
      <c r="R473" s="149">
        <v>10</v>
      </c>
      <c r="S473" s="149">
        <v>520</v>
      </c>
      <c r="T473" s="145">
        <f t="shared" si="21"/>
        <v>748476.96</v>
      </c>
      <c r="U473" s="145">
        <f t="shared" si="22"/>
        <v>830809.42559999996</v>
      </c>
      <c r="V473" s="135" t="str">
        <f>VLOOKUP(K473,Sheet1!$B$5:$C$131,2,0)</f>
        <v>DYESTUFF</v>
      </c>
      <c r="W473" s="181">
        <f t="shared" si="23"/>
        <v>1.052E-2</v>
      </c>
    </row>
    <row r="474" spans="1:23" s="139" customFormat="1">
      <c r="A474" s="146" t="s">
        <v>511</v>
      </c>
      <c r="B474" s="147" t="s">
        <v>512</v>
      </c>
      <c r="C474" s="146" t="s">
        <v>137</v>
      </c>
      <c r="D474" s="146" t="s">
        <v>138</v>
      </c>
      <c r="E474" s="146" t="s">
        <v>139</v>
      </c>
      <c r="F474" s="146" t="s">
        <v>140</v>
      </c>
      <c r="G474" s="148" t="s">
        <v>303</v>
      </c>
      <c r="H474" s="146">
        <v>0</v>
      </c>
      <c r="I474" s="146">
        <v>6</v>
      </c>
      <c r="J474" s="146" t="s">
        <v>146</v>
      </c>
      <c r="K474" s="146" t="s">
        <v>46</v>
      </c>
      <c r="L474" s="148" t="s">
        <v>3</v>
      </c>
      <c r="M474" s="146" t="s">
        <v>142</v>
      </c>
      <c r="N474" s="149">
        <v>1000</v>
      </c>
      <c r="O474" s="152">
        <f>SUMIF('GUDANG BESAR'!C:C,K:K,'GUDANG BESAR'!I:I)</f>
        <v>100812</v>
      </c>
      <c r="P474" s="153">
        <f>SUMIF('GUDANG BESAR'!C:C,K:K,'GUDANG BESAR'!K:K)</f>
        <v>111901.32</v>
      </c>
      <c r="Q474" s="150">
        <v>11.871</v>
      </c>
      <c r="R474" s="149">
        <v>11</v>
      </c>
      <c r="S474" s="149">
        <v>871</v>
      </c>
      <c r="T474" s="145">
        <f t="shared" si="21"/>
        <v>1196739.2520000001</v>
      </c>
      <c r="U474" s="145">
        <f t="shared" si="22"/>
        <v>1328380.56972</v>
      </c>
      <c r="V474" s="135" t="str">
        <f>VLOOKUP(K474,Sheet1!$B$5:$C$131,2,0)</f>
        <v>DYESTUFF</v>
      </c>
      <c r="W474" s="181">
        <f t="shared" si="23"/>
        <v>1.1871E-2</v>
      </c>
    </row>
    <row r="475" spans="1:23" s="139" customFormat="1">
      <c r="A475" s="146" t="s">
        <v>511</v>
      </c>
      <c r="B475" s="147" t="s">
        <v>512</v>
      </c>
      <c r="C475" s="146" t="s">
        <v>137</v>
      </c>
      <c r="D475" s="146" t="s">
        <v>138</v>
      </c>
      <c r="E475" s="146" t="s">
        <v>139</v>
      </c>
      <c r="F475" s="146" t="s">
        <v>140</v>
      </c>
      <c r="G475" s="148" t="s">
        <v>303</v>
      </c>
      <c r="H475" s="146">
        <v>0</v>
      </c>
      <c r="I475" s="146">
        <v>7</v>
      </c>
      <c r="J475" s="146" t="s">
        <v>147</v>
      </c>
      <c r="K475" s="146" t="s">
        <v>41</v>
      </c>
      <c r="L475" s="148" t="s">
        <v>3</v>
      </c>
      <c r="M475" s="146" t="s">
        <v>142</v>
      </c>
      <c r="N475" s="149">
        <v>1000</v>
      </c>
      <c r="O475" s="152">
        <f>SUMIF('GUDANG BESAR'!C:C,K:K,'GUDANG BESAR'!I:I)</f>
        <v>54071</v>
      </c>
      <c r="P475" s="153">
        <f>SUMIF('GUDANG BESAR'!C:C,K:K,'GUDANG BESAR'!K:K)</f>
        <v>60018.81</v>
      </c>
      <c r="Q475" s="150">
        <v>10.034000000000001</v>
      </c>
      <c r="R475" s="149">
        <v>10</v>
      </c>
      <c r="S475" s="149">
        <v>34</v>
      </c>
      <c r="T475" s="145">
        <f t="shared" si="21"/>
        <v>542548.41399999999</v>
      </c>
      <c r="U475" s="145">
        <f t="shared" si="22"/>
        <v>602228.73953999998</v>
      </c>
      <c r="V475" s="135" t="str">
        <f>VLOOKUP(K475,Sheet1!$B$5:$C$131,2,0)</f>
        <v>DYESTUFF</v>
      </c>
      <c r="W475" s="181">
        <f t="shared" si="23"/>
        <v>1.0034000000000001E-2</v>
      </c>
    </row>
    <row r="476" spans="1:23" s="139" customFormat="1">
      <c r="A476" s="146" t="s">
        <v>511</v>
      </c>
      <c r="B476" s="147" t="s">
        <v>512</v>
      </c>
      <c r="C476" s="146" t="s">
        <v>137</v>
      </c>
      <c r="D476" s="146" t="s">
        <v>138</v>
      </c>
      <c r="E476" s="146" t="s">
        <v>139</v>
      </c>
      <c r="F476" s="146" t="s">
        <v>140</v>
      </c>
      <c r="G476" s="148" t="s">
        <v>303</v>
      </c>
      <c r="H476" s="146">
        <v>0</v>
      </c>
      <c r="I476" s="146">
        <v>9</v>
      </c>
      <c r="J476" s="146" t="s">
        <v>148</v>
      </c>
      <c r="K476" s="146" t="s">
        <v>30</v>
      </c>
      <c r="L476" s="148" t="s">
        <v>3</v>
      </c>
      <c r="M476" s="146" t="s">
        <v>142</v>
      </c>
      <c r="N476" s="149">
        <v>1000</v>
      </c>
      <c r="O476" s="152">
        <f>SUMIF('GUDANG BESAR'!C:C,K:K,'GUDANG BESAR'!I:I)</f>
        <v>77089.399999999994</v>
      </c>
      <c r="P476" s="153">
        <f>SUMIF('GUDANG BESAR'!C:C,K:K,'GUDANG BESAR'!K:K)</f>
        <v>85569.233999999997</v>
      </c>
      <c r="Q476" s="150">
        <v>11.166</v>
      </c>
      <c r="R476" s="149">
        <v>11</v>
      </c>
      <c r="S476" s="149">
        <v>166</v>
      </c>
      <c r="T476" s="145">
        <f t="shared" si="21"/>
        <v>860780.24040000001</v>
      </c>
      <c r="U476" s="145">
        <f t="shared" si="22"/>
        <v>955466.06684400002</v>
      </c>
      <c r="V476" s="135" t="str">
        <f>VLOOKUP(K476,Sheet1!$B$5:$C$131,2,0)</f>
        <v>DYESTUFF</v>
      </c>
      <c r="W476" s="181">
        <f t="shared" si="23"/>
        <v>1.1166000000000001E-2</v>
      </c>
    </row>
    <row r="477" spans="1:23" s="139" customFormat="1">
      <c r="A477" s="146" t="s">
        <v>511</v>
      </c>
      <c r="B477" s="147" t="s">
        <v>512</v>
      </c>
      <c r="C477" s="146" t="s">
        <v>137</v>
      </c>
      <c r="D477" s="146" t="s">
        <v>138</v>
      </c>
      <c r="E477" s="146" t="s">
        <v>139</v>
      </c>
      <c r="F477" s="146" t="s">
        <v>162</v>
      </c>
      <c r="G477" s="148" t="s">
        <v>214</v>
      </c>
      <c r="H477" s="146">
        <v>0</v>
      </c>
      <c r="I477" s="146">
        <v>21</v>
      </c>
      <c r="J477" s="146" t="s">
        <v>163</v>
      </c>
      <c r="K477" s="146" t="s">
        <v>14</v>
      </c>
      <c r="L477" s="148" t="s">
        <v>3</v>
      </c>
      <c r="M477" s="146" t="s">
        <v>142</v>
      </c>
      <c r="N477" s="149">
        <v>1000</v>
      </c>
      <c r="O477" s="152">
        <f>SUMIF('GUDANG BESAR'!C:C,K:K,'GUDANG BESAR'!I:I)</f>
        <v>30500</v>
      </c>
      <c r="P477" s="153">
        <f>SUMIF('GUDANG BESAR'!C:C,K:K,'GUDANG BESAR'!K:K)</f>
        <v>33855</v>
      </c>
      <c r="Q477" s="150">
        <v>15</v>
      </c>
      <c r="R477" s="149">
        <v>15</v>
      </c>
      <c r="S477" s="149">
        <v>0</v>
      </c>
      <c r="T477" s="145">
        <f t="shared" si="21"/>
        <v>457500</v>
      </c>
      <c r="U477" s="145">
        <f t="shared" si="22"/>
        <v>507825</v>
      </c>
      <c r="V477" s="135" t="str">
        <f>VLOOKUP(K477,Sheet1!$B$5:$C$131,2,0)</f>
        <v>LIMBAH</v>
      </c>
      <c r="W477" s="181">
        <f t="shared" si="23"/>
        <v>1.4999999999999999E-2</v>
      </c>
    </row>
    <row r="478" spans="1:23" s="139" customFormat="1">
      <c r="A478" s="146" t="s">
        <v>511</v>
      </c>
      <c r="B478" s="147" t="s">
        <v>512</v>
      </c>
      <c r="C478" s="146" t="s">
        <v>137</v>
      </c>
      <c r="D478" s="146" t="s">
        <v>138</v>
      </c>
      <c r="E478" s="146" t="s">
        <v>139</v>
      </c>
      <c r="F478" s="146" t="s">
        <v>140</v>
      </c>
      <c r="G478" s="148" t="s">
        <v>300</v>
      </c>
      <c r="H478" s="146">
        <v>0</v>
      </c>
      <c r="I478" s="146">
        <v>15</v>
      </c>
      <c r="J478" s="146" t="s">
        <v>314</v>
      </c>
      <c r="K478" s="146" t="s">
        <v>281</v>
      </c>
      <c r="L478" s="148" t="s">
        <v>3</v>
      </c>
      <c r="M478" s="146" t="s">
        <v>142</v>
      </c>
      <c r="N478" s="149">
        <v>1000</v>
      </c>
      <c r="O478" s="152">
        <f>SUMIF('GUDANG BESAR'!C:C,K:K,'GUDANG BESAR'!I:I)</f>
        <v>23590.51</v>
      </c>
      <c r="P478" s="153">
        <f>SUMIF('GUDANG BESAR'!C:C,K:K,'GUDANG BESAR'!K:K)</f>
        <v>26185.466099999998</v>
      </c>
      <c r="Q478" s="150">
        <v>300</v>
      </c>
      <c r="R478" s="149">
        <v>300</v>
      </c>
      <c r="S478" s="149">
        <v>0</v>
      </c>
      <c r="T478" s="145">
        <f t="shared" si="21"/>
        <v>7077152.9999999991</v>
      </c>
      <c r="U478" s="145">
        <f t="shared" si="22"/>
        <v>7855639.8299999991</v>
      </c>
      <c r="V478" s="135" t="str">
        <f>VLOOKUP(K478,Sheet1!$B$5:$C$131,2,0)</f>
        <v>CK</v>
      </c>
      <c r="W478" s="181">
        <f t="shared" si="23"/>
        <v>0.3</v>
      </c>
    </row>
    <row r="479" spans="1:23" s="139" customFormat="1">
      <c r="A479" s="146" t="s">
        <v>511</v>
      </c>
      <c r="B479" s="147" t="s">
        <v>512</v>
      </c>
      <c r="C479" s="146" t="s">
        <v>137</v>
      </c>
      <c r="D479" s="146" t="s">
        <v>138</v>
      </c>
      <c r="E479" s="146" t="s">
        <v>139</v>
      </c>
      <c r="F479" s="146" t="s">
        <v>162</v>
      </c>
      <c r="G479" s="148" t="s">
        <v>214</v>
      </c>
      <c r="H479" s="146">
        <v>0</v>
      </c>
      <c r="I479" s="146">
        <v>17</v>
      </c>
      <c r="J479" s="146" t="s">
        <v>234</v>
      </c>
      <c r="K479" s="146" t="s">
        <v>233</v>
      </c>
      <c r="L479" s="148" t="s">
        <v>3</v>
      </c>
      <c r="M479" s="146" t="s">
        <v>142</v>
      </c>
      <c r="N479" s="149">
        <v>1000</v>
      </c>
      <c r="O479" s="152">
        <f>SUMIF('GUDANG BESAR'!C:C,K:K,'GUDANG BESAR'!I:I)</f>
        <v>5500</v>
      </c>
      <c r="P479" s="153">
        <f>SUMIF('GUDANG BESAR'!C:C,K:K,'GUDANG BESAR'!K:K)</f>
        <v>6105</v>
      </c>
      <c r="Q479" s="150">
        <v>125</v>
      </c>
      <c r="R479" s="149">
        <v>125</v>
      </c>
      <c r="S479" s="149">
        <v>0</v>
      </c>
      <c r="T479" s="145">
        <f t="shared" si="21"/>
        <v>687500</v>
      </c>
      <c r="U479" s="145">
        <f t="shared" si="22"/>
        <v>763125</v>
      </c>
      <c r="V479" s="135" t="str">
        <f>VLOOKUP(K479,Sheet1!$B$5:$C$131,2,0)</f>
        <v>LIMBAH</v>
      </c>
      <c r="W479" s="181">
        <f t="shared" si="23"/>
        <v>0.125</v>
      </c>
    </row>
    <row r="480" spans="1:23" s="139" customFormat="1">
      <c r="A480" s="146" t="s">
        <v>511</v>
      </c>
      <c r="B480" s="147" t="s">
        <v>512</v>
      </c>
      <c r="C480" s="146" t="s">
        <v>137</v>
      </c>
      <c r="D480" s="146" t="s">
        <v>138</v>
      </c>
      <c r="E480" s="146" t="s">
        <v>139</v>
      </c>
      <c r="F480" s="146" t="s">
        <v>167</v>
      </c>
      <c r="G480" s="148" t="s">
        <v>298</v>
      </c>
      <c r="H480" s="146">
        <v>0</v>
      </c>
      <c r="I480" s="146">
        <v>16</v>
      </c>
      <c r="J480" s="146" t="s">
        <v>183</v>
      </c>
      <c r="K480" s="146" t="s">
        <v>20</v>
      </c>
      <c r="L480" s="148" t="s">
        <v>3</v>
      </c>
      <c r="M480" s="146" t="s">
        <v>142</v>
      </c>
      <c r="N480" s="149">
        <v>1000</v>
      </c>
      <c r="O480" s="152">
        <f>SUMIF('GUDANG BESAR'!C:C,K:K,'GUDANG BESAR'!I:I)</f>
        <v>39120</v>
      </c>
      <c r="P480" s="153">
        <f>SUMIF('GUDANG BESAR'!C:C,K:K,'GUDANG BESAR'!K:K)</f>
        <v>43423.199999999997</v>
      </c>
      <c r="Q480" s="150">
        <v>7</v>
      </c>
      <c r="R480" s="149">
        <v>7</v>
      </c>
      <c r="S480" s="149">
        <v>0</v>
      </c>
      <c r="T480" s="145">
        <f t="shared" si="21"/>
        <v>273840</v>
      </c>
      <c r="U480" s="145">
        <f t="shared" si="22"/>
        <v>303962.39999999997</v>
      </c>
      <c r="V480" s="135" t="str">
        <f>VLOOKUP(K480,Sheet1!$B$5:$C$131,2,0)</f>
        <v>FINISHING</v>
      </c>
      <c r="W480" s="181">
        <f t="shared" si="23"/>
        <v>7.0000000000000001E-3</v>
      </c>
    </row>
    <row r="481" spans="1:23" s="139" customFormat="1">
      <c r="A481" s="146" t="s">
        <v>511</v>
      </c>
      <c r="B481" s="147" t="s">
        <v>512</v>
      </c>
      <c r="C481" s="146" t="s">
        <v>137</v>
      </c>
      <c r="D481" s="146" t="s">
        <v>138</v>
      </c>
      <c r="E481" s="146" t="s">
        <v>139</v>
      </c>
      <c r="F481" s="146" t="s">
        <v>140</v>
      </c>
      <c r="G481" s="148" t="s">
        <v>303</v>
      </c>
      <c r="H481" s="146">
        <v>0</v>
      </c>
      <c r="I481" s="146">
        <v>10</v>
      </c>
      <c r="J481" s="146" t="s">
        <v>502</v>
      </c>
      <c r="K481" s="146" t="s">
        <v>103</v>
      </c>
      <c r="L481" s="148" t="s">
        <v>3</v>
      </c>
      <c r="M481" s="146" t="s">
        <v>142</v>
      </c>
      <c r="N481" s="149">
        <v>1000</v>
      </c>
      <c r="O481" s="152">
        <f>SUMIF('GUDANG BESAR'!C:C,K:K,'GUDANG BESAR'!I:I)</f>
        <v>114100</v>
      </c>
      <c r="P481" s="153">
        <f>SUMIF('GUDANG BESAR'!C:C,K:K,'GUDANG BESAR'!K:K)</f>
        <v>126651</v>
      </c>
      <c r="Q481" s="150">
        <v>8.6999999999999994E-2</v>
      </c>
      <c r="R481" s="149">
        <v>0</v>
      </c>
      <c r="S481" s="149">
        <v>87</v>
      </c>
      <c r="T481" s="145">
        <f t="shared" si="21"/>
        <v>9926.6999999999989</v>
      </c>
      <c r="U481" s="145">
        <f t="shared" si="22"/>
        <v>11018.636999999999</v>
      </c>
      <c r="V481" s="135" t="str">
        <f>VLOOKUP(K481,Sheet1!$B$5:$C$131,2,0)</f>
        <v>DYESTUFF</v>
      </c>
      <c r="W481" s="181">
        <f t="shared" si="23"/>
        <v>8.7000000000000001E-5</v>
      </c>
    </row>
    <row r="482" spans="1:23" s="139" customFormat="1">
      <c r="A482" s="146" t="s">
        <v>511</v>
      </c>
      <c r="B482" s="147" t="s">
        <v>512</v>
      </c>
      <c r="C482" s="146" t="s">
        <v>137</v>
      </c>
      <c r="D482" s="146" t="s">
        <v>138</v>
      </c>
      <c r="E482" s="146" t="s">
        <v>139</v>
      </c>
      <c r="F482" s="146" t="s">
        <v>140</v>
      </c>
      <c r="G482" s="148" t="s">
        <v>303</v>
      </c>
      <c r="H482" s="146">
        <v>0</v>
      </c>
      <c r="I482" s="146">
        <v>11</v>
      </c>
      <c r="J482" s="146" t="s">
        <v>504</v>
      </c>
      <c r="K482" s="146" t="s">
        <v>107</v>
      </c>
      <c r="L482" s="148" t="s">
        <v>3</v>
      </c>
      <c r="M482" s="146" t="s">
        <v>142</v>
      </c>
      <c r="N482" s="149">
        <v>1000</v>
      </c>
      <c r="O482" s="152">
        <f>SUMIF('GUDANG BESAR'!C:C,K:K,'GUDANG BESAR'!I:I)</f>
        <v>113785</v>
      </c>
      <c r="P482" s="153">
        <f>SUMIF('GUDANG BESAR'!C:C,K:K,'GUDANG BESAR'!K:K)</f>
        <v>126301.35</v>
      </c>
      <c r="Q482" s="150">
        <v>0.17899999999999999</v>
      </c>
      <c r="R482" s="149">
        <v>0</v>
      </c>
      <c r="S482" s="149">
        <v>179</v>
      </c>
      <c r="T482" s="145">
        <f t="shared" si="21"/>
        <v>20367.514999999999</v>
      </c>
      <c r="U482" s="145">
        <f t="shared" si="22"/>
        <v>22607.941650000001</v>
      </c>
      <c r="V482" s="135" t="str">
        <f>VLOOKUP(K482,Sheet1!$B$5:$C$131,2,0)</f>
        <v>DYESTUFF</v>
      </c>
      <c r="W482" s="181">
        <f t="shared" si="23"/>
        <v>1.7899999999999999E-4</v>
      </c>
    </row>
    <row r="483" spans="1:23" s="139" customFormat="1">
      <c r="A483" s="146" t="s">
        <v>511</v>
      </c>
      <c r="B483" s="147" t="s">
        <v>512</v>
      </c>
      <c r="C483" s="146" t="s">
        <v>137</v>
      </c>
      <c r="D483" s="146" t="s">
        <v>138</v>
      </c>
      <c r="E483" s="146" t="s">
        <v>139</v>
      </c>
      <c r="F483" s="146" t="s">
        <v>140</v>
      </c>
      <c r="G483" s="148" t="s">
        <v>303</v>
      </c>
      <c r="H483" s="146">
        <v>0</v>
      </c>
      <c r="I483" s="146">
        <v>12</v>
      </c>
      <c r="J483" s="146" t="s">
        <v>505</v>
      </c>
      <c r="K483" s="146" t="s">
        <v>109</v>
      </c>
      <c r="L483" s="148" t="s">
        <v>3</v>
      </c>
      <c r="M483" s="146" t="s">
        <v>142</v>
      </c>
      <c r="N483" s="149">
        <v>1000</v>
      </c>
      <c r="O483" s="152">
        <f>SUMIF('GUDANG BESAR'!C:C,K:K,'GUDANG BESAR'!I:I)</f>
        <v>156750</v>
      </c>
      <c r="P483" s="153">
        <f>SUMIF('GUDANG BESAR'!C:C,K:K,'GUDANG BESAR'!K:K)</f>
        <v>173992.5</v>
      </c>
      <c r="Q483" s="150">
        <v>9.1999999999999998E-2</v>
      </c>
      <c r="R483" s="149">
        <v>0</v>
      </c>
      <c r="S483" s="149">
        <v>92</v>
      </c>
      <c r="T483" s="145">
        <f t="shared" si="21"/>
        <v>14421</v>
      </c>
      <c r="U483" s="145">
        <f t="shared" si="22"/>
        <v>16007.31</v>
      </c>
      <c r="V483" s="135" t="str">
        <f>VLOOKUP(K483,Sheet1!$B$5:$C$131,2,0)</f>
        <v>DYESTUFF</v>
      </c>
      <c r="W483" s="181">
        <f t="shared" si="23"/>
        <v>9.2E-5</v>
      </c>
    </row>
    <row r="484" spans="1:23" s="139" customFormat="1">
      <c r="A484" s="146" t="s">
        <v>511</v>
      </c>
      <c r="B484" s="147" t="s">
        <v>512</v>
      </c>
      <c r="C484" s="146" t="s">
        <v>137</v>
      </c>
      <c r="D484" s="146" t="s">
        <v>138</v>
      </c>
      <c r="E484" s="146" t="s">
        <v>139</v>
      </c>
      <c r="F484" s="146" t="s">
        <v>140</v>
      </c>
      <c r="G484" s="148" t="s">
        <v>303</v>
      </c>
      <c r="H484" s="146">
        <v>0</v>
      </c>
      <c r="I484" s="146">
        <v>13</v>
      </c>
      <c r="J484" s="146" t="s">
        <v>506</v>
      </c>
      <c r="K484" s="146" t="s">
        <v>110</v>
      </c>
      <c r="L484" s="148" t="s">
        <v>3</v>
      </c>
      <c r="M484" s="146" t="s">
        <v>142</v>
      </c>
      <c r="N484" s="149">
        <v>1000</v>
      </c>
      <c r="O484" s="152">
        <f>SUMIF('GUDANG BESAR'!C:C,K:K,'GUDANG BESAR'!I:I)</f>
        <v>138978</v>
      </c>
      <c r="P484" s="153">
        <f>SUMIF('GUDANG BESAR'!C:C,K:K,'GUDANG BESAR'!K:K)</f>
        <v>154265.57999999999</v>
      </c>
      <c r="Q484" s="150">
        <v>1.4999999999999999E-2</v>
      </c>
      <c r="R484" s="149">
        <v>0</v>
      </c>
      <c r="S484" s="149">
        <v>15</v>
      </c>
      <c r="T484" s="145">
        <f t="shared" si="21"/>
        <v>2084.67</v>
      </c>
      <c r="U484" s="145">
        <f t="shared" si="22"/>
        <v>2313.9836999999998</v>
      </c>
      <c r="V484" s="135" t="str">
        <f>VLOOKUP(K484,Sheet1!$B$5:$C$131,2,0)</f>
        <v>DYESTUFF</v>
      </c>
      <c r="W484" s="181">
        <f t="shared" si="23"/>
        <v>1.4999999999999999E-5</v>
      </c>
    </row>
    <row r="485" spans="1:23" s="139" customFormat="1">
      <c r="A485" s="146" t="s">
        <v>511</v>
      </c>
      <c r="B485" s="147" t="s">
        <v>512</v>
      </c>
      <c r="C485" s="146" t="s">
        <v>137</v>
      </c>
      <c r="D485" s="146" t="s">
        <v>138</v>
      </c>
      <c r="E485" s="146" t="s">
        <v>139</v>
      </c>
      <c r="F485" s="146" t="s">
        <v>140</v>
      </c>
      <c r="G485" s="148" t="s">
        <v>303</v>
      </c>
      <c r="H485" s="146">
        <v>0</v>
      </c>
      <c r="I485" s="146">
        <v>14</v>
      </c>
      <c r="J485" s="146" t="s">
        <v>507</v>
      </c>
      <c r="K485" s="146" t="s">
        <v>113</v>
      </c>
      <c r="L485" s="148" t="s">
        <v>3</v>
      </c>
      <c r="M485" s="146" t="s">
        <v>142</v>
      </c>
      <c r="N485" s="149">
        <v>1000</v>
      </c>
      <c r="O485" s="152">
        <f>SUMIF('GUDANG BESAR'!C:C,K:K,'GUDANG BESAR'!I:I)</f>
        <v>57050</v>
      </c>
      <c r="P485" s="153">
        <f>SUMIF('GUDANG BESAR'!C:C,K:K,'GUDANG BESAR'!K:K)</f>
        <v>63325.5</v>
      </c>
      <c r="Q485" s="150">
        <v>2.1999999999999999E-2</v>
      </c>
      <c r="R485" s="149">
        <v>0</v>
      </c>
      <c r="S485" s="149">
        <v>22</v>
      </c>
      <c r="T485" s="145">
        <f t="shared" si="21"/>
        <v>1255.0999999999999</v>
      </c>
      <c r="U485" s="145">
        <f t="shared" si="22"/>
        <v>1393.1609999999998</v>
      </c>
      <c r="V485" s="135" t="str">
        <f>VLOOKUP(K485,Sheet1!$B$5:$C$131,2,0)</f>
        <v>DYESTUFF</v>
      </c>
      <c r="W485" s="181">
        <f t="shared" si="23"/>
        <v>2.1999999999999999E-5</v>
      </c>
    </row>
    <row r="486" spans="1:23" s="139" customFormat="1">
      <c r="A486" s="146" t="s">
        <v>511</v>
      </c>
      <c r="B486" s="147" t="s">
        <v>512</v>
      </c>
      <c r="C486" s="146" t="s">
        <v>137</v>
      </c>
      <c r="D486" s="146" t="s">
        <v>138</v>
      </c>
      <c r="E486" s="146" t="s">
        <v>139</v>
      </c>
      <c r="F486" s="146" t="s">
        <v>162</v>
      </c>
      <c r="G486" s="148" t="s">
        <v>214</v>
      </c>
      <c r="H486" s="146">
        <v>0</v>
      </c>
      <c r="I486" s="146">
        <v>23</v>
      </c>
      <c r="J486" s="146" t="s">
        <v>165</v>
      </c>
      <c r="K486" s="146" t="s">
        <v>80</v>
      </c>
      <c r="L486" s="148" t="s">
        <v>3</v>
      </c>
      <c r="M486" s="146" t="s">
        <v>142</v>
      </c>
      <c r="N486" s="149">
        <v>1000</v>
      </c>
      <c r="O486" s="152">
        <f>SUMIF('GUDANG BESAR'!C:C,K:K,'GUDANG BESAR'!I:I)</f>
        <v>1550000</v>
      </c>
      <c r="P486" s="153">
        <f>SUMIF('GUDANG BESAR'!C:C,K:K,'GUDANG BESAR'!K:K)</f>
        <v>1720500</v>
      </c>
      <c r="Q486" s="150">
        <v>0.05</v>
      </c>
      <c r="R486" s="149">
        <v>0</v>
      </c>
      <c r="S486" s="149">
        <v>50</v>
      </c>
      <c r="T486" s="145">
        <f t="shared" si="21"/>
        <v>77500</v>
      </c>
      <c r="U486" s="145">
        <f t="shared" si="22"/>
        <v>86025</v>
      </c>
      <c r="V486" s="135" t="str">
        <f>VLOOKUP(K486,Sheet1!$B$5:$C$131,2,0)</f>
        <v>LIMBAH</v>
      </c>
      <c r="W486" s="181">
        <f t="shared" si="23"/>
        <v>5.0000000000000002E-5</v>
      </c>
    </row>
    <row r="487" spans="1:23" s="139" customFormat="1">
      <c r="A487" s="146" t="s">
        <v>511</v>
      </c>
      <c r="B487" s="147" t="s">
        <v>512</v>
      </c>
      <c r="C487" s="146" t="s">
        <v>137</v>
      </c>
      <c r="D487" s="146" t="s">
        <v>138</v>
      </c>
      <c r="E487" s="146" t="s">
        <v>139</v>
      </c>
      <c r="F487" s="146" t="s">
        <v>162</v>
      </c>
      <c r="G487" s="148" t="s">
        <v>214</v>
      </c>
      <c r="H487" s="146">
        <v>0</v>
      </c>
      <c r="I487" s="146">
        <v>22</v>
      </c>
      <c r="J487" s="146" t="s">
        <v>164</v>
      </c>
      <c r="K487" s="146" t="s">
        <v>74</v>
      </c>
      <c r="L487" s="148" t="s">
        <v>5</v>
      </c>
      <c r="M487" s="146" t="s">
        <v>142</v>
      </c>
      <c r="N487" s="149">
        <v>1000</v>
      </c>
      <c r="O487" s="152">
        <f>SUMIF('GUDANG BESAR'!C:C,K:K,'GUDANG BESAR'!I:I)</f>
        <v>13180</v>
      </c>
      <c r="P487" s="153">
        <f>SUMIF('GUDANG BESAR'!C:C,K:K,'GUDANG BESAR'!K:K)</f>
        <v>14629.8</v>
      </c>
      <c r="Q487" s="150">
        <v>15</v>
      </c>
      <c r="R487" s="149">
        <v>15</v>
      </c>
      <c r="S487" s="149">
        <v>0</v>
      </c>
      <c r="T487" s="145">
        <f t="shared" si="21"/>
        <v>197700</v>
      </c>
      <c r="U487" s="145">
        <f t="shared" si="22"/>
        <v>219447</v>
      </c>
      <c r="V487" s="135" t="str">
        <f>VLOOKUP(K487,Sheet1!$B$5:$C$131,2,0)</f>
        <v>LIMBAH</v>
      </c>
      <c r="W487" s="181">
        <f t="shared" si="23"/>
        <v>1.4999999999999999E-2</v>
      </c>
    </row>
    <row r="488" spans="1:23" s="139" customFormat="1">
      <c r="A488" s="146" t="s">
        <v>511</v>
      </c>
      <c r="B488" s="147" t="s">
        <v>512</v>
      </c>
      <c r="C488" s="146" t="s">
        <v>137</v>
      </c>
      <c r="D488" s="146" t="s">
        <v>138</v>
      </c>
      <c r="E488" s="146" t="s">
        <v>139</v>
      </c>
      <c r="F488" s="146" t="s">
        <v>162</v>
      </c>
      <c r="G488" s="148" t="s">
        <v>214</v>
      </c>
      <c r="H488" s="146">
        <v>0</v>
      </c>
      <c r="I488" s="146">
        <v>18</v>
      </c>
      <c r="J488" s="146" t="s">
        <v>262</v>
      </c>
      <c r="K488" s="146" t="s">
        <v>258</v>
      </c>
      <c r="L488" s="148" t="s">
        <v>3</v>
      </c>
      <c r="M488" s="146" t="s">
        <v>142</v>
      </c>
      <c r="N488" s="149">
        <v>1000</v>
      </c>
      <c r="O488" s="152">
        <f>SUMIF('GUDANG BESAR'!C:C,K:K,'GUDANG BESAR'!I:I)</f>
        <v>33000</v>
      </c>
      <c r="P488" s="153">
        <f>SUMIF('GUDANG BESAR'!C:C,K:K,'GUDANG BESAR'!K:K)</f>
        <v>36630</v>
      </c>
      <c r="Q488" s="150">
        <v>9</v>
      </c>
      <c r="R488" s="149">
        <v>9</v>
      </c>
      <c r="S488" s="149">
        <v>0</v>
      </c>
      <c r="T488" s="145">
        <f t="shared" si="21"/>
        <v>297000</v>
      </c>
      <c r="U488" s="145">
        <f t="shared" si="22"/>
        <v>329670</v>
      </c>
      <c r="V488" s="135" t="str">
        <f>VLOOKUP(K488,Sheet1!$B$5:$C$131,2,0)</f>
        <v>LIMBAH</v>
      </c>
      <c r="W488" s="181">
        <f t="shared" si="23"/>
        <v>8.9999999999999993E-3</v>
      </c>
    </row>
    <row r="489" spans="1:23" s="139" customFormat="1">
      <c r="A489" s="146" t="s">
        <v>511</v>
      </c>
      <c r="B489" s="147" t="s">
        <v>512</v>
      </c>
      <c r="C489" s="146" t="s">
        <v>137</v>
      </c>
      <c r="D489" s="146" t="s">
        <v>138</v>
      </c>
      <c r="E489" s="146" t="s">
        <v>139</v>
      </c>
      <c r="F489" s="146" t="s">
        <v>162</v>
      </c>
      <c r="G489" s="148" t="s">
        <v>214</v>
      </c>
      <c r="H489" s="146">
        <v>0</v>
      </c>
      <c r="I489" s="146">
        <v>19</v>
      </c>
      <c r="J489" s="146" t="s">
        <v>263</v>
      </c>
      <c r="K489" s="146" t="s">
        <v>259</v>
      </c>
      <c r="L489" s="148" t="s">
        <v>3</v>
      </c>
      <c r="M489" s="146" t="s">
        <v>142</v>
      </c>
      <c r="N489" s="149">
        <v>1000</v>
      </c>
      <c r="O489" s="152">
        <f>SUMIF('GUDANG BESAR'!C:C,K:K,'GUDANG BESAR'!I:I)</f>
        <v>47500</v>
      </c>
      <c r="P489" s="153">
        <f>SUMIF('GUDANG BESAR'!C:C,K:K,'GUDANG BESAR'!K:K)</f>
        <v>52725</v>
      </c>
      <c r="Q489" s="150">
        <v>8</v>
      </c>
      <c r="R489" s="149">
        <v>8</v>
      </c>
      <c r="S489" s="149">
        <v>0</v>
      </c>
      <c r="T489" s="145">
        <f t="shared" si="21"/>
        <v>380000</v>
      </c>
      <c r="U489" s="145">
        <f t="shared" si="22"/>
        <v>421800</v>
      </c>
      <c r="V489" s="135" t="str">
        <f>VLOOKUP(K489,Sheet1!$B$5:$C$131,2,0)</f>
        <v>LIMBAH</v>
      </c>
      <c r="W489" s="181">
        <f t="shared" si="23"/>
        <v>8.0000000000000002E-3</v>
      </c>
    </row>
    <row r="490" spans="1:23" s="139" customFormat="1">
      <c r="A490" s="146" t="s">
        <v>513</v>
      </c>
      <c r="B490" s="147" t="s">
        <v>514</v>
      </c>
      <c r="C490" s="146" t="s">
        <v>137</v>
      </c>
      <c r="D490" s="146" t="s">
        <v>138</v>
      </c>
      <c r="E490" s="146" t="s">
        <v>139</v>
      </c>
      <c r="F490" s="146" t="s">
        <v>153</v>
      </c>
      <c r="G490" s="148" t="s">
        <v>298</v>
      </c>
      <c r="H490" s="146">
        <v>0</v>
      </c>
      <c r="I490" s="146">
        <v>27</v>
      </c>
      <c r="J490" s="146" t="s">
        <v>315</v>
      </c>
      <c r="K490" s="146" t="s">
        <v>47</v>
      </c>
      <c r="L490" s="148" t="s">
        <v>3</v>
      </c>
      <c r="M490" s="146" t="s">
        <v>142</v>
      </c>
      <c r="N490" s="149">
        <v>1000</v>
      </c>
      <c r="O490" s="152">
        <f>SUMIF('GUDANG BESAR'!C:C,K:K,'GUDANG BESAR'!I:I)</f>
        <v>13000</v>
      </c>
      <c r="P490" s="153">
        <f>SUMIF('GUDANG BESAR'!C:C,K:K,'GUDANG BESAR'!K:K)</f>
        <v>14430</v>
      </c>
      <c r="Q490" s="150">
        <v>7</v>
      </c>
      <c r="R490" s="149">
        <v>7</v>
      </c>
      <c r="S490" s="149">
        <v>0</v>
      </c>
      <c r="T490" s="145">
        <f t="shared" si="21"/>
        <v>91000</v>
      </c>
      <c r="U490" s="145">
        <f t="shared" si="22"/>
        <v>101010</v>
      </c>
      <c r="V490" s="135" t="str">
        <f>VLOOKUP(K490,Sheet1!$B$5:$C$131,2,0)</f>
        <v>FINISHING</v>
      </c>
      <c r="W490" s="181">
        <f t="shared" si="23"/>
        <v>7.0000000000000001E-3</v>
      </c>
    </row>
    <row r="491" spans="1:23" s="139" customFormat="1">
      <c r="A491" s="146" t="s">
        <v>513</v>
      </c>
      <c r="B491" s="147" t="s">
        <v>514</v>
      </c>
      <c r="C491" s="146" t="s">
        <v>137</v>
      </c>
      <c r="D491" s="146" t="s">
        <v>138</v>
      </c>
      <c r="E491" s="146" t="s">
        <v>139</v>
      </c>
      <c r="F491" s="146" t="s">
        <v>153</v>
      </c>
      <c r="G491" s="148" t="s">
        <v>299</v>
      </c>
      <c r="H491" s="146">
        <v>0</v>
      </c>
      <c r="I491" s="146">
        <v>22</v>
      </c>
      <c r="J491" s="146" t="s">
        <v>154</v>
      </c>
      <c r="K491" s="146" t="s">
        <v>23</v>
      </c>
      <c r="L491" s="148" t="s">
        <v>3</v>
      </c>
      <c r="M491" s="146" t="s">
        <v>142</v>
      </c>
      <c r="N491" s="149">
        <v>1000</v>
      </c>
      <c r="O491" s="152">
        <f>SUMIF('GUDANG BESAR'!C:C,K:K,'GUDANG BESAR'!I:I)</f>
        <v>28844</v>
      </c>
      <c r="P491" s="153">
        <f>SUMIF('GUDANG BESAR'!C:C,K:K,'GUDANG BESAR'!K:K)</f>
        <v>32016.84</v>
      </c>
      <c r="Q491" s="150">
        <v>300</v>
      </c>
      <c r="R491" s="149">
        <v>300</v>
      </c>
      <c r="S491" s="149">
        <v>0</v>
      </c>
      <c r="T491" s="145">
        <f t="shared" si="21"/>
        <v>8653200</v>
      </c>
      <c r="U491" s="145">
        <f t="shared" si="22"/>
        <v>9605052</v>
      </c>
      <c r="V491" s="135" t="str">
        <f>VLOOKUP(K491,Sheet1!$B$5:$C$131,2,0)</f>
        <v>RC</v>
      </c>
      <c r="W491" s="181">
        <f t="shared" si="23"/>
        <v>0.3</v>
      </c>
    </row>
    <row r="492" spans="1:23" s="139" customFormat="1">
      <c r="A492" s="146" t="s">
        <v>513</v>
      </c>
      <c r="B492" s="147" t="s">
        <v>514</v>
      </c>
      <c r="C492" s="146" t="s">
        <v>137</v>
      </c>
      <c r="D492" s="146" t="s">
        <v>138</v>
      </c>
      <c r="E492" s="146" t="s">
        <v>139</v>
      </c>
      <c r="F492" s="146" t="s">
        <v>153</v>
      </c>
      <c r="G492" s="148" t="s">
        <v>301</v>
      </c>
      <c r="H492" s="146">
        <v>0</v>
      </c>
      <c r="I492" s="146">
        <v>33</v>
      </c>
      <c r="J492" s="146" t="s">
        <v>246</v>
      </c>
      <c r="K492" s="146" t="s">
        <v>7</v>
      </c>
      <c r="L492" s="148" t="s">
        <v>3</v>
      </c>
      <c r="M492" s="146" t="s">
        <v>142</v>
      </c>
      <c r="N492" s="149">
        <v>1000</v>
      </c>
      <c r="O492" s="152">
        <f>SUMIF('GUDANG BESAR'!C:C,K:K,'GUDANG BESAR'!I:I)</f>
        <v>29502</v>
      </c>
      <c r="P492" s="153">
        <f>SUMIF('GUDANG BESAR'!C:C,K:K,'GUDANG BESAR'!K:K)</f>
        <v>32747.22</v>
      </c>
      <c r="Q492" s="150">
        <v>8</v>
      </c>
      <c r="R492" s="149">
        <v>8</v>
      </c>
      <c r="S492" s="149">
        <v>0</v>
      </c>
      <c r="T492" s="145">
        <f t="shared" si="21"/>
        <v>236016</v>
      </c>
      <c r="U492" s="145">
        <f t="shared" si="22"/>
        <v>261977.76</v>
      </c>
      <c r="V492" s="135" t="str">
        <f>VLOOKUP(K492,Sheet1!$B$5:$C$131,2,0)</f>
        <v>DYEING</v>
      </c>
      <c r="W492" s="181">
        <f t="shared" si="23"/>
        <v>8.0000000000000002E-3</v>
      </c>
    </row>
    <row r="493" spans="1:23" s="139" customFormat="1">
      <c r="A493" s="146" t="s">
        <v>513</v>
      </c>
      <c r="B493" s="147" t="s">
        <v>514</v>
      </c>
      <c r="C493" s="146" t="s">
        <v>137</v>
      </c>
      <c r="D493" s="146" t="s">
        <v>138</v>
      </c>
      <c r="E493" s="146" t="s">
        <v>139</v>
      </c>
      <c r="F493" s="146" t="s">
        <v>162</v>
      </c>
      <c r="G493" s="148" t="s">
        <v>214</v>
      </c>
      <c r="H493" s="146">
        <v>0</v>
      </c>
      <c r="I493" s="146">
        <v>40</v>
      </c>
      <c r="J493" s="146" t="s">
        <v>240</v>
      </c>
      <c r="K493" s="146" t="s">
        <v>237</v>
      </c>
      <c r="L493" s="148" t="s">
        <v>3</v>
      </c>
      <c r="M493" s="146" t="s">
        <v>142</v>
      </c>
      <c r="N493" s="149">
        <v>1000</v>
      </c>
      <c r="O493" s="152">
        <f>SUMIF('GUDANG BESAR'!C:C,K:K,'GUDANG BESAR'!I:I)</f>
        <v>14750</v>
      </c>
      <c r="P493" s="153">
        <f>SUMIF('GUDANG BESAR'!C:C,K:K,'GUDANG BESAR'!K:K)</f>
        <v>16372.5</v>
      </c>
      <c r="Q493" s="150">
        <v>20</v>
      </c>
      <c r="R493" s="149">
        <v>20</v>
      </c>
      <c r="S493" s="149">
        <v>0</v>
      </c>
      <c r="T493" s="145">
        <f t="shared" si="21"/>
        <v>295000</v>
      </c>
      <c r="U493" s="145">
        <f t="shared" si="22"/>
        <v>327450</v>
      </c>
      <c r="V493" s="135" t="str">
        <f>VLOOKUP(K493,Sheet1!$B$5:$C$131,2,0)</f>
        <v>LIMBAH</v>
      </c>
      <c r="W493" s="181">
        <f t="shared" si="23"/>
        <v>0.02</v>
      </c>
    </row>
    <row r="494" spans="1:23" s="139" customFormat="1">
      <c r="A494" s="146" t="s">
        <v>513</v>
      </c>
      <c r="B494" s="147" t="s">
        <v>514</v>
      </c>
      <c r="C494" s="146" t="s">
        <v>137</v>
      </c>
      <c r="D494" s="146" t="s">
        <v>138</v>
      </c>
      <c r="E494" s="146" t="s">
        <v>139</v>
      </c>
      <c r="F494" s="146" t="s">
        <v>140</v>
      </c>
      <c r="G494" s="148" t="s">
        <v>300</v>
      </c>
      <c r="H494" s="146">
        <v>0</v>
      </c>
      <c r="I494" s="146">
        <v>2</v>
      </c>
      <c r="J494" s="146" t="s">
        <v>149</v>
      </c>
      <c r="K494" s="146" t="s">
        <v>24</v>
      </c>
      <c r="L494" s="148" t="s">
        <v>3</v>
      </c>
      <c r="M494" s="146" t="s">
        <v>142</v>
      </c>
      <c r="N494" s="149">
        <v>1000</v>
      </c>
      <c r="O494" s="152">
        <f>SUMIF('GUDANG BESAR'!C:C,K:K,'GUDANG BESAR'!I:I)</f>
        <v>12250</v>
      </c>
      <c r="P494" s="153">
        <f>SUMIF('GUDANG BESAR'!C:C,K:K,'GUDANG BESAR'!K:K)</f>
        <v>13597.5</v>
      </c>
      <c r="Q494" s="150">
        <v>8</v>
      </c>
      <c r="R494" s="149">
        <v>8</v>
      </c>
      <c r="S494" s="149">
        <v>0</v>
      </c>
      <c r="T494" s="145">
        <f t="shared" si="21"/>
        <v>98000</v>
      </c>
      <c r="U494" s="145">
        <f t="shared" si="22"/>
        <v>108780</v>
      </c>
      <c r="V494" s="135" t="str">
        <f>VLOOKUP(K494,Sheet1!$B$5:$C$131,2,0)</f>
        <v>CK</v>
      </c>
      <c r="W494" s="181">
        <f t="shared" si="23"/>
        <v>8.0000000000000002E-3</v>
      </c>
    </row>
    <row r="495" spans="1:23" s="139" customFormat="1">
      <c r="A495" s="146" t="s">
        <v>513</v>
      </c>
      <c r="B495" s="147" t="s">
        <v>514</v>
      </c>
      <c r="C495" s="146" t="s">
        <v>137</v>
      </c>
      <c r="D495" s="146" t="s">
        <v>138</v>
      </c>
      <c r="E495" s="146" t="s">
        <v>139</v>
      </c>
      <c r="F495" s="146" t="s">
        <v>153</v>
      </c>
      <c r="G495" s="148" t="s">
        <v>299</v>
      </c>
      <c r="H495" s="146">
        <v>0</v>
      </c>
      <c r="I495" s="146">
        <v>23</v>
      </c>
      <c r="J495" s="146" t="s">
        <v>155</v>
      </c>
      <c r="K495" s="146" t="s">
        <v>33</v>
      </c>
      <c r="L495" s="148" t="s">
        <v>3</v>
      </c>
      <c r="M495" s="146" t="s">
        <v>142</v>
      </c>
      <c r="N495" s="149">
        <v>1000</v>
      </c>
      <c r="O495" s="152">
        <f>SUMIF('GUDANG BESAR'!C:C,K:K,'GUDANG BESAR'!I:I)</f>
        <v>11087.5</v>
      </c>
      <c r="P495" s="153">
        <f>SUMIF('GUDANG BESAR'!C:C,K:K,'GUDANG BESAR'!K:K)</f>
        <v>12307.125</v>
      </c>
      <c r="Q495" s="150">
        <v>220</v>
      </c>
      <c r="R495" s="149">
        <v>220</v>
      </c>
      <c r="S495" s="149">
        <v>0</v>
      </c>
      <c r="T495" s="145">
        <f t="shared" si="21"/>
        <v>2439250</v>
      </c>
      <c r="U495" s="145">
        <f t="shared" si="22"/>
        <v>2707567.5</v>
      </c>
      <c r="V495" s="135" t="str">
        <f>VLOOKUP(K495,Sheet1!$B$5:$C$131,2,0)</f>
        <v>RC</v>
      </c>
      <c r="W495" s="181">
        <f t="shared" si="23"/>
        <v>0.22</v>
      </c>
    </row>
    <row r="496" spans="1:23" s="139" customFormat="1">
      <c r="A496" s="146" t="s">
        <v>513</v>
      </c>
      <c r="B496" s="147" t="s">
        <v>514</v>
      </c>
      <c r="C496" s="146" t="s">
        <v>137</v>
      </c>
      <c r="D496" s="146" t="s">
        <v>138</v>
      </c>
      <c r="E496" s="146" t="s">
        <v>139</v>
      </c>
      <c r="F496" s="146" t="s">
        <v>140</v>
      </c>
      <c r="G496" s="148" t="s">
        <v>303</v>
      </c>
      <c r="H496" s="146">
        <v>0</v>
      </c>
      <c r="I496" s="146">
        <v>5</v>
      </c>
      <c r="J496" s="146" t="s">
        <v>141</v>
      </c>
      <c r="K496" s="146" t="s">
        <v>37</v>
      </c>
      <c r="L496" s="148" t="s">
        <v>3</v>
      </c>
      <c r="M496" s="146" t="s">
        <v>142</v>
      </c>
      <c r="N496" s="149">
        <v>1000</v>
      </c>
      <c r="O496" s="152">
        <f>SUMIF('GUDANG BESAR'!C:C,K:K,'GUDANG BESAR'!I:I)</f>
        <v>51276</v>
      </c>
      <c r="P496" s="153">
        <f>SUMIF('GUDANG BESAR'!C:C,K:K,'GUDANG BESAR'!K:K)</f>
        <v>56916.36</v>
      </c>
      <c r="Q496" s="150">
        <v>7.8310000000000004</v>
      </c>
      <c r="R496" s="149">
        <v>7</v>
      </c>
      <c r="S496" s="149">
        <v>831</v>
      </c>
      <c r="T496" s="145">
        <f t="shared" si="21"/>
        <v>401542.35600000003</v>
      </c>
      <c r="U496" s="145">
        <f t="shared" si="22"/>
        <v>445712.01516000001</v>
      </c>
      <c r="V496" s="135" t="str">
        <f>VLOOKUP(K496,Sheet1!$B$5:$C$131,2,0)</f>
        <v>DYESTUFF</v>
      </c>
      <c r="W496" s="181">
        <f t="shared" si="23"/>
        <v>7.8310000000000012E-3</v>
      </c>
    </row>
    <row r="497" spans="1:23" s="139" customFormat="1">
      <c r="A497" s="146" t="s">
        <v>513</v>
      </c>
      <c r="B497" s="147" t="s">
        <v>514</v>
      </c>
      <c r="C497" s="146" t="s">
        <v>137</v>
      </c>
      <c r="D497" s="146" t="s">
        <v>138</v>
      </c>
      <c r="E497" s="146" t="s">
        <v>139</v>
      </c>
      <c r="F497" s="146" t="s">
        <v>153</v>
      </c>
      <c r="G497" s="148" t="s">
        <v>301</v>
      </c>
      <c r="H497" s="146">
        <v>0</v>
      </c>
      <c r="I497" s="146">
        <v>31</v>
      </c>
      <c r="J497" s="146" t="s">
        <v>172</v>
      </c>
      <c r="K497" s="146" t="s">
        <v>8</v>
      </c>
      <c r="L497" s="148" t="s">
        <v>3</v>
      </c>
      <c r="M497" s="146" t="s">
        <v>142</v>
      </c>
      <c r="N497" s="149">
        <v>1000</v>
      </c>
      <c r="O497" s="152">
        <f>SUMIF('GUDANG BESAR'!C:C,K:K,'GUDANG BESAR'!I:I)</f>
        <v>441045</v>
      </c>
      <c r="P497" s="153">
        <f>SUMIF('GUDANG BESAR'!C:C,K:K,'GUDANG BESAR'!K:K)</f>
        <v>489559.95</v>
      </c>
      <c r="Q497" s="150">
        <v>1.9059999999999999</v>
      </c>
      <c r="R497" s="149">
        <v>1</v>
      </c>
      <c r="S497" s="149">
        <v>906</v>
      </c>
      <c r="T497" s="145">
        <f t="shared" si="21"/>
        <v>840631.77</v>
      </c>
      <c r="U497" s="145">
        <f t="shared" si="22"/>
        <v>933101.26469999994</v>
      </c>
      <c r="V497" s="135" t="str">
        <f>VLOOKUP(K497,Sheet1!$B$5:$C$131,2,0)</f>
        <v>DYEING</v>
      </c>
      <c r="W497" s="181">
        <f t="shared" si="23"/>
        <v>1.9059999999999999E-3</v>
      </c>
    </row>
    <row r="498" spans="1:23" s="139" customFormat="1">
      <c r="A498" s="146" t="s">
        <v>513</v>
      </c>
      <c r="B498" s="147" t="s">
        <v>514</v>
      </c>
      <c r="C498" s="146" t="s">
        <v>137</v>
      </c>
      <c r="D498" s="146" t="s">
        <v>138</v>
      </c>
      <c r="E498" s="146" t="s">
        <v>139</v>
      </c>
      <c r="F498" s="146" t="s">
        <v>140</v>
      </c>
      <c r="G498" s="148" t="s">
        <v>303</v>
      </c>
      <c r="H498" s="146">
        <v>0</v>
      </c>
      <c r="I498" s="146">
        <v>7</v>
      </c>
      <c r="J498" s="146" t="s">
        <v>143</v>
      </c>
      <c r="K498" s="146" t="s">
        <v>90</v>
      </c>
      <c r="L498" s="148" t="s">
        <v>3</v>
      </c>
      <c r="M498" s="146" t="s">
        <v>142</v>
      </c>
      <c r="N498" s="149">
        <v>1000</v>
      </c>
      <c r="O498" s="152">
        <f>SUMIF('GUDANG BESAR'!C:C,K:K,'GUDANG BESAR'!I:I)</f>
        <v>194556</v>
      </c>
      <c r="P498" s="153">
        <f>SUMIF('GUDANG BESAR'!C:C,K:K,'GUDANG BESAR'!K:K)</f>
        <v>215957.16</v>
      </c>
      <c r="Q498" s="150">
        <v>3.14</v>
      </c>
      <c r="R498" s="149">
        <v>3</v>
      </c>
      <c r="S498" s="149">
        <v>140</v>
      </c>
      <c r="T498" s="145">
        <f t="shared" si="21"/>
        <v>610905.84</v>
      </c>
      <c r="U498" s="145">
        <f t="shared" si="22"/>
        <v>678105.4824000001</v>
      </c>
      <c r="V498" s="135" t="str">
        <f>VLOOKUP(K498,Sheet1!$B$5:$C$131,2,0)</f>
        <v>DYESTUFF</v>
      </c>
      <c r="W498" s="181">
        <f t="shared" si="23"/>
        <v>3.14E-3</v>
      </c>
    </row>
    <row r="499" spans="1:23" s="139" customFormat="1">
      <c r="A499" s="146" t="s">
        <v>513</v>
      </c>
      <c r="B499" s="147" t="s">
        <v>514</v>
      </c>
      <c r="C499" s="146" t="s">
        <v>137</v>
      </c>
      <c r="D499" s="146" t="s">
        <v>138</v>
      </c>
      <c r="E499" s="146" t="s">
        <v>139</v>
      </c>
      <c r="F499" s="146" t="s">
        <v>140</v>
      </c>
      <c r="G499" s="148" t="s">
        <v>303</v>
      </c>
      <c r="H499" s="146">
        <v>0</v>
      </c>
      <c r="I499" s="146">
        <v>6</v>
      </c>
      <c r="J499" s="146" t="s">
        <v>346</v>
      </c>
      <c r="K499" s="146" t="s">
        <v>343</v>
      </c>
      <c r="L499" s="148" t="s">
        <v>3</v>
      </c>
      <c r="M499" s="146" t="s">
        <v>142</v>
      </c>
      <c r="N499" s="149">
        <v>1000</v>
      </c>
      <c r="O499" s="152">
        <f>SUMIF('GUDANG BESAR'!C:C,K:K,'GUDANG BESAR'!I:I)</f>
        <v>60680</v>
      </c>
      <c r="P499" s="153">
        <f>SUMIF('GUDANG BESAR'!C:C,K:K,'GUDANG BESAR'!K:K)</f>
        <v>67354.8</v>
      </c>
      <c r="Q499" s="150">
        <v>5.633</v>
      </c>
      <c r="R499" s="149">
        <v>5</v>
      </c>
      <c r="S499" s="149">
        <v>633</v>
      </c>
      <c r="T499" s="145">
        <f t="shared" si="21"/>
        <v>341810.44</v>
      </c>
      <c r="U499" s="145">
        <f t="shared" si="22"/>
        <v>379409.58840000001</v>
      </c>
      <c r="V499" s="135" t="str">
        <f>VLOOKUP(K499,Sheet1!$B$5:$C$131,2,0)</f>
        <v>DYESTUFF</v>
      </c>
      <c r="W499" s="181">
        <f t="shared" si="23"/>
        <v>5.633E-3</v>
      </c>
    </row>
    <row r="500" spans="1:23" s="139" customFormat="1">
      <c r="A500" s="146" t="s">
        <v>513</v>
      </c>
      <c r="B500" s="147" t="s">
        <v>514</v>
      </c>
      <c r="C500" s="146" t="s">
        <v>137</v>
      </c>
      <c r="D500" s="146" t="s">
        <v>138</v>
      </c>
      <c r="E500" s="146" t="s">
        <v>139</v>
      </c>
      <c r="F500" s="146" t="s">
        <v>140</v>
      </c>
      <c r="G500" s="148" t="s">
        <v>303</v>
      </c>
      <c r="H500" s="146">
        <v>0</v>
      </c>
      <c r="I500" s="146">
        <v>14</v>
      </c>
      <c r="J500" s="146" t="s">
        <v>151</v>
      </c>
      <c r="K500" s="146" t="s">
        <v>28</v>
      </c>
      <c r="L500" s="148" t="s">
        <v>3</v>
      </c>
      <c r="M500" s="146" t="s">
        <v>142</v>
      </c>
      <c r="N500" s="149">
        <v>1000</v>
      </c>
      <c r="O500" s="152">
        <f>SUMIF('GUDANG BESAR'!C:C,K:K,'GUDANG BESAR'!I:I)</f>
        <v>413967</v>
      </c>
      <c r="P500" s="153">
        <f>SUMIF('GUDANG BESAR'!C:C,K:K,'GUDANG BESAR'!K:K)</f>
        <v>459503.37</v>
      </c>
      <c r="Q500" s="150">
        <v>6.6000000000000003E-2</v>
      </c>
      <c r="R500" s="149">
        <v>0</v>
      </c>
      <c r="S500" s="149">
        <v>66</v>
      </c>
      <c r="T500" s="145">
        <f t="shared" si="21"/>
        <v>27321.822</v>
      </c>
      <c r="U500" s="145">
        <f t="shared" si="22"/>
        <v>30327.222420000002</v>
      </c>
      <c r="V500" s="135" t="str">
        <f>VLOOKUP(K500,Sheet1!$B$5:$C$131,2,0)</f>
        <v>DYESTUFF</v>
      </c>
      <c r="W500" s="181">
        <f t="shared" si="23"/>
        <v>6.6000000000000005E-5</v>
      </c>
    </row>
    <row r="501" spans="1:23" s="139" customFormat="1">
      <c r="A501" s="146" t="s">
        <v>513</v>
      </c>
      <c r="B501" s="147" t="s">
        <v>514</v>
      </c>
      <c r="C501" s="146" t="s">
        <v>137</v>
      </c>
      <c r="D501" s="146" t="s">
        <v>138</v>
      </c>
      <c r="E501" s="146" t="s">
        <v>139</v>
      </c>
      <c r="F501" s="146" t="s">
        <v>140</v>
      </c>
      <c r="G501" s="148" t="s">
        <v>303</v>
      </c>
      <c r="H501" s="146">
        <v>0</v>
      </c>
      <c r="I501" s="146">
        <v>8</v>
      </c>
      <c r="J501" s="146" t="s">
        <v>169</v>
      </c>
      <c r="K501" s="146" t="s">
        <v>64</v>
      </c>
      <c r="L501" s="148" t="s">
        <v>3</v>
      </c>
      <c r="M501" s="146" t="s">
        <v>142</v>
      </c>
      <c r="N501" s="149">
        <v>1000</v>
      </c>
      <c r="O501" s="152">
        <f>SUMIF('GUDANG BESAR'!C:C,K:K,'GUDANG BESAR'!I:I)</f>
        <v>506080</v>
      </c>
      <c r="P501" s="153">
        <f>SUMIF('GUDANG BESAR'!C:C,K:K,'GUDANG BESAR'!K:K)</f>
        <v>561748.80000000005</v>
      </c>
      <c r="Q501" s="150">
        <v>7.0999999999999994E-2</v>
      </c>
      <c r="R501" s="149">
        <v>0</v>
      </c>
      <c r="S501" s="149">
        <v>71</v>
      </c>
      <c r="T501" s="145">
        <f t="shared" si="21"/>
        <v>35931.68</v>
      </c>
      <c r="U501" s="145">
        <f t="shared" si="22"/>
        <v>39884.164799999999</v>
      </c>
      <c r="V501" s="135" t="str">
        <f>VLOOKUP(K501,Sheet1!$B$5:$C$131,2,0)</f>
        <v>DYESTUFF</v>
      </c>
      <c r="W501" s="181">
        <f t="shared" si="23"/>
        <v>7.0999999999999991E-5</v>
      </c>
    </row>
    <row r="502" spans="1:23" s="139" customFormat="1">
      <c r="A502" s="146" t="s">
        <v>513</v>
      </c>
      <c r="B502" s="147" t="s">
        <v>514</v>
      </c>
      <c r="C502" s="146" t="s">
        <v>137</v>
      </c>
      <c r="D502" s="146" t="s">
        <v>138</v>
      </c>
      <c r="E502" s="146" t="s">
        <v>139</v>
      </c>
      <c r="F502" s="146" t="s">
        <v>140</v>
      </c>
      <c r="G502" s="148" t="s">
        <v>303</v>
      </c>
      <c r="H502" s="146">
        <v>0</v>
      </c>
      <c r="I502" s="146">
        <v>9</v>
      </c>
      <c r="J502" s="146" t="s">
        <v>144</v>
      </c>
      <c r="K502" s="146" t="s">
        <v>26</v>
      </c>
      <c r="L502" s="148" t="s">
        <v>3</v>
      </c>
      <c r="M502" s="146" t="s">
        <v>142</v>
      </c>
      <c r="N502" s="149">
        <v>1000</v>
      </c>
      <c r="O502" s="152">
        <f>SUMIF('GUDANG BESAR'!C:C,K:K,'GUDANG BESAR'!I:I)</f>
        <v>52016</v>
      </c>
      <c r="P502" s="153">
        <f>SUMIF('GUDANG BESAR'!C:C,K:K,'GUDANG BESAR'!K:K)</f>
        <v>57737.760000000002</v>
      </c>
      <c r="Q502" s="150">
        <v>5.4829999999999997</v>
      </c>
      <c r="R502" s="149">
        <v>5</v>
      </c>
      <c r="S502" s="149">
        <v>483</v>
      </c>
      <c r="T502" s="145">
        <f t="shared" si="21"/>
        <v>285203.728</v>
      </c>
      <c r="U502" s="145">
        <f t="shared" si="22"/>
        <v>316576.13808</v>
      </c>
      <c r="V502" s="135" t="str">
        <f>VLOOKUP(K502,Sheet1!$B$5:$C$131,2,0)</f>
        <v>DYESTUFF</v>
      </c>
      <c r="W502" s="181">
        <f t="shared" si="23"/>
        <v>5.483E-3</v>
      </c>
    </row>
    <row r="503" spans="1:23" s="139" customFormat="1">
      <c r="A503" s="146" t="s">
        <v>513</v>
      </c>
      <c r="B503" s="147" t="s">
        <v>514</v>
      </c>
      <c r="C503" s="146" t="s">
        <v>137</v>
      </c>
      <c r="D503" s="146" t="s">
        <v>138</v>
      </c>
      <c r="E503" s="146" t="s">
        <v>139</v>
      </c>
      <c r="F503" s="146" t="s">
        <v>140</v>
      </c>
      <c r="G503" s="148" t="s">
        <v>303</v>
      </c>
      <c r="H503" s="146">
        <v>0</v>
      </c>
      <c r="I503" s="146">
        <v>10</v>
      </c>
      <c r="J503" s="146" t="s">
        <v>145</v>
      </c>
      <c r="K503" s="146" t="s">
        <v>27</v>
      </c>
      <c r="L503" s="148" t="s">
        <v>3</v>
      </c>
      <c r="M503" s="146" t="s">
        <v>142</v>
      </c>
      <c r="N503" s="149">
        <v>1000</v>
      </c>
      <c r="O503" s="152">
        <f>SUMIF('GUDANG BESAR'!C:C,K:K,'GUDANG BESAR'!I:I)</f>
        <v>71148</v>
      </c>
      <c r="P503" s="153">
        <f>SUMIF('GUDANG BESAR'!C:C,K:K,'GUDANG BESAR'!K:K)</f>
        <v>78974.28</v>
      </c>
      <c r="Q503" s="150">
        <v>8.49</v>
      </c>
      <c r="R503" s="149">
        <v>8</v>
      </c>
      <c r="S503" s="149">
        <v>490</v>
      </c>
      <c r="T503" s="145">
        <f t="shared" si="21"/>
        <v>604046.52</v>
      </c>
      <c r="U503" s="145">
        <f t="shared" si="22"/>
        <v>670491.6372</v>
      </c>
      <c r="V503" s="135" t="str">
        <f>VLOOKUP(K503,Sheet1!$B$5:$C$131,2,0)</f>
        <v>DYESTUFF</v>
      </c>
      <c r="W503" s="181">
        <f t="shared" si="23"/>
        <v>8.490000000000001E-3</v>
      </c>
    </row>
    <row r="504" spans="1:23" s="139" customFormat="1">
      <c r="A504" s="146" t="s">
        <v>513</v>
      </c>
      <c r="B504" s="147" t="s">
        <v>514</v>
      </c>
      <c r="C504" s="146" t="s">
        <v>137</v>
      </c>
      <c r="D504" s="146" t="s">
        <v>138</v>
      </c>
      <c r="E504" s="146" t="s">
        <v>139</v>
      </c>
      <c r="F504" s="146" t="s">
        <v>153</v>
      </c>
      <c r="G504" s="148" t="s">
        <v>301</v>
      </c>
      <c r="H504" s="146">
        <v>0</v>
      </c>
      <c r="I504" s="146">
        <v>30</v>
      </c>
      <c r="J504" s="146" t="s">
        <v>173</v>
      </c>
      <c r="K504" s="146" t="s">
        <v>9</v>
      </c>
      <c r="L504" s="148" t="s">
        <v>3</v>
      </c>
      <c r="M504" s="146" t="s">
        <v>142</v>
      </c>
      <c r="N504" s="149">
        <v>1000</v>
      </c>
      <c r="O504" s="152">
        <f>SUMIF('GUDANG BESAR'!C:C,K:K,'GUDANG BESAR'!I:I)</f>
        <v>294030</v>
      </c>
      <c r="P504" s="153">
        <f>SUMIF('GUDANG BESAR'!C:C,K:K,'GUDANG BESAR'!K:K)</f>
        <v>326373.3</v>
      </c>
      <c r="Q504" s="150">
        <v>1.151</v>
      </c>
      <c r="R504" s="149">
        <v>1</v>
      </c>
      <c r="S504" s="149">
        <v>151</v>
      </c>
      <c r="T504" s="145">
        <f t="shared" si="21"/>
        <v>338428.53</v>
      </c>
      <c r="U504" s="145">
        <f t="shared" si="22"/>
        <v>375655.66830000002</v>
      </c>
      <c r="V504" s="135" t="str">
        <f>VLOOKUP(K504,Sheet1!$B$5:$C$131,2,0)</f>
        <v>DYEING</v>
      </c>
      <c r="W504" s="181">
        <f t="shared" si="23"/>
        <v>1.1510000000000001E-3</v>
      </c>
    </row>
    <row r="505" spans="1:23" s="139" customFormat="1">
      <c r="A505" s="146" t="s">
        <v>513</v>
      </c>
      <c r="B505" s="147" t="s">
        <v>514</v>
      </c>
      <c r="C505" s="146" t="s">
        <v>137</v>
      </c>
      <c r="D505" s="146" t="s">
        <v>138</v>
      </c>
      <c r="E505" s="146" t="s">
        <v>139</v>
      </c>
      <c r="F505" s="146" t="s">
        <v>140</v>
      </c>
      <c r="G505" s="148" t="s">
        <v>303</v>
      </c>
      <c r="H505" s="146">
        <v>0</v>
      </c>
      <c r="I505" s="146">
        <v>11</v>
      </c>
      <c r="J505" s="146" t="s">
        <v>289</v>
      </c>
      <c r="K505" s="146" t="s">
        <v>255</v>
      </c>
      <c r="L505" s="148" t="s">
        <v>3</v>
      </c>
      <c r="M505" s="146" t="s">
        <v>142</v>
      </c>
      <c r="N505" s="149">
        <v>1000</v>
      </c>
      <c r="O505" s="152">
        <f>SUMIF('GUDANG BESAR'!C:C,K:K,'GUDANG BESAR'!I:I)</f>
        <v>195336</v>
      </c>
      <c r="P505" s="153">
        <f>SUMIF('GUDANG BESAR'!C:C,K:K,'GUDANG BESAR'!K:K)</f>
        <v>216822.96</v>
      </c>
      <c r="Q505" s="150">
        <v>7.9000000000000001E-2</v>
      </c>
      <c r="R505" s="149">
        <v>0</v>
      </c>
      <c r="S505" s="149">
        <v>79</v>
      </c>
      <c r="T505" s="145">
        <f t="shared" si="21"/>
        <v>15431.544</v>
      </c>
      <c r="U505" s="145">
        <f t="shared" si="22"/>
        <v>17129.01384</v>
      </c>
      <c r="V505" s="135" t="str">
        <f>VLOOKUP(K505,Sheet1!$B$5:$C$131,2,0)</f>
        <v>DYESTUFF</v>
      </c>
      <c r="W505" s="181">
        <f t="shared" si="23"/>
        <v>7.8999999999999996E-5</v>
      </c>
    </row>
    <row r="506" spans="1:23" s="139" customFormat="1">
      <c r="A506" s="146" t="s">
        <v>513</v>
      </c>
      <c r="B506" s="147" t="s">
        <v>514</v>
      </c>
      <c r="C506" s="146" t="s">
        <v>137</v>
      </c>
      <c r="D506" s="146" t="s">
        <v>138</v>
      </c>
      <c r="E506" s="146" t="s">
        <v>139</v>
      </c>
      <c r="F506" s="146" t="s">
        <v>140</v>
      </c>
      <c r="G506" s="148" t="s">
        <v>303</v>
      </c>
      <c r="H506" s="146">
        <v>0</v>
      </c>
      <c r="I506" s="146">
        <v>12</v>
      </c>
      <c r="J506" s="146" t="s">
        <v>146</v>
      </c>
      <c r="K506" s="146" t="s">
        <v>46</v>
      </c>
      <c r="L506" s="148" t="s">
        <v>3</v>
      </c>
      <c r="M506" s="146" t="s">
        <v>142</v>
      </c>
      <c r="N506" s="149">
        <v>1000</v>
      </c>
      <c r="O506" s="152">
        <f>SUMIF('GUDANG BESAR'!C:C,K:K,'GUDANG BESAR'!I:I)</f>
        <v>100812</v>
      </c>
      <c r="P506" s="153">
        <f>SUMIF('GUDANG BESAR'!C:C,K:K,'GUDANG BESAR'!K:K)</f>
        <v>111901.32</v>
      </c>
      <c r="Q506" s="150">
        <v>4.5359999999999996</v>
      </c>
      <c r="R506" s="149">
        <v>4</v>
      </c>
      <c r="S506" s="149">
        <v>536</v>
      </c>
      <c r="T506" s="145">
        <f t="shared" si="21"/>
        <v>457283.23199999996</v>
      </c>
      <c r="U506" s="145">
        <f t="shared" si="22"/>
        <v>507584.38751999999</v>
      </c>
      <c r="V506" s="135" t="str">
        <f>VLOOKUP(K506,Sheet1!$B$5:$C$131,2,0)</f>
        <v>DYESTUFF</v>
      </c>
      <c r="W506" s="181">
        <f t="shared" si="23"/>
        <v>4.5359999999999992E-3</v>
      </c>
    </row>
    <row r="507" spans="1:23" s="139" customFormat="1">
      <c r="A507" s="146" t="s">
        <v>513</v>
      </c>
      <c r="B507" s="147" t="s">
        <v>514</v>
      </c>
      <c r="C507" s="146" t="s">
        <v>137</v>
      </c>
      <c r="D507" s="146" t="s">
        <v>138</v>
      </c>
      <c r="E507" s="146" t="s">
        <v>139</v>
      </c>
      <c r="F507" s="146" t="s">
        <v>140</v>
      </c>
      <c r="G507" s="148" t="s">
        <v>303</v>
      </c>
      <c r="H507" s="146">
        <v>0</v>
      </c>
      <c r="I507" s="146">
        <v>13</v>
      </c>
      <c r="J507" s="146" t="s">
        <v>147</v>
      </c>
      <c r="K507" s="146" t="s">
        <v>41</v>
      </c>
      <c r="L507" s="148" t="s">
        <v>3</v>
      </c>
      <c r="M507" s="146" t="s">
        <v>142</v>
      </c>
      <c r="N507" s="149">
        <v>1000</v>
      </c>
      <c r="O507" s="152">
        <f>SUMIF('GUDANG BESAR'!C:C,K:K,'GUDANG BESAR'!I:I)</f>
        <v>54071</v>
      </c>
      <c r="P507" s="153">
        <f>SUMIF('GUDANG BESAR'!C:C,K:K,'GUDANG BESAR'!K:K)</f>
        <v>60018.81</v>
      </c>
      <c r="Q507" s="150">
        <v>6.4459999999999997</v>
      </c>
      <c r="R507" s="149">
        <v>6</v>
      </c>
      <c r="S507" s="149">
        <v>446</v>
      </c>
      <c r="T507" s="145">
        <f t="shared" si="21"/>
        <v>348541.66599999997</v>
      </c>
      <c r="U507" s="145">
        <f t="shared" si="22"/>
        <v>386881.24925999995</v>
      </c>
      <c r="V507" s="135" t="str">
        <f>VLOOKUP(K507,Sheet1!$B$5:$C$131,2,0)</f>
        <v>DYESTUFF</v>
      </c>
      <c r="W507" s="181">
        <f t="shared" si="23"/>
        <v>6.4459999999999995E-3</v>
      </c>
    </row>
    <row r="508" spans="1:23" s="139" customFormat="1">
      <c r="A508" s="146" t="s">
        <v>513</v>
      </c>
      <c r="B508" s="147" t="s">
        <v>514</v>
      </c>
      <c r="C508" s="146" t="s">
        <v>137</v>
      </c>
      <c r="D508" s="146" t="s">
        <v>138</v>
      </c>
      <c r="E508" s="146" t="s">
        <v>139</v>
      </c>
      <c r="F508" s="146" t="s">
        <v>140</v>
      </c>
      <c r="G508" s="148" t="s">
        <v>303</v>
      </c>
      <c r="H508" s="146">
        <v>0</v>
      </c>
      <c r="I508" s="146">
        <v>15</v>
      </c>
      <c r="J508" s="146" t="s">
        <v>148</v>
      </c>
      <c r="K508" s="146" t="s">
        <v>30</v>
      </c>
      <c r="L508" s="148" t="s">
        <v>3</v>
      </c>
      <c r="M508" s="146" t="s">
        <v>142</v>
      </c>
      <c r="N508" s="149">
        <v>1000</v>
      </c>
      <c r="O508" s="152">
        <f>SUMIF('GUDANG BESAR'!C:C,K:K,'GUDANG BESAR'!I:I)</f>
        <v>77089.399999999994</v>
      </c>
      <c r="P508" s="153">
        <f>SUMIF('GUDANG BESAR'!C:C,K:K,'GUDANG BESAR'!K:K)</f>
        <v>85569.233999999997</v>
      </c>
      <c r="Q508" s="150">
        <v>16.751999999999999</v>
      </c>
      <c r="R508" s="149">
        <v>16</v>
      </c>
      <c r="S508" s="149">
        <v>752</v>
      </c>
      <c r="T508" s="145">
        <f t="shared" si="21"/>
        <v>1291401.6287999998</v>
      </c>
      <c r="U508" s="145">
        <f t="shared" si="22"/>
        <v>1433455.807968</v>
      </c>
      <c r="V508" s="135" t="str">
        <f>VLOOKUP(K508,Sheet1!$B$5:$C$131,2,0)</f>
        <v>DYESTUFF</v>
      </c>
      <c r="W508" s="181">
        <f t="shared" si="23"/>
        <v>1.6752E-2</v>
      </c>
    </row>
    <row r="509" spans="1:23" s="139" customFormat="1">
      <c r="A509" s="146" t="s">
        <v>513</v>
      </c>
      <c r="B509" s="147" t="s">
        <v>514</v>
      </c>
      <c r="C509" s="146" t="s">
        <v>137</v>
      </c>
      <c r="D509" s="146" t="s">
        <v>138</v>
      </c>
      <c r="E509" s="146" t="s">
        <v>139</v>
      </c>
      <c r="F509" s="146" t="s">
        <v>153</v>
      </c>
      <c r="G509" s="148" t="s">
        <v>301</v>
      </c>
      <c r="H509" s="146">
        <v>0</v>
      </c>
      <c r="I509" s="146">
        <v>29</v>
      </c>
      <c r="J509" s="146" t="s">
        <v>174</v>
      </c>
      <c r="K509" s="146" t="s">
        <v>13</v>
      </c>
      <c r="L509" s="148" t="s">
        <v>3</v>
      </c>
      <c r="M509" s="146" t="s">
        <v>142</v>
      </c>
      <c r="N509" s="149">
        <v>1000</v>
      </c>
      <c r="O509" s="152">
        <f>SUMIF('GUDANG BESAR'!C:C,K:K,'GUDANG BESAR'!I:I)</f>
        <v>262320</v>
      </c>
      <c r="P509" s="153">
        <f>SUMIF('GUDANG BESAR'!C:C,K:K,'GUDANG BESAR'!K:K)</f>
        <v>291175.2</v>
      </c>
      <c r="Q509" s="150">
        <v>0.45</v>
      </c>
      <c r="R509" s="149">
        <v>0</v>
      </c>
      <c r="S509" s="149">
        <v>450</v>
      </c>
      <c r="T509" s="145">
        <f t="shared" si="21"/>
        <v>118044</v>
      </c>
      <c r="U509" s="145">
        <f t="shared" si="22"/>
        <v>131028.84000000001</v>
      </c>
      <c r="V509" s="135" t="str">
        <f>VLOOKUP(K509,Sheet1!$B$5:$C$131,2,0)</f>
        <v>DYEING</v>
      </c>
      <c r="W509" s="181">
        <f t="shared" si="23"/>
        <v>4.4999999999999999E-4</v>
      </c>
    </row>
    <row r="510" spans="1:23" s="139" customFormat="1">
      <c r="A510" s="146" t="s">
        <v>513</v>
      </c>
      <c r="B510" s="147" t="s">
        <v>514</v>
      </c>
      <c r="C510" s="146" t="s">
        <v>137</v>
      </c>
      <c r="D510" s="146" t="s">
        <v>138</v>
      </c>
      <c r="E510" s="146" t="s">
        <v>139</v>
      </c>
      <c r="F510" s="146" t="s">
        <v>162</v>
      </c>
      <c r="G510" s="148" t="s">
        <v>214</v>
      </c>
      <c r="H510" s="146">
        <v>0</v>
      </c>
      <c r="I510" s="146">
        <v>39</v>
      </c>
      <c r="J510" s="146" t="s">
        <v>163</v>
      </c>
      <c r="K510" s="146" t="s">
        <v>14</v>
      </c>
      <c r="L510" s="148" t="s">
        <v>3</v>
      </c>
      <c r="M510" s="146" t="s">
        <v>142</v>
      </c>
      <c r="N510" s="149">
        <v>1000</v>
      </c>
      <c r="O510" s="152">
        <f>SUMIF('GUDANG BESAR'!C:C,K:K,'GUDANG BESAR'!I:I)</f>
        <v>30500</v>
      </c>
      <c r="P510" s="153">
        <f>SUMIF('GUDANG BESAR'!C:C,K:K,'GUDANG BESAR'!K:K)</f>
        <v>33855</v>
      </c>
      <c r="Q510" s="150">
        <v>20</v>
      </c>
      <c r="R510" s="149">
        <v>20</v>
      </c>
      <c r="S510" s="149">
        <v>0</v>
      </c>
      <c r="T510" s="145">
        <f t="shared" si="21"/>
        <v>610000</v>
      </c>
      <c r="U510" s="145">
        <f t="shared" si="22"/>
        <v>677100</v>
      </c>
      <c r="V510" s="135" t="str">
        <f>VLOOKUP(K510,Sheet1!$B$5:$C$131,2,0)</f>
        <v>LIMBAH</v>
      </c>
      <c r="W510" s="181">
        <f t="shared" si="23"/>
        <v>0.02</v>
      </c>
    </row>
    <row r="511" spans="1:23" s="139" customFormat="1">
      <c r="A511" s="146" t="s">
        <v>513</v>
      </c>
      <c r="B511" s="147" t="s">
        <v>514</v>
      </c>
      <c r="C511" s="146" t="s">
        <v>137</v>
      </c>
      <c r="D511" s="146" t="s">
        <v>138</v>
      </c>
      <c r="E511" s="146" t="s">
        <v>139</v>
      </c>
      <c r="F511" s="146" t="s">
        <v>167</v>
      </c>
      <c r="G511" s="148" t="s">
        <v>298</v>
      </c>
      <c r="H511" s="146">
        <v>0</v>
      </c>
      <c r="I511" s="146">
        <v>35</v>
      </c>
      <c r="J511" s="146" t="s">
        <v>270</v>
      </c>
      <c r="K511" s="146" t="s">
        <v>31</v>
      </c>
      <c r="L511" s="148" t="s">
        <v>3</v>
      </c>
      <c r="M511" s="146" t="s">
        <v>142</v>
      </c>
      <c r="N511" s="149">
        <v>1000</v>
      </c>
      <c r="O511" s="152">
        <f>SUMIF('GUDANG BESAR'!C:C,K:K,'GUDANG BESAR'!I:I)</f>
        <v>12160</v>
      </c>
      <c r="P511" s="153">
        <f>SUMIF('GUDANG BESAR'!C:C,K:K,'GUDANG BESAR'!K:K)</f>
        <v>13497.6</v>
      </c>
      <c r="Q511" s="150">
        <v>11</v>
      </c>
      <c r="R511" s="149">
        <v>11</v>
      </c>
      <c r="S511" s="149">
        <v>0</v>
      </c>
      <c r="T511" s="145">
        <f t="shared" si="21"/>
        <v>133760</v>
      </c>
      <c r="U511" s="145">
        <f t="shared" si="22"/>
        <v>148473.60000000001</v>
      </c>
      <c r="V511" s="135" t="str">
        <f>VLOOKUP(K511,Sheet1!$B$5:$C$131,2,0)</f>
        <v>FINISHING</v>
      </c>
      <c r="W511" s="181">
        <f t="shared" si="23"/>
        <v>1.0999999999999999E-2</v>
      </c>
    </row>
    <row r="512" spans="1:23" s="139" customFormat="1">
      <c r="A512" s="146" t="s">
        <v>513</v>
      </c>
      <c r="B512" s="147" t="s">
        <v>514</v>
      </c>
      <c r="C512" s="146" t="s">
        <v>137</v>
      </c>
      <c r="D512" s="146" t="s">
        <v>138</v>
      </c>
      <c r="E512" s="146" t="s">
        <v>139</v>
      </c>
      <c r="F512" s="146" t="s">
        <v>153</v>
      </c>
      <c r="G512" s="148" t="s">
        <v>301</v>
      </c>
      <c r="H512" s="146">
        <v>0</v>
      </c>
      <c r="I512" s="146">
        <v>28</v>
      </c>
      <c r="J512" s="146" t="s">
        <v>495</v>
      </c>
      <c r="K512" s="146" t="s">
        <v>43</v>
      </c>
      <c r="L512" s="148" t="s">
        <v>3</v>
      </c>
      <c r="M512" s="146" t="s">
        <v>142</v>
      </c>
      <c r="N512" s="149">
        <v>1000</v>
      </c>
      <c r="O512" s="152">
        <f>SUMIF('GUDANG BESAR'!C:C,K:K,'GUDANG BESAR'!I:I)</f>
        <v>11500</v>
      </c>
      <c r="P512" s="153">
        <f>SUMIF('GUDANG BESAR'!C:C,K:K,'GUDANG BESAR'!K:K)</f>
        <v>12765</v>
      </c>
      <c r="Q512" s="150">
        <v>24</v>
      </c>
      <c r="R512" s="149">
        <v>24</v>
      </c>
      <c r="S512" s="149">
        <v>0</v>
      </c>
      <c r="T512" s="145">
        <f t="shared" si="21"/>
        <v>276000</v>
      </c>
      <c r="U512" s="145">
        <f t="shared" si="22"/>
        <v>306360</v>
      </c>
      <c r="V512" s="135" t="str">
        <f>VLOOKUP(K512,Sheet1!$B$5:$C$131,2,0)</f>
        <v>DYEING</v>
      </c>
      <c r="W512" s="181">
        <f t="shared" si="23"/>
        <v>2.4E-2</v>
      </c>
    </row>
    <row r="513" spans="1:23" s="139" customFormat="1">
      <c r="A513" s="146" t="s">
        <v>513</v>
      </c>
      <c r="B513" s="147" t="s">
        <v>514</v>
      </c>
      <c r="C513" s="146" t="s">
        <v>137</v>
      </c>
      <c r="D513" s="146" t="s">
        <v>138</v>
      </c>
      <c r="E513" s="146" t="s">
        <v>139</v>
      </c>
      <c r="F513" s="146" t="s">
        <v>140</v>
      </c>
      <c r="G513" s="148" t="s">
        <v>300</v>
      </c>
      <c r="H513" s="146">
        <v>0</v>
      </c>
      <c r="I513" s="146">
        <v>1</v>
      </c>
      <c r="J513" s="146" t="s">
        <v>314</v>
      </c>
      <c r="K513" s="146" t="s">
        <v>281</v>
      </c>
      <c r="L513" s="148" t="s">
        <v>3</v>
      </c>
      <c r="M513" s="146" t="s">
        <v>142</v>
      </c>
      <c r="N513" s="149">
        <v>1000</v>
      </c>
      <c r="O513" s="152">
        <f>SUMIF('GUDANG BESAR'!C:C,K:K,'GUDANG BESAR'!I:I)</f>
        <v>23590.51</v>
      </c>
      <c r="P513" s="153">
        <f>SUMIF('GUDANG BESAR'!C:C,K:K,'GUDANG BESAR'!K:K)</f>
        <v>26185.466099999998</v>
      </c>
      <c r="Q513" s="150">
        <v>120</v>
      </c>
      <c r="R513" s="149">
        <v>120</v>
      </c>
      <c r="S513" s="149">
        <v>0</v>
      </c>
      <c r="T513" s="145">
        <f t="shared" si="21"/>
        <v>2830861.1999999997</v>
      </c>
      <c r="U513" s="145">
        <f t="shared" si="22"/>
        <v>3142255.9319999996</v>
      </c>
      <c r="V513" s="135" t="str">
        <f>VLOOKUP(K513,Sheet1!$B$5:$C$131,2,0)</f>
        <v>CK</v>
      </c>
      <c r="W513" s="181">
        <f t="shared" si="23"/>
        <v>0.12</v>
      </c>
    </row>
    <row r="514" spans="1:23" s="139" customFormat="1">
      <c r="A514" s="146" t="s">
        <v>513</v>
      </c>
      <c r="B514" s="147" t="s">
        <v>514</v>
      </c>
      <c r="C514" s="146" t="s">
        <v>137</v>
      </c>
      <c r="D514" s="146" t="s">
        <v>138</v>
      </c>
      <c r="E514" s="146" t="s">
        <v>139</v>
      </c>
      <c r="F514" s="146" t="s">
        <v>162</v>
      </c>
      <c r="G514" s="148" t="s">
        <v>214</v>
      </c>
      <c r="H514" s="146">
        <v>0</v>
      </c>
      <c r="I514" s="146">
        <v>36</v>
      </c>
      <c r="J514" s="146" t="s">
        <v>234</v>
      </c>
      <c r="K514" s="146" t="s">
        <v>233</v>
      </c>
      <c r="L514" s="148" t="s">
        <v>3</v>
      </c>
      <c r="M514" s="146" t="s">
        <v>142</v>
      </c>
      <c r="N514" s="149">
        <v>1000</v>
      </c>
      <c r="O514" s="152">
        <f>SUMIF('GUDANG BESAR'!C:C,K:K,'GUDANG BESAR'!I:I)</f>
        <v>5500</v>
      </c>
      <c r="P514" s="153">
        <f>SUMIF('GUDANG BESAR'!C:C,K:K,'GUDANG BESAR'!K:K)</f>
        <v>6105</v>
      </c>
      <c r="Q514" s="150">
        <v>550</v>
      </c>
      <c r="R514" s="149">
        <v>550</v>
      </c>
      <c r="S514" s="149">
        <v>0</v>
      </c>
      <c r="T514" s="145">
        <f t="shared" si="21"/>
        <v>3025000</v>
      </c>
      <c r="U514" s="145">
        <f t="shared" si="22"/>
        <v>3357750</v>
      </c>
      <c r="V514" s="135" t="str">
        <f>VLOOKUP(K514,Sheet1!$B$5:$C$131,2,0)</f>
        <v>LIMBAH</v>
      </c>
      <c r="W514" s="181">
        <f t="shared" si="23"/>
        <v>0.55000000000000004</v>
      </c>
    </row>
    <row r="515" spans="1:23" s="139" customFormat="1">
      <c r="A515" s="146" t="s">
        <v>513</v>
      </c>
      <c r="B515" s="147" t="s">
        <v>514</v>
      </c>
      <c r="C515" s="146" t="s">
        <v>137</v>
      </c>
      <c r="D515" s="146" t="s">
        <v>138</v>
      </c>
      <c r="E515" s="146" t="s">
        <v>139</v>
      </c>
      <c r="F515" s="146" t="s">
        <v>140</v>
      </c>
      <c r="G515" s="148" t="s">
        <v>303</v>
      </c>
      <c r="H515" s="146">
        <v>0</v>
      </c>
      <c r="I515" s="146">
        <v>16</v>
      </c>
      <c r="J515" s="146" t="s">
        <v>502</v>
      </c>
      <c r="K515" s="146" t="s">
        <v>103</v>
      </c>
      <c r="L515" s="148" t="s">
        <v>3</v>
      </c>
      <c r="M515" s="146" t="s">
        <v>142</v>
      </c>
      <c r="N515" s="149">
        <v>1000</v>
      </c>
      <c r="O515" s="152">
        <f>SUMIF('GUDANG BESAR'!C:C,K:K,'GUDANG BESAR'!I:I)</f>
        <v>114100</v>
      </c>
      <c r="P515" s="153">
        <f>SUMIF('GUDANG BESAR'!C:C,K:K,'GUDANG BESAR'!K:K)</f>
        <v>126651</v>
      </c>
      <c r="Q515" s="150">
        <v>0.375</v>
      </c>
      <c r="R515" s="149">
        <v>0</v>
      </c>
      <c r="S515" s="149">
        <v>375</v>
      </c>
      <c r="T515" s="145">
        <f t="shared" si="21"/>
        <v>42787.5</v>
      </c>
      <c r="U515" s="145">
        <f t="shared" si="22"/>
        <v>47494.125</v>
      </c>
      <c r="V515" s="135" t="str">
        <f>VLOOKUP(K515,Sheet1!$B$5:$C$131,2,0)</f>
        <v>DYESTUFF</v>
      </c>
      <c r="W515" s="181">
        <f t="shared" si="23"/>
        <v>3.7500000000000001E-4</v>
      </c>
    </row>
    <row r="516" spans="1:23" s="139" customFormat="1">
      <c r="A516" s="146" t="s">
        <v>513</v>
      </c>
      <c r="B516" s="147" t="s">
        <v>514</v>
      </c>
      <c r="C516" s="146" t="s">
        <v>137</v>
      </c>
      <c r="D516" s="146" t="s">
        <v>138</v>
      </c>
      <c r="E516" s="146" t="s">
        <v>139</v>
      </c>
      <c r="F516" s="146" t="s">
        <v>140</v>
      </c>
      <c r="G516" s="148" t="s">
        <v>303</v>
      </c>
      <c r="H516" s="146">
        <v>0</v>
      </c>
      <c r="I516" s="146">
        <v>21</v>
      </c>
      <c r="J516" s="146" t="s">
        <v>503</v>
      </c>
      <c r="K516" s="146" t="s">
        <v>104</v>
      </c>
      <c r="L516" s="148" t="s">
        <v>3</v>
      </c>
      <c r="M516" s="146" t="s">
        <v>142</v>
      </c>
      <c r="N516" s="149">
        <v>1000</v>
      </c>
      <c r="O516" s="152">
        <f>SUMIF('GUDANG BESAR'!C:C,K:K,'GUDANG BESAR'!I:I)</f>
        <v>179300</v>
      </c>
      <c r="P516" s="153">
        <f>SUMIF('GUDANG BESAR'!C:C,K:K,'GUDANG BESAR'!K:K)</f>
        <v>199023</v>
      </c>
      <c r="Q516" s="150">
        <v>2E-3</v>
      </c>
      <c r="R516" s="149">
        <v>0</v>
      </c>
      <c r="S516" s="149">
        <v>2</v>
      </c>
      <c r="T516" s="145">
        <f t="shared" si="21"/>
        <v>358.6</v>
      </c>
      <c r="U516" s="145">
        <f t="shared" si="22"/>
        <v>398.04599999999999</v>
      </c>
      <c r="V516" s="135" t="str">
        <f>VLOOKUP(K516,Sheet1!$B$5:$C$131,2,0)</f>
        <v>DYESTUFF</v>
      </c>
      <c r="W516" s="181">
        <f t="shared" si="23"/>
        <v>1.9999999999999999E-6</v>
      </c>
    </row>
    <row r="517" spans="1:23" s="139" customFormat="1">
      <c r="A517" s="146" t="s">
        <v>513</v>
      </c>
      <c r="B517" s="147" t="s">
        <v>514</v>
      </c>
      <c r="C517" s="146" t="s">
        <v>137</v>
      </c>
      <c r="D517" s="146" t="s">
        <v>138</v>
      </c>
      <c r="E517" s="146" t="s">
        <v>139</v>
      </c>
      <c r="F517" s="146" t="s">
        <v>140</v>
      </c>
      <c r="G517" s="148" t="s">
        <v>303</v>
      </c>
      <c r="H517" s="146">
        <v>0</v>
      </c>
      <c r="I517" s="146">
        <v>17</v>
      </c>
      <c r="J517" s="146" t="s">
        <v>504</v>
      </c>
      <c r="K517" s="146" t="s">
        <v>107</v>
      </c>
      <c r="L517" s="148" t="s">
        <v>3</v>
      </c>
      <c r="M517" s="146" t="s">
        <v>142</v>
      </c>
      <c r="N517" s="149">
        <v>1000</v>
      </c>
      <c r="O517" s="152">
        <f>SUMIF('GUDANG BESAR'!C:C,K:K,'GUDANG BESAR'!I:I)</f>
        <v>113785</v>
      </c>
      <c r="P517" s="153">
        <f>SUMIF('GUDANG BESAR'!C:C,K:K,'GUDANG BESAR'!K:K)</f>
        <v>126301.35</v>
      </c>
      <c r="Q517" s="150">
        <v>0.371</v>
      </c>
      <c r="R517" s="149">
        <v>0</v>
      </c>
      <c r="S517" s="149">
        <v>371</v>
      </c>
      <c r="T517" s="145">
        <f t="shared" si="21"/>
        <v>42214.235000000001</v>
      </c>
      <c r="U517" s="145">
        <f t="shared" si="22"/>
        <v>46857.80085</v>
      </c>
      <c r="V517" s="135" t="str">
        <f>VLOOKUP(K517,Sheet1!$B$5:$C$131,2,0)</f>
        <v>DYESTUFF</v>
      </c>
      <c r="W517" s="181">
        <f t="shared" si="23"/>
        <v>3.7100000000000002E-4</v>
      </c>
    </row>
    <row r="518" spans="1:23" s="139" customFormat="1">
      <c r="A518" s="146" t="s">
        <v>513</v>
      </c>
      <c r="B518" s="147" t="s">
        <v>514</v>
      </c>
      <c r="C518" s="146" t="s">
        <v>137</v>
      </c>
      <c r="D518" s="146" t="s">
        <v>138</v>
      </c>
      <c r="E518" s="146" t="s">
        <v>139</v>
      </c>
      <c r="F518" s="146" t="s">
        <v>140</v>
      </c>
      <c r="G518" s="148" t="s">
        <v>303</v>
      </c>
      <c r="H518" s="146">
        <v>0</v>
      </c>
      <c r="I518" s="146">
        <v>20</v>
      </c>
      <c r="J518" s="146" t="s">
        <v>505</v>
      </c>
      <c r="K518" s="146" t="s">
        <v>109</v>
      </c>
      <c r="L518" s="148" t="s">
        <v>3</v>
      </c>
      <c r="M518" s="146" t="s">
        <v>142</v>
      </c>
      <c r="N518" s="149">
        <v>1000</v>
      </c>
      <c r="O518" s="152">
        <f>SUMIF('GUDANG BESAR'!C:C,K:K,'GUDANG BESAR'!I:I)</f>
        <v>156750</v>
      </c>
      <c r="P518" s="153">
        <f>SUMIF('GUDANG BESAR'!C:C,K:K,'GUDANG BESAR'!K:K)</f>
        <v>173992.5</v>
      </c>
      <c r="Q518" s="150">
        <v>7.1999999999999995E-2</v>
      </c>
      <c r="R518" s="149">
        <v>0</v>
      </c>
      <c r="S518" s="149">
        <v>72</v>
      </c>
      <c r="T518" s="145">
        <f t="shared" ref="T518:T581" si="24">O518*Q518</f>
        <v>11286</v>
      </c>
      <c r="U518" s="145">
        <f t="shared" ref="U518:U581" si="25">P518*Q518</f>
        <v>12527.46</v>
      </c>
      <c r="V518" s="135" t="str">
        <f>VLOOKUP(K518,Sheet1!$B$5:$C$131,2,0)</f>
        <v>DYESTUFF</v>
      </c>
      <c r="W518" s="181">
        <f t="shared" ref="W518:W581" si="26">Q518/$W$5</f>
        <v>7.1999999999999988E-5</v>
      </c>
    </row>
    <row r="519" spans="1:23" s="139" customFormat="1">
      <c r="A519" s="146" t="s">
        <v>513</v>
      </c>
      <c r="B519" s="147" t="s">
        <v>514</v>
      </c>
      <c r="C519" s="146" t="s">
        <v>137</v>
      </c>
      <c r="D519" s="146" t="s">
        <v>138</v>
      </c>
      <c r="E519" s="146" t="s">
        <v>139</v>
      </c>
      <c r="F519" s="146" t="s">
        <v>140</v>
      </c>
      <c r="G519" s="148" t="s">
        <v>303</v>
      </c>
      <c r="H519" s="146">
        <v>0</v>
      </c>
      <c r="I519" s="146">
        <v>18</v>
      </c>
      <c r="J519" s="146" t="s">
        <v>506</v>
      </c>
      <c r="K519" s="146" t="s">
        <v>110</v>
      </c>
      <c r="L519" s="148" t="s">
        <v>3</v>
      </c>
      <c r="M519" s="146" t="s">
        <v>142</v>
      </c>
      <c r="N519" s="149">
        <v>1000</v>
      </c>
      <c r="O519" s="152">
        <f>SUMIF('GUDANG BESAR'!C:C,K:K,'GUDANG BESAR'!I:I)</f>
        <v>138978</v>
      </c>
      <c r="P519" s="153">
        <f>SUMIF('GUDANG BESAR'!C:C,K:K,'GUDANG BESAR'!K:K)</f>
        <v>154265.57999999999</v>
      </c>
      <c r="Q519" s="150">
        <v>0.23899999999999999</v>
      </c>
      <c r="R519" s="149">
        <v>0</v>
      </c>
      <c r="S519" s="149">
        <v>239</v>
      </c>
      <c r="T519" s="145">
        <f t="shared" si="24"/>
        <v>33215.741999999998</v>
      </c>
      <c r="U519" s="145">
        <f t="shared" si="25"/>
        <v>36869.473619999997</v>
      </c>
      <c r="V519" s="135" t="str">
        <f>VLOOKUP(K519,Sheet1!$B$5:$C$131,2,0)</f>
        <v>DYESTUFF</v>
      </c>
      <c r="W519" s="181">
        <f t="shared" si="26"/>
        <v>2.3899999999999998E-4</v>
      </c>
    </row>
    <row r="520" spans="1:23" s="139" customFormat="1">
      <c r="A520" s="146" t="s">
        <v>513</v>
      </c>
      <c r="B520" s="147" t="s">
        <v>514</v>
      </c>
      <c r="C520" s="146" t="s">
        <v>137</v>
      </c>
      <c r="D520" s="146" t="s">
        <v>138</v>
      </c>
      <c r="E520" s="146" t="s">
        <v>139</v>
      </c>
      <c r="F520" s="146" t="s">
        <v>140</v>
      </c>
      <c r="G520" s="148" t="s">
        <v>303</v>
      </c>
      <c r="H520" s="146">
        <v>0</v>
      </c>
      <c r="I520" s="146">
        <v>19</v>
      </c>
      <c r="J520" s="146" t="s">
        <v>507</v>
      </c>
      <c r="K520" s="146" t="s">
        <v>113</v>
      </c>
      <c r="L520" s="148" t="s">
        <v>3</v>
      </c>
      <c r="M520" s="146" t="s">
        <v>142</v>
      </c>
      <c r="N520" s="149">
        <v>1000</v>
      </c>
      <c r="O520" s="152">
        <f>SUMIF('GUDANG BESAR'!C:C,K:K,'GUDANG BESAR'!I:I)</f>
        <v>57050</v>
      </c>
      <c r="P520" s="153">
        <f>SUMIF('GUDANG BESAR'!C:C,K:K,'GUDANG BESAR'!K:K)</f>
        <v>63325.5</v>
      </c>
      <c r="Q520" s="150">
        <v>3.5449999999999999</v>
      </c>
      <c r="R520" s="149">
        <v>3</v>
      </c>
      <c r="S520" s="149">
        <v>545</v>
      </c>
      <c r="T520" s="145">
        <f t="shared" si="24"/>
        <v>202242.25</v>
      </c>
      <c r="U520" s="145">
        <f t="shared" si="25"/>
        <v>224488.89749999999</v>
      </c>
      <c r="V520" s="135" t="str">
        <f>VLOOKUP(K520,Sheet1!$B$5:$C$131,2,0)</f>
        <v>DYESTUFF</v>
      </c>
      <c r="W520" s="181">
        <f t="shared" si="26"/>
        <v>3.545E-3</v>
      </c>
    </row>
    <row r="521" spans="1:23" s="139" customFormat="1">
      <c r="A521" s="146" t="s">
        <v>513</v>
      </c>
      <c r="B521" s="147" t="s">
        <v>514</v>
      </c>
      <c r="C521" s="146" t="s">
        <v>137</v>
      </c>
      <c r="D521" s="146" t="s">
        <v>138</v>
      </c>
      <c r="E521" s="146" t="s">
        <v>139</v>
      </c>
      <c r="F521" s="146" t="s">
        <v>140</v>
      </c>
      <c r="G521" s="148" t="s">
        <v>300</v>
      </c>
      <c r="H521" s="146">
        <v>0</v>
      </c>
      <c r="I521" s="146">
        <v>3</v>
      </c>
      <c r="J521" s="146" t="s">
        <v>150</v>
      </c>
      <c r="K521" s="146" t="s">
        <v>32</v>
      </c>
      <c r="L521" s="148" t="s">
        <v>3</v>
      </c>
      <c r="M521" s="146" t="s">
        <v>142</v>
      </c>
      <c r="N521" s="149">
        <v>1000</v>
      </c>
      <c r="O521" s="152">
        <f>SUMIF('GUDANG BESAR'!C:C,K:K,'GUDANG BESAR'!I:I)</f>
        <v>15500</v>
      </c>
      <c r="P521" s="153">
        <f>SUMIF('GUDANG BESAR'!C:C,K:K,'GUDANG BESAR'!K:K)</f>
        <v>17205</v>
      </c>
      <c r="Q521" s="150">
        <v>2</v>
      </c>
      <c r="R521" s="149">
        <v>2</v>
      </c>
      <c r="S521" s="149">
        <v>0</v>
      </c>
      <c r="T521" s="145">
        <f t="shared" si="24"/>
        <v>31000</v>
      </c>
      <c r="U521" s="145">
        <f t="shared" si="25"/>
        <v>34410</v>
      </c>
      <c r="V521" s="135" t="str">
        <f>VLOOKUP(K521,Sheet1!$B$5:$C$131,2,0)</f>
        <v>CK</v>
      </c>
      <c r="W521" s="181">
        <f t="shared" si="26"/>
        <v>2E-3</v>
      </c>
    </row>
    <row r="522" spans="1:23" s="139" customFormat="1">
      <c r="A522" s="146" t="s">
        <v>513</v>
      </c>
      <c r="B522" s="147" t="s">
        <v>514</v>
      </c>
      <c r="C522" s="146" t="s">
        <v>137</v>
      </c>
      <c r="D522" s="146" t="s">
        <v>138</v>
      </c>
      <c r="E522" s="146" t="s">
        <v>139</v>
      </c>
      <c r="F522" s="146" t="s">
        <v>153</v>
      </c>
      <c r="G522" s="148" t="s">
        <v>301</v>
      </c>
      <c r="H522" s="146">
        <v>0</v>
      </c>
      <c r="I522" s="146">
        <v>24</v>
      </c>
      <c r="J522" s="146" t="s">
        <v>317</v>
      </c>
      <c r="K522" s="146" t="s">
        <v>17</v>
      </c>
      <c r="L522" s="148" t="s">
        <v>3</v>
      </c>
      <c r="M522" s="146" t="s">
        <v>142</v>
      </c>
      <c r="N522" s="149">
        <v>1000</v>
      </c>
      <c r="O522" s="152">
        <f>SUMIF('GUDANG BESAR'!C:C,K:K,'GUDANG BESAR'!I:I)</f>
        <v>25269.5</v>
      </c>
      <c r="P522" s="153">
        <f>SUMIF('GUDANG BESAR'!C:C,K:K,'GUDANG BESAR'!K:K)</f>
        <v>28049.145</v>
      </c>
      <c r="Q522" s="150">
        <v>40</v>
      </c>
      <c r="R522" s="149">
        <v>40</v>
      </c>
      <c r="S522" s="149">
        <v>0</v>
      </c>
      <c r="T522" s="145">
        <f t="shared" si="24"/>
        <v>1010780</v>
      </c>
      <c r="U522" s="145">
        <f t="shared" si="25"/>
        <v>1121965.8</v>
      </c>
      <c r="V522" s="135" t="str">
        <f>VLOOKUP(K522,Sheet1!$B$5:$C$131,2,0)</f>
        <v>DYEING</v>
      </c>
      <c r="W522" s="181">
        <f t="shared" si="26"/>
        <v>0.04</v>
      </c>
    </row>
    <row r="523" spans="1:23" s="139" customFormat="1">
      <c r="A523" s="146" t="s">
        <v>513</v>
      </c>
      <c r="B523" s="147" t="s">
        <v>514</v>
      </c>
      <c r="C523" s="146" t="s">
        <v>137</v>
      </c>
      <c r="D523" s="146" t="s">
        <v>138</v>
      </c>
      <c r="E523" s="146" t="s">
        <v>139</v>
      </c>
      <c r="F523" s="146" t="s">
        <v>153</v>
      </c>
      <c r="G523" s="148" t="s">
        <v>301</v>
      </c>
      <c r="H523" s="146">
        <v>0</v>
      </c>
      <c r="I523" s="146">
        <v>25</v>
      </c>
      <c r="J523" s="146" t="s">
        <v>251</v>
      </c>
      <c r="K523" s="146" t="s">
        <v>249</v>
      </c>
      <c r="L523" s="148" t="s">
        <v>3</v>
      </c>
      <c r="M523" s="146" t="s">
        <v>142</v>
      </c>
      <c r="N523" s="149">
        <v>1000</v>
      </c>
      <c r="O523" s="152">
        <f>SUMIF('GUDANG BESAR'!C:C,K:K,'GUDANG BESAR'!I:I)</f>
        <v>9119.6</v>
      </c>
      <c r="P523" s="153">
        <f>SUMIF('GUDANG BESAR'!C:C,K:K,'GUDANG BESAR'!K:K)</f>
        <v>10122.756000000001</v>
      </c>
      <c r="Q523" s="150">
        <v>25</v>
      </c>
      <c r="R523" s="149">
        <v>25</v>
      </c>
      <c r="S523" s="149">
        <v>0</v>
      </c>
      <c r="T523" s="145">
        <f t="shared" si="24"/>
        <v>227990</v>
      </c>
      <c r="U523" s="145">
        <f t="shared" si="25"/>
        <v>253068.90000000002</v>
      </c>
      <c r="V523" s="135" t="str">
        <f>VLOOKUP(K523,Sheet1!$B$5:$C$131,2,0)</f>
        <v>DYEING</v>
      </c>
      <c r="W523" s="181">
        <f t="shared" si="26"/>
        <v>2.5000000000000001E-2</v>
      </c>
    </row>
    <row r="524" spans="1:23" s="139" customFormat="1">
      <c r="A524" s="146" t="s">
        <v>513</v>
      </c>
      <c r="B524" s="147" t="s">
        <v>514</v>
      </c>
      <c r="C524" s="146" t="s">
        <v>137</v>
      </c>
      <c r="D524" s="146" t="s">
        <v>138</v>
      </c>
      <c r="E524" s="146" t="s">
        <v>139</v>
      </c>
      <c r="F524" s="146" t="s">
        <v>153</v>
      </c>
      <c r="G524" s="148" t="s">
        <v>301</v>
      </c>
      <c r="H524" s="146">
        <v>0</v>
      </c>
      <c r="I524" s="146">
        <v>26</v>
      </c>
      <c r="J524" s="146" t="s">
        <v>168</v>
      </c>
      <c r="K524" s="146" t="s">
        <v>34</v>
      </c>
      <c r="L524" s="148" t="s">
        <v>3</v>
      </c>
      <c r="M524" s="146" t="s">
        <v>142</v>
      </c>
      <c r="N524" s="149">
        <v>1000</v>
      </c>
      <c r="O524" s="152">
        <f>SUMIF('GUDANG BESAR'!C:C,K:K,'GUDANG BESAR'!I:I)</f>
        <v>68397</v>
      </c>
      <c r="P524" s="153">
        <f>SUMIF('GUDANG BESAR'!C:C,K:K,'GUDANG BESAR'!K:K)</f>
        <v>75920.67</v>
      </c>
      <c r="Q524" s="150">
        <v>5.6</v>
      </c>
      <c r="R524" s="149">
        <v>5</v>
      </c>
      <c r="S524" s="149">
        <v>600</v>
      </c>
      <c r="T524" s="145">
        <f t="shared" si="24"/>
        <v>383023.19999999995</v>
      </c>
      <c r="U524" s="145">
        <f t="shared" si="25"/>
        <v>425155.75199999998</v>
      </c>
      <c r="V524" s="135" t="str">
        <f>VLOOKUP(K524,Sheet1!$B$5:$C$131,2,0)</f>
        <v>DYEING</v>
      </c>
      <c r="W524" s="181">
        <f t="shared" si="26"/>
        <v>5.5999999999999999E-3</v>
      </c>
    </row>
    <row r="525" spans="1:23" s="139" customFormat="1">
      <c r="A525" s="146" t="s">
        <v>513</v>
      </c>
      <c r="B525" s="147" t="s">
        <v>514</v>
      </c>
      <c r="C525" s="146" t="s">
        <v>137</v>
      </c>
      <c r="D525" s="146" t="s">
        <v>138</v>
      </c>
      <c r="E525" s="146" t="s">
        <v>139</v>
      </c>
      <c r="F525" s="146" t="s">
        <v>162</v>
      </c>
      <c r="G525" s="148" t="s">
        <v>214</v>
      </c>
      <c r="H525" s="146">
        <v>0</v>
      </c>
      <c r="I525" s="146">
        <v>42</v>
      </c>
      <c r="J525" s="146" t="s">
        <v>165</v>
      </c>
      <c r="K525" s="146" t="s">
        <v>80</v>
      </c>
      <c r="L525" s="148" t="s">
        <v>3</v>
      </c>
      <c r="M525" s="146" t="s">
        <v>142</v>
      </c>
      <c r="N525" s="149">
        <v>1000</v>
      </c>
      <c r="O525" s="152">
        <f>SUMIF('GUDANG BESAR'!C:C,K:K,'GUDANG BESAR'!I:I)</f>
        <v>1550000</v>
      </c>
      <c r="P525" s="153">
        <f>SUMIF('GUDANG BESAR'!C:C,K:K,'GUDANG BESAR'!K:K)</f>
        <v>1720500</v>
      </c>
      <c r="Q525" s="150">
        <v>0.05</v>
      </c>
      <c r="R525" s="149">
        <v>0</v>
      </c>
      <c r="S525" s="149">
        <v>50</v>
      </c>
      <c r="T525" s="145">
        <f t="shared" si="24"/>
        <v>77500</v>
      </c>
      <c r="U525" s="145">
        <f t="shared" si="25"/>
        <v>86025</v>
      </c>
      <c r="V525" s="135" t="str">
        <f>VLOOKUP(K525,Sheet1!$B$5:$C$131,2,0)</f>
        <v>LIMBAH</v>
      </c>
      <c r="W525" s="181">
        <f t="shared" si="26"/>
        <v>5.0000000000000002E-5</v>
      </c>
    </row>
    <row r="526" spans="1:23" s="139" customFormat="1">
      <c r="A526" s="146" t="s">
        <v>513</v>
      </c>
      <c r="B526" s="147" t="s">
        <v>514</v>
      </c>
      <c r="C526" s="146" t="s">
        <v>137</v>
      </c>
      <c r="D526" s="146" t="s">
        <v>138</v>
      </c>
      <c r="E526" s="146" t="s">
        <v>139</v>
      </c>
      <c r="F526" s="146" t="s">
        <v>162</v>
      </c>
      <c r="G526" s="148" t="s">
        <v>214</v>
      </c>
      <c r="H526" s="146">
        <v>0</v>
      </c>
      <c r="I526" s="146">
        <v>41</v>
      </c>
      <c r="J526" s="146" t="s">
        <v>164</v>
      </c>
      <c r="K526" s="146" t="s">
        <v>74</v>
      </c>
      <c r="L526" s="148" t="s">
        <v>5</v>
      </c>
      <c r="M526" s="146" t="s">
        <v>142</v>
      </c>
      <c r="N526" s="149">
        <v>1000</v>
      </c>
      <c r="O526" s="152">
        <f>SUMIF('GUDANG BESAR'!C:C,K:K,'GUDANG BESAR'!I:I)</f>
        <v>13180</v>
      </c>
      <c r="P526" s="153">
        <f>SUMIF('GUDANG BESAR'!C:C,K:K,'GUDANG BESAR'!K:K)</f>
        <v>14629.8</v>
      </c>
      <c r="Q526" s="150">
        <v>15</v>
      </c>
      <c r="R526" s="149">
        <v>15</v>
      </c>
      <c r="S526" s="149">
        <v>0</v>
      </c>
      <c r="T526" s="145">
        <f t="shared" si="24"/>
        <v>197700</v>
      </c>
      <c r="U526" s="145">
        <f t="shared" si="25"/>
        <v>219447</v>
      </c>
      <c r="V526" s="135" t="str">
        <f>VLOOKUP(K526,Sheet1!$B$5:$C$131,2,0)</f>
        <v>LIMBAH</v>
      </c>
      <c r="W526" s="181">
        <f t="shared" si="26"/>
        <v>1.4999999999999999E-2</v>
      </c>
    </row>
    <row r="527" spans="1:23" s="139" customFormat="1">
      <c r="A527" s="146" t="s">
        <v>513</v>
      </c>
      <c r="B527" s="147" t="s">
        <v>514</v>
      </c>
      <c r="C527" s="146" t="s">
        <v>137</v>
      </c>
      <c r="D527" s="146" t="s">
        <v>138</v>
      </c>
      <c r="E527" s="146" t="s">
        <v>139</v>
      </c>
      <c r="F527" s="146" t="s">
        <v>140</v>
      </c>
      <c r="G527" s="148" t="s">
        <v>300</v>
      </c>
      <c r="H527" s="146">
        <v>0</v>
      </c>
      <c r="I527" s="146">
        <v>4</v>
      </c>
      <c r="J527" s="146" t="s">
        <v>152</v>
      </c>
      <c r="K527" s="146" t="s">
        <v>57</v>
      </c>
      <c r="L527" s="148" t="s">
        <v>3</v>
      </c>
      <c r="M527" s="146" t="s">
        <v>142</v>
      </c>
      <c r="N527" s="149">
        <v>1000</v>
      </c>
      <c r="O527" s="152">
        <f>SUMIF('GUDANG BESAR'!C:C,K:K,'GUDANG BESAR'!I:I)</f>
        <v>21870</v>
      </c>
      <c r="P527" s="153">
        <f>SUMIF('GUDANG BESAR'!C:C,K:K,'GUDANG BESAR'!K:K)</f>
        <v>24275.7</v>
      </c>
      <c r="Q527" s="150">
        <v>50</v>
      </c>
      <c r="R527" s="149">
        <v>50</v>
      </c>
      <c r="S527" s="149">
        <v>0</v>
      </c>
      <c r="T527" s="145">
        <f t="shared" si="24"/>
        <v>1093500</v>
      </c>
      <c r="U527" s="145">
        <f t="shared" si="25"/>
        <v>1213785</v>
      </c>
      <c r="V527" s="135" t="str">
        <f>VLOOKUP(K527,Sheet1!$B$5:$C$131,2,0)</f>
        <v>CK</v>
      </c>
      <c r="W527" s="181">
        <f t="shared" si="26"/>
        <v>0.05</v>
      </c>
    </row>
    <row r="528" spans="1:23" s="139" customFormat="1">
      <c r="A528" s="146" t="s">
        <v>513</v>
      </c>
      <c r="B528" s="147" t="s">
        <v>514</v>
      </c>
      <c r="C528" s="146" t="s">
        <v>137</v>
      </c>
      <c r="D528" s="146" t="s">
        <v>138</v>
      </c>
      <c r="E528" s="146" t="s">
        <v>139</v>
      </c>
      <c r="F528" s="146" t="s">
        <v>162</v>
      </c>
      <c r="G528" s="148" t="s">
        <v>214</v>
      </c>
      <c r="H528" s="146">
        <v>0</v>
      </c>
      <c r="I528" s="146">
        <v>37</v>
      </c>
      <c r="J528" s="146" t="s">
        <v>262</v>
      </c>
      <c r="K528" s="146" t="s">
        <v>258</v>
      </c>
      <c r="L528" s="148" t="s">
        <v>3</v>
      </c>
      <c r="M528" s="146" t="s">
        <v>142</v>
      </c>
      <c r="N528" s="149">
        <v>1000</v>
      </c>
      <c r="O528" s="152">
        <f>SUMIF('GUDANG BESAR'!C:C,K:K,'GUDANG BESAR'!I:I)</f>
        <v>33000</v>
      </c>
      <c r="P528" s="153">
        <f>SUMIF('GUDANG BESAR'!C:C,K:K,'GUDANG BESAR'!K:K)</f>
        <v>36630</v>
      </c>
      <c r="Q528" s="150">
        <v>7</v>
      </c>
      <c r="R528" s="149">
        <v>7</v>
      </c>
      <c r="S528" s="149">
        <v>0</v>
      </c>
      <c r="T528" s="145">
        <f t="shared" si="24"/>
        <v>231000</v>
      </c>
      <c r="U528" s="145">
        <f t="shared" si="25"/>
        <v>256410</v>
      </c>
      <c r="V528" s="135" t="str">
        <f>VLOOKUP(K528,Sheet1!$B$5:$C$131,2,0)</f>
        <v>LIMBAH</v>
      </c>
      <c r="W528" s="181">
        <f t="shared" si="26"/>
        <v>7.0000000000000001E-3</v>
      </c>
    </row>
    <row r="529" spans="1:23" s="139" customFormat="1">
      <c r="A529" s="146" t="s">
        <v>513</v>
      </c>
      <c r="B529" s="147" t="s">
        <v>514</v>
      </c>
      <c r="C529" s="146" t="s">
        <v>137</v>
      </c>
      <c r="D529" s="146" t="s">
        <v>138</v>
      </c>
      <c r="E529" s="146" t="s">
        <v>139</v>
      </c>
      <c r="F529" s="146" t="s">
        <v>162</v>
      </c>
      <c r="G529" s="148" t="s">
        <v>214</v>
      </c>
      <c r="H529" s="146">
        <v>0</v>
      </c>
      <c r="I529" s="146">
        <v>38</v>
      </c>
      <c r="J529" s="146" t="s">
        <v>263</v>
      </c>
      <c r="K529" s="146" t="s">
        <v>259</v>
      </c>
      <c r="L529" s="148" t="s">
        <v>3</v>
      </c>
      <c r="M529" s="146" t="s">
        <v>142</v>
      </c>
      <c r="N529" s="149">
        <v>1000</v>
      </c>
      <c r="O529" s="152">
        <f>SUMIF('GUDANG BESAR'!C:C,K:K,'GUDANG BESAR'!I:I)</f>
        <v>47500</v>
      </c>
      <c r="P529" s="153">
        <f>SUMIF('GUDANG BESAR'!C:C,K:K,'GUDANG BESAR'!K:K)</f>
        <v>52725</v>
      </c>
      <c r="Q529" s="150">
        <v>15</v>
      </c>
      <c r="R529" s="149">
        <v>15</v>
      </c>
      <c r="S529" s="149">
        <v>0</v>
      </c>
      <c r="T529" s="145">
        <f t="shared" si="24"/>
        <v>712500</v>
      </c>
      <c r="U529" s="145">
        <f t="shared" si="25"/>
        <v>790875</v>
      </c>
      <c r="V529" s="135" t="str">
        <f>VLOOKUP(K529,Sheet1!$B$5:$C$131,2,0)</f>
        <v>LIMBAH</v>
      </c>
      <c r="W529" s="181">
        <f t="shared" si="26"/>
        <v>1.4999999999999999E-2</v>
      </c>
    </row>
    <row r="530" spans="1:23" s="139" customFormat="1">
      <c r="A530" s="146" t="s">
        <v>513</v>
      </c>
      <c r="B530" s="147" t="s">
        <v>514</v>
      </c>
      <c r="C530" s="146" t="s">
        <v>137</v>
      </c>
      <c r="D530" s="146" t="s">
        <v>138</v>
      </c>
      <c r="E530" s="146" t="s">
        <v>139</v>
      </c>
      <c r="F530" s="146" t="s">
        <v>153</v>
      </c>
      <c r="G530" s="148" t="s">
        <v>301</v>
      </c>
      <c r="H530" s="146">
        <v>0</v>
      </c>
      <c r="I530" s="146">
        <v>34</v>
      </c>
      <c r="J530" s="146" t="s">
        <v>247</v>
      </c>
      <c r="K530" s="146" t="s">
        <v>79</v>
      </c>
      <c r="L530" s="148" t="s">
        <v>3</v>
      </c>
      <c r="M530" s="146" t="s">
        <v>142</v>
      </c>
      <c r="N530" s="149">
        <v>1000</v>
      </c>
      <c r="O530" s="152">
        <f>SUMIF('GUDANG BESAR'!C:C,K:K,'GUDANG BESAR'!I:I)</f>
        <v>21203</v>
      </c>
      <c r="P530" s="153">
        <f>SUMIF('GUDANG BESAR'!C:C,K:K,'GUDANG BESAR'!K:K)</f>
        <v>23535.33</v>
      </c>
      <c r="Q530" s="150">
        <v>8</v>
      </c>
      <c r="R530" s="149">
        <v>8</v>
      </c>
      <c r="S530" s="149">
        <v>0</v>
      </c>
      <c r="T530" s="145">
        <f t="shared" si="24"/>
        <v>169624</v>
      </c>
      <c r="U530" s="145">
        <f t="shared" si="25"/>
        <v>188282.64</v>
      </c>
      <c r="V530" s="135" t="str">
        <f>VLOOKUP(K530,Sheet1!$B$5:$C$131,2,0)</f>
        <v>DYEING</v>
      </c>
      <c r="W530" s="181">
        <f t="shared" si="26"/>
        <v>8.0000000000000002E-3</v>
      </c>
    </row>
    <row r="531" spans="1:23" s="139" customFormat="1">
      <c r="A531" s="146" t="s">
        <v>515</v>
      </c>
      <c r="B531" s="147" t="s">
        <v>516</v>
      </c>
      <c r="C531" s="146" t="s">
        <v>137</v>
      </c>
      <c r="D531" s="146" t="s">
        <v>138</v>
      </c>
      <c r="E531" s="146" t="s">
        <v>139</v>
      </c>
      <c r="F531" s="146" t="s">
        <v>153</v>
      </c>
      <c r="G531" s="148" t="s">
        <v>299</v>
      </c>
      <c r="H531" s="146">
        <v>0</v>
      </c>
      <c r="I531" s="146">
        <v>23</v>
      </c>
      <c r="J531" s="146" t="s">
        <v>154</v>
      </c>
      <c r="K531" s="146" t="s">
        <v>23</v>
      </c>
      <c r="L531" s="148" t="s">
        <v>3</v>
      </c>
      <c r="M531" s="146" t="s">
        <v>142</v>
      </c>
      <c r="N531" s="149">
        <v>1000</v>
      </c>
      <c r="O531" s="152">
        <f>SUMIF('GUDANG BESAR'!C:C,K:K,'GUDANG BESAR'!I:I)</f>
        <v>28844</v>
      </c>
      <c r="P531" s="153">
        <f>SUMIF('GUDANG BESAR'!C:C,K:K,'GUDANG BESAR'!K:K)</f>
        <v>32016.84</v>
      </c>
      <c r="Q531" s="150">
        <v>250</v>
      </c>
      <c r="R531" s="149">
        <v>250</v>
      </c>
      <c r="S531" s="149">
        <v>0</v>
      </c>
      <c r="T531" s="145">
        <f t="shared" si="24"/>
        <v>7211000</v>
      </c>
      <c r="U531" s="145">
        <f t="shared" si="25"/>
        <v>8004210</v>
      </c>
      <c r="V531" s="135" t="str">
        <f>VLOOKUP(K531,Sheet1!$B$5:$C$131,2,0)</f>
        <v>RC</v>
      </c>
      <c r="W531" s="181">
        <f t="shared" si="26"/>
        <v>0.25</v>
      </c>
    </row>
    <row r="532" spans="1:23" s="139" customFormat="1">
      <c r="A532" s="146" t="s">
        <v>515</v>
      </c>
      <c r="B532" s="147" t="s">
        <v>516</v>
      </c>
      <c r="C532" s="146" t="s">
        <v>137</v>
      </c>
      <c r="D532" s="146" t="s">
        <v>138</v>
      </c>
      <c r="E532" s="146" t="s">
        <v>139</v>
      </c>
      <c r="F532" s="146" t="s">
        <v>162</v>
      </c>
      <c r="G532" s="148" t="s">
        <v>214</v>
      </c>
      <c r="H532" s="146">
        <v>0</v>
      </c>
      <c r="I532" s="146">
        <v>32</v>
      </c>
      <c r="J532" s="146" t="s">
        <v>240</v>
      </c>
      <c r="K532" s="146" t="s">
        <v>237</v>
      </c>
      <c r="L532" s="148" t="s">
        <v>3</v>
      </c>
      <c r="M532" s="146" t="s">
        <v>142</v>
      </c>
      <c r="N532" s="149">
        <v>1000</v>
      </c>
      <c r="O532" s="152">
        <f>SUMIF('GUDANG BESAR'!C:C,K:K,'GUDANG BESAR'!I:I)</f>
        <v>14750</v>
      </c>
      <c r="P532" s="153">
        <f>SUMIF('GUDANG BESAR'!C:C,K:K,'GUDANG BESAR'!K:K)</f>
        <v>16372.5</v>
      </c>
      <c r="Q532" s="150">
        <v>25</v>
      </c>
      <c r="R532" s="149">
        <v>25</v>
      </c>
      <c r="S532" s="149">
        <v>0</v>
      </c>
      <c r="T532" s="145">
        <f t="shared" si="24"/>
        <v>368750</v>
      </c>
      <c r="U532" s="145">
        <f t="shared" si="25"/>
        <v>409312.5</v>
      </c>
      <c r="V532" s="135" t="str">
        <f>VLOOKUP(K532,Sheet1!$B$5:$C$131,2,0)</f>
        <v>LIMBAH</v>
      </c>
      <c r="W532" s="181">
        <f t="shared" si="26"/>
        <v>2.5000000000000001E-2</v>
      </c>
    </row>
    <row r="533" spans="1:23" s="139" customFormat="1">
      <c r="A533" s="146" t="s">
        <v>515</v>
      </c>
      <c r="B533" s="147" t="s">
        <v>516</v>
      </c>
      <c r="C533" s="146" t="s">
        <v>137</v>
      </c>
      <c r="D533" s="146" t="s">
        <v>138</v>
      </c>
      <c r="E533" s="146" t="s">
        <v>139</v>
      </c>
      <c r="F533" s="146" t="s">
        <v>153</v>
      </c>
      <c r="G533" s="148" t="s">
        <v>299</v>
      </c>
      <c r="H533" s="146">
        <v>0</v>
      </c>
      <c r="I533" s="146">
        <v>24</v>
      </c>
      <c r="J533" s="146" t="s">
        <v>155</v>
      </c>
      <c r="K533" s="146" t="s">
        <v>33</v>
      </c>
      <c r="L533" s="148" t="s">
        <v>3</v>
      </c>
      <c r="M533" s="146" t="s">
        <v>142</v>
      </c>
      <c r="N533" s="149">
        <v>1000</v>
      </c>
      <c r="O533" s="152">
        <f>SUMIF('GUDANG BESAR'!C:C,K:K,'GUDANG BESAR'!I:I)</f>
        <v>11087.5</v>
      </c>
      <c r="P533" s="153">
        <f>SUMIF('GUDANG BESAR'!C:C,K:K,'GUDANG BESAR'!K:K)</f>
        <v>12307.125</v>
      </c>
      <c r="Q533" s="150">
        <v>300</v>
      </c>
      <c r="R533" s="149">
        <v>300</v>
      </c>
      <c r="S533" s="149">
        <v>0</v>
      </c>
      <c r="T533" s="145">
        <f t="shared" si="24"/>
        <v>3326250</v>
      </c>
      <c r="U533" s="145">
        <f t="shared" si="25"/>
        <v>3692137.5</v>
      </c>
      <c r="V533" s="135" t="str">
        <f>VLOOKUP(K533,Sheet1!$B$5:$C$131,2,0)</f>
        <v>RC</v>
      </c>
      <c r="W533" s="181">
        <f t="shared" si="26"/>
        <v>0.3</v>
      </c>
    </row>
    <row r="534" spans="1:23" s="139" customFormat="1">
      <c r="A534" s="146" t="s">
        <v>515</v>
      </c>
      <c r="B534" s="147" t="s">
        <v>516</v>
      </c>
      <c r="C534" s="146" t="s">
        <v>137</v>
      </c>
      <c r="D534" s="146" t="s">
        <v>138</v>
      </c>
      <c r="E534" s="146" t="s">
        <v>139</v>
      </c>
      <c r="F534" s="146" t="s">
        <v>140</v>
      </c>
      <c r="G534" s="148" t="s">
        <v>303</v>
      </c>
      <c r="H534" s="146">
        <v>0</v>
      </c>
      <c r="I534" s="146">
        <v>1</v>
      </c>
      <c r="J534" s="146" t="s">
        <v>141</v>
      </c>
      <c r="K534" s="146" t="s">
        <v>37</v>
      </c>
      <c r="L534" s="148" t="s">
        <v>3</v>
      </c>
      <c r="M534" s="146" t="s">
        <v>142</v>
      </c>
      <c r="N534" s="149">
        <v>1000</v>
      </c>
      <c r="O534" s="152">
        <f>SUMIF('GUDANG BESAR'!C:C,K:K,'GUDANG BESAR'!I:I)</f>
        <v>51276</v>
      </c>
      <c r="P534" s="153">
        <f>SUMIF('GUDANG BESAR'!C:C,K:K,'GUDANG BESAR'!K:K)</f>
        <v>56916.36</v>
      </c>
      <c r="Q534" s="150">
        <v>18.66</v>
      </c>
      <c r="R534" s="149">
        <v>18</v>
      </c>
      <c r="S534" s="149">
        <v>660</v>
      </c>
      <c r="T534" s="145">
        <f t="shared" si="24"/>
        <v>956810.16</v>
      </c>
      <c r="U534" s="145">
        <f t="shared" si="25"/>
        <v>1062059.2775999999</v>
      </c>
      <c r="V534" s="135" t="str">
        <f>VLOOKUP(K534,Sheet1!$B$5:$C$131,2,0)</f>
        <v>DYESTUFF</v>
      </c>
      <c r="W534" s="181">
        <f t="shared" si="26"/>
        <v>1.866E-2</v>
      </c>
    </row>
    <row r="535" spans="1:23" s="139" customFormat="1">
      <c r="A535" s="146" t="s">
        <v>515</v>
      </c>
      <c r="B535" s="147" t="s">
        <v>516</v>
      </c>
      <c r="C535" s="146" t="s">
        <v>137</v>
      </c>
      <c r="D535" s="146" t="s">
        <v>138</v>
      </c>
      <c r="E535" s="146" t="s">
        <v>139</v>
      </c>
      <c r="F535" s="146" t="s">
        <v>140</v>
      </c>
      <c r="G535" s="148" t="s">
        <v>303</v>
      </c>
      <c r="H535" s="146">
        <v>0</v>
      </c>
      <c r="I535" s="146">
        <v>4</v>
      </c>
      <c r="J535" s="146" t="s">
        <v>143</v>
      </c>
      <c r="K535" s="146" t="s">
        <v>90</v>
      </c>
      <c r="L535" s="148" t="s">
        <v>3</v>
      </c>
      <c r="M535" s="146" t="s">
        <v>142</v>
      </c>
      <c r="N535" s="149">
        <v>1000</v>
      </c>
      <c r="O535" s="152">
        <f>SUMIF('GUDANG BESAR'!C:C,K:K,'GUDANG BESAR'!I:I)</f>
        <v>194556</v>
      </c>
      <c r="P535" s="153">
        <f>SUMIF('GUDANG BESAR'!C:C,K:K,'GUDANG BESAR'!K:K)</f>
        <v>215957.16</v>
      </c>
      <c r="Q535" s="150">
        <v>0.747</v>
      </c>
      <c r="R535" s="149">
        <v>0</v>
      </c>
      <c r="S535" s="149">
        <v>747</v>
      </c>
      <c r="T535" s="145">
        <f t="shared" si="24"/>
        <v>145333.33199999999</v>
      </c>
      <c r="U535" s="145">
        <f t="shared" si="25"/>
        <v>161319.99851999999</v>
      </c>
      <c r="V535" s="135" t="str">
        <f>VLOOKUP(K535,Sheet1!$B$5:$C$131,2,0)</f>
        <v>DYESTUFF</v>
      </c>
      <c r="W535" s="181">
        <f t="shared" si="26"/>
        <v>7.4700000000000005E-4</v>
      </c>
    </row>
    <row r="536" spans="1:23" s="139" customFormat="1">
      <c r="A536" s="146" t="s">
        <v>515</v>
      </c>
      <c r="B536" s="147" t="s">
        <v>516</v>
      </c>
      <c r="C536" s="146" t="s">
        <v>137</v>
      </c>
      <c r="D536" s="146" t="s">
        <v>138</v>
      </c>
      <c r="E536" s="146" t="s">
        <v>139</v>
      </c>
      <c r="F536" s="146" t="s">
        <v>140</v>
      </c>
      <c r="G536" s="148" t="s">
        <v>303</v>
      </c>
      <c r="H536" s="146">
        <v>0</v>
      </c>
      <c r="I536" s="146">
        <v>2</v>
      </c>
      <c r="J536" s="146" t="s">
        <v>346</v>
      </c>
      <c r="K536" s="146" t="s">
        <v>343</v>
      </c>
      <c r="L536" s="148" t="s">
        <v>3</v>
      </c>
      <c r="M536" s="146" t="s">
        <v>142</v>
      </c>
      <c r="N536" s="149">
        <v>1000</v>
      </c>
      <c r="O536" s="152">
        <f>SUMIF('GUDANG BESAR'!C:C,K:K,'GUDANG BESAR'!I:I)</f>
        <v>60680</v>
      </c>
      <c r="P536" s="153">
        <f>SUMIF('GUDANG BESAR'!C:C,K:K,'GUDANG BESAR'!K:K)</f>
        <v>67354.8</v>
      </c>
      <c r="Q536" s="150">
        <v>28.347999999999999</v>
      </c>
      <c r="R536" s="149">
        <v>28</v>
      </c>
      <c r="S536" s="149">
        <v>348</v>
      </c>
      <c r="T536" s="145">
        <f t="shared" si="24"/>
        <v>1720156.64</v>
      </c>
      <c r="U536" s="145">
        <f t="shared" si="25"/>
        <v>1909373.8703999999</v>
      </c>
      <c r="V536" s="135" t="str">
        <f>VLOOKUP(K536,Sheet1!$B$5:$C$131,2,0)</f>
        <v>DYESTUFF</v>
      </c>
      <c r="W536" s="181">
        <f t="shared" si="26"/>
        <v>2.8347999999999998E-2</v>
      </c>
    </row>
    <row r="537" spans="1:23" s="139" customFormat="1">
      <c r="A537" s="146" t="s">
        <v>515</v>
      </c>
      <c r="B537" s="147" t="s">
        <v>516</v>
      </c>
      <c r="C537" s="146" t="s">
        <v>137</v>
      </c>
      <c r="D537" s="146" t="s">
        <v>138</v>
      </c>
      <c r="E537" s="146" t="s">
        <v>139</v>
      </c>
      <c r="F537" s="146" t="s">
        <v>140</v>
      </c>
      <c r="G537" s="148" t="s">
        <v>303</v>
      </c>
      <c r="H537" s="146">
        <v>0</v>
      </c>
      <c r="I537" s="146">
        <v>13</v>
      </c>
      <c r="J537" s="146" t="s">
        <v>151</v>
      </c>
      <c r="K537" s="146" t="s">
        <v>28</v>
      </c>
      <c r="L537" s="148" t="s">
        <v>3</v>
      </c>
      <c r="M537" s="146" t="s">
        <v>142</v>
      </c>
      <c r="N537" s="149">
        <v>1000</v>
      </c>
      <c r="O537" s="152">
        <f>SUMIF('GUDANG BESAR'!C:C,K:K,'GUDANG BESAR'!I:I)</f>
        <v>413967</v>
      </c>
      <c r="P537" s="153">
        <f>SUMIF('GUDANG BESAR'!C:C,K:K,'GUDANG BESAR'!K:K)</f>
        <v>459503.37</v>
      </c>
      <c r="Q537" s="150">
        <v>0.108</v>
      </c>
      <c r="R537" s="149">
        <v>0</v>
      </c>
      <c r="S537" s="149">
        <v>108</v>
      </c>
      <c r="T537" s="145">
        <f t="shared" si="24"/>
        <v>44708.436000000002</v>
      </c>
      <c r="U537" s="145">
        <f t="shared" si="25"/>
        <v>49626.363960000002</v>
      </c>
      <c r="V537" s="135" t="str">
        <f>VLOOKUP(K537,Sheet1!$B$5:$C$131,2,0)</f>
        <v>DYESTUFF</v>
      </c>
      <c r="W537" s="181">
        <f t="shared" si="26"/>
        <v>1.08E-4</v>
      </c>
    </row>
    <row r="538" spans="1:23" s="139" customFormat="1">
      <c r="A538" s="146" t="s">
        <v>515</v>
      </c>
      <c r="B538" s="147" t="s">
        <v>516</v>
      </c>
      <c r="C538" s="146" t="s">
        <v>137</v>
      </c>
      <c r="D538" s="146" t="s">
        <v>138</v>
      </c>
      <c r="E538" s="146" t="s">
        <v>139</v>
      </c>
      <c r="F538" s="146" t="s">
        <v>140</v>
      </c>
      <c r="G538" s="148" t="s">
        <v>303</v>
      </c>
      <c r="H538" s="146">
        <v>0</v>
      </c>
      <c r="I538" s="146">
        <v>3</v>
      </c>
      <c r="J538" s="146" t="s">
        <v>169</v>
      </c>
      <c r="K538" s="146" t="s">
        <v>64</v>
      </c>
      <c r="L538" s="148" t="s">
        <v>3</v>
      </c>
      <c r="M538" s="146" t="s">
        <v>142</v>
      </c>
      <c r="N538" s="149">
        <v>1000</v>
      </c>
      <c r="O538" s="152">
        <f>SUMIF('GUDANG BESAR'!C:C,K:K,'GUDANG BESAR'!I:I)</f>
        <v>506080</v>
      </c>
      <c r="P538" s="153">
        <f>SUMIF('GUDANG BESAR'!C:C,K:K,'GUDANG BESAR'!K:K)</f>
        <v>561748.80000000005</v>
      </c>
      <c r="Q538" s="150">
        <v>5.0999999999999997E-2</v>
      </c>
      <c r="R538" s="149">
        <v>0</v>
      </c>
      <c r="S538" s="149">
        <v>51</v>
      </c>
      <c r="T538" s="145">
        <f t="shared" si="24"/>
        <v>25810.079999999998</v>
      </c>
      <c r="U538" s="145">
        <f t="shared" si="25"/>
        <v>28649.1888</v>
      </c>
      <c r="V538" s="135" t="str">
        <f>VLOOKUP(K538,Sheet1!$B$5:$C$131,2,0)</f>
        <v>DYESTUFF</v>
      </c>
      <c r="W538" s="181">
        <f t="shared" si="26"/>
        <v>5.1E-5</v>
      </c>
    </row>
    <row r="539" spans="1:23" s="139" customFormat="1">
      <c r="A539" s="146" t="s">
        <v>515</v>
      </c>
      <c r="B539" s="147" t="s">
        <v>516</v>
      </c>
      <c r="C539" s="146" t="s">
        <v>137</v>
      </c>
      <c r="D539" s="146" t="s">
        <v>138</v>
      </c>
      <c r="E539" s="146" t="s">
        <v>139</v>
      </c>
      <c r="F539" s="146" t="s">
        <v>140</v>
      </c>
      <c r="G539" s="148" t="s">
        <v>303</v>
      </c>
      <c r="H539" s="146">
        <v>0</v>
      </c>
      <c r="I539" s="146">
        <v>5</v>
      </c>
      <c r="J539" s="146" t="s">
        <v>250</v>
      </c>
      <c r="K539" s="146" t="s">
        <v>38</v>
      </c>
      <c r="L539" s="148" t="s">
        <v>3</v>
      </c>
      <c r="M539" s="146" t="s">
        <v>142</v>
      </c>
      <c r="N539" s="149">
        <v>1000</v>
      </c>
      <c r="O539" s="152">
        <f>SUMIF('GUDANG BESAR'!C:C,K:K,'GUDANG BESAR'!I:I)</f>
        <v>366255</v>
      </c>
      <c r="P539" s="153">
        <f>SUMIF('GUDANG BESAR'!C:C,K:K,'GUDANG BESAR'!K:K)</f>
        <v>406543.05</v>
      </c>
      <c r="Q539" s="150">
        <v>2.2090000000000001</v>
      </c>
      <c r="R539" s="149">
        <v>2</v>
      </c>
      <c r="S539" s="149">
        <v>209</v>
      </c>
      <c r="T539" s="145">
        <f t="shared" si="24"/>
        <v>809057.29500000004</v>
      </c>
      <c r="U539" s="145">
        <f t="shared" si="25"/>
        <v>898053.59745</v>
      </c>
      <c r="V539" s="135" t="str">
        <f>VLOOKUP(K539,Sheet1!$B$5:$C$131,2,0)</f>
        <v>DYESTUFF</v>
      </c>
      <c r="W539" s="181">
        <f t="shared" si="26"/>
        <v>2.209E-3</v>
      </c>
    </row>
    <row r="540" spans="1:23" s="139" customFormat="1">
      <c r="A540" s="146" t="s">
        <v>515</v>
      </c>
      <c r="B540" s="147" t="s">
        <v>516</v>
      </c>
      <c r="C540" s="146" t="s">
        <v>137</v>
      </c>
      <c r="D540" s="146" t="s">
        <v>138</v>
      </c>
      <c r="E540" s="146" t="s">
        <v>139</v>
      </c>
      <c r="F540" s="146" t="s">
        <v>140</v>
      </c>
      <c r="G540" s="148" t="s">
        <v>303</v>
      </c>
      <c r="H540" s="146">
        <v>0</v>
      </c>
      <c r="I540" s="146">
        <v>6</v>
      </c>
      <c r="J540" s="146" t="s">
        <v>144</v>
      </c>
      <c r="K540" s="146" t="s">
        <v>26</v>
      </c>
      <c r="L540" s="148" t="s">
        <v>3</v>
      </c>
      <c r="M540" s="146" t="s">
        <v>142</v>
      </c>
      <c r="N540" s="149">
        <v>1000</v>
      </c>
      <c r="O540" s="152">
        <f>SUMIF('GUDANG BESAR'!C:C,K:K,'GUDANG BESAR'!I:I)</f>
        <v>52016</v>
      </c>
      <c r="P540" s="153">
        <f>SUMIF('GUDANG BESAR'!C:C,K:K,'GUDANG BESAR'!K:K)</f>
        <v>57737.760000000002</v>
      </c>
      <c r="Q540" s="150">
        <v>15.718</v>
      </c>
      <c r="R540" s="149">
        <v>15</v>
      </c>
      <c r="S540" s="149">
        <v>718</v>
      </c>
      <c r="T540" s="145">
        <f t="shared" si="24"/>
        <v>817587.48800000001</v>
      </c>
      <c r="U540" s="145">
        <f t="shared" si="25"/>
        <v>907522.11167999997</v>
      </c>
      <c r="V540" s="135" t="str">
        <f>VLOOKUP(K540,Sheet1!$B$5:$C$131,2,0)</f>
        <v>DYESTUFF</v>
      </c>
      <c r="W540" s="181">
        <f t="shared" si="26"/>
        <v>1.5717999999999999E-2</v>
      </c>
    </row>
    <row r="541" spans="1:23" s="139" customFormat="1">
      <c r="A541" s="146" t="s">
        <v>515</v>
      </c>
      <c r="B541" s="147" t="s">
        <v>516</v>
      </c>
      <c r="C541" s="146" t="s">
        <v>137</v>
      </c>
      <c r="D541" s="146" t="s">
        <v>138</v>
      </c>
      <c r="E541" s="146" t="s">
        <v>139</v>
      </c>
      <c r="F541" s="146" t="s">
        <v>140</v>
      </c>
      <c r="G541" s="148" t="s">
        <v>303</v>
      </c>
      <c r="H541" s="146">
        <v>0</v>
      </c>
      <c r="I541" s="146">
        <v>7</v>
      </c>
      <c r="J541" s="146" t="s">
        <v>145</v>
      </c>
      <c r="K541" s="146" t="s">
        <v>27</v>
      </c>
      <c r="L541" s="148" t="s">
        <v>3</v>
      </c>
      <c r="M541" s="146" t="s">
        <v>142</v>
      </c>
      <c r="N541" s="149">
        <v>1000</v>
      </c>
      <c r="O541" s="152">
        <f>SUMIF('GUDANG BESAR'!C:C,K:K,'GUDANG BESAR'!I:I)</f>
        <v>71148</v>
      </c>
      <c r="P541" s="153">
        <f>SUMIF('GUDANG BESAR'!C:C,K:K,'GUDANG BESAR'!K:K)</f>
        <v>78974.28</v>
      </c>
      <c r="Q541" s="150">
        <v>8.0860000000000003</v>
      </c>
      <c r="R541" s="149">
        <v>8</v>
      </c>
      <c r="S541" s="149">
        <v>86</v>
      </c>
      <c r="T541" s="145">
        <f t="shared" si="24"/>
        <v>575302.728</v>
      </c>
      <c r="U541" s="145">
        <f t="shared" si="25"/>
        <v>638586.02807999996</v>
      </c>
      <c r="V541" s="135" t="str">
        <f>VLOOKUP(K541,Sheet1!$B$5:$C$131,2,0)</f>
        <v>DYESTUFF</v>
      </c>
      <c r="W541" s="181">
        <f t="shared" si="26"/>
        <v>8.0859999999999994E-3</v>
      </c>
    </row>
    <row r="542" spans="1:23" s="139" customFormat="1">
      <c r="A542" s="146" t="s">
        <v>515</v>
      </c>
      <c r="B542" s="147" t="s">
        <v>516</v>
      </c>
      <c r="C542" s="146" t="s">
        <v>137</v>
      </c>
      <c r="D542" s="146" t="s">
        <v>138</v>
      </c>
      <c r="E542" s="146" t="s">
        <v>139</v>
      </c>
      <c r="F542" s="146" t="s">
        <v>140</v>
      </c>
      <c r="G542" s="148" t="s">
        <v>303</v>
      </c>
      <c r="H542" s="146">
        <v>0</v>
      </c>
      <c r="I542" s="146">
        <v>9</v>
      </c>
      <c r="J542" s="146" t="s">
        <v>289</v>
      </c>
      <c r="K542" s="146" t="s">
        <v>255</v>
      </c>
      <c r="L542" s="148" t="s">
        <v>3</v>
      </c>
      <c r="M542" s="146" t="s">
        <v>142</v>
      </c>
      <c r="N542" s="149">
        <v>1000</v>
      </c>
      <c r="O542" s="152">
        <f>SUMIF('GUDANG BESAR'!C:C,K:K,'GUDANG BESAR'!I:I)</f>
        <v>195336</v>
      </c>
      <c r="P542" s="153">
        <f>SUMIF('GUDANG BESAR'!C:C,K:K,'GUDANG BESAR'!K:K)</f>
        <v>216822.96</v>
      </c>
      <c r="Q542" s="150">
        <v>4.3680000000000003</v>
      </c>
      <c r="R542" s="149">
        <v>4</v>
      </c>
      <c r="S542" s="149">
        <v>368</v>
      </c>
      <c r="T542" s="145">
        <f t="shared" si="24"/>
        <v>853227.64800000004</v>
      </c>
      <c r="U542" s="145">
        <f t="shared" si="25"/>
        <v>947082.68928000005</v>
      </c>
      <c r="V542" s="135" t="str">
        <f>VLOOKUP(K542,Sheet1!$B$5:$C$131,2,0)</f>
        <v>DYESTUFF</v>
      </c>
      <c r="W542" s="181">
        <f t="shared" si="26"/>
        <v>4.3680000000000004E-3</v>
      </c>
    </row>
    <row r="543" spans="1:23" s="139" customFormat="1">
      <c r="A543" s="146" t="s">
        <v>515</v>
      </c>
      <c r="B543" s="147" t="s">
        <v>516</v>
      </c>
      <c r="C543" s="146" t="s">
        <v>137</v>
      </c>
      <c r="D543" s="146" t="s">
        <v>138</v>
      </c>
      <c r="E543" s="146" t="s">
        <v>139</v>
      </c>
      <c r="F543" s="146" t="s">
        <v>140</v>
      </c>
      <c r="G543" s="148" t="s">
        <v>303</v>
      </c>
      <c r="H543" s="146">
        <v>0</v>
      </c>
      <c r="I543" s="146">
        <v>10</v>
      </c>
      <c r="J543" s="146" t="s">
        <v>171</v>
      </c>
      <c r="K543" s="146" t="s">
        <v>102</v>
      </c>
      <c r="L543" s="148" t="s">
        <v>3</v>
      </c>
      <c r="M543" s="146" t="s">
        <v>142</v>
      </c>
      <c r="N543" s="149">
        <v>1000</v>
      </c>
      <c r="O543" s="152">
        <f>SUMIF('GUDANG BESAR'!C:C,K:K,'GUDANG BESAR'!I:I)</f>
        <v>385283</v>
      </c>
      <c r="P543" s="153">
        <f>SUMIF('GUDANG BESAR'!C:C,K:K,'GUDANG BESAR'!K:K)</f>
        <v>427664.13</v>
      </c>
      <c r="Q543" s="150">
        <v>0.36899999999999999</v>
      </c>
      <c r="R543" s="149">
        <v>0</v>
      </c>
      <c r="S543" s="149">
        <v>369</v>
      </c>
      <c r="T543" s="145">
        <f t="shared" si="24"/>
        <v>142169.427</v>
      </c>
      <c r="U543" s="145">
        <f t="shared" si="25"/>
        <v>157808.06396999999</v>
      </c>
      <c r="V543" s="135" t="str">
        <f>VLOOKUP(K543,Sheet1!$B$5:$C$131,2,0)</f>
        <v>DYESTUFF</v>
      </c>
      <c r="W543" s="181">
        <f t="shared" si="26"/>
        <v>3.6899999999999997E-4</v>
      </c>
    </row>
    <row r="544" spans="1:23" s="139" customFormat="1">
      <c r="A544" s="146" t="s">
        <v>515</v>
      </c>
      <c r="B544" s="147" t="s">
        <v>516</v>
      </c>
      <c r="C544" s="146" t="s">
        <v>137</v>
      </c>
      <c r="D544" s="146" t="s">
        <v>138</v>
      </c>
      <c r="E544" s="146" t="s">
        <v>139</v>
      </c>
      <c r="F544" s="146" t="s">
        <v>140</v>
      </c>
      <c r="G544" s="148" t="s">
        <v>303</v>
      </c>
      <c r="H544" s="146">
        <v>0</v>
      </c>
      <c r="I544" s="146">
        <v>8</v>
      </c>
      <c r="J544" s="146" t="s">
        <v>376</v>
      </c>
      <c r="K544" s="146" t="s">
        <v>11</v>
      </c>
      <c r="L544" s="148" t="s">
        <v>3</v>
      </c>
      <c r="M544" s="146" t="s">
        <v>142</v>
      </c>
      <c r="N544" s="149">
        <v>1000</v>
      </c>
      <c r="O544" s="152">
        <f>SUMIF('GUDANG BESAR'!C:C,K:K,'GUDANG BESAR'!I:I)</f>
        <v>270075</v>
      </c>
      <c r="P544" s="153">
        <f>SUMIF('GUDANG BESAR'!C:C,K:K,'GUDANG BESAR'!K:K)</f>
        <v>299783.25</v>
      </c>
      <c r="Q544" s="150">
        <v>1.7000000000000001E-2</v>
      </c>
      <c r="R544" s="149">
        <v>0</v>
      </c>
      <c r="S544" s="149">
        <v>17</v>
      </c>
      <c r="T544" s="145">
        <f t="shared" si="24"/>
        <v>4591.2750000000005</v>
      </c>
      <c r="U544" s="145">
        <f t="shared" si="25"/>
        <v>5096.3152500000006</v>
      </c>
      <c r="V544" s="135" t="str">
        <f>VLOOKUP(K544,Sheet1!$B$5:$C$131,2,0)</f>
        <v>DYESTUFF</v>
      </c>
      <c r="W544" s="181">
        <f t="shared" si="26"/>
        <v>1.7E-5</v>
      </c>
    </row>
    <row r="545" spans="1:23" s="139" customFormat="1">
      <c r="A545" s="146" t="s">
        <v>515</v>
      </c>
      <c r="B545" s="147" t="s">
        <v>516</v>
      </c>
      <c r="C545" s="146" t="s">
        <v>137</v>
      </c>
      <c r="D545" s="146" t="s">
        <v>138</v>
      </c>
      <c r="E545" s="146" t="s">
        <v>139</v>
      </c>
      <c r="F545" s="146" t="s">
        <v>140</v>
      </c>
      <c r="G545" s="148" t="s">
        <v>303</v>
      </c>
      <c r="H545" s="146">
        <v>0</v>
      </c>
      <c r="I545" s="146">
        <v>11</v>
      </c>
      <c r="J545" s="146" t="s">
        <v>146</v>
      </c>
      <c r="K545" s="146" t="s">
        <v>46</v>
      </c>
      <c r="L545" s="148" t="s">
        <v>3</v>
      </c>
      <c r="M545" s="146" t="s">
        <v>142</v>
      </c>
      <c r="N545" s="149">
        <v>1000</v>
      </c>
      <c r="O545" s="152">
        <f>SUMIF('GUDANG BESAR'!C:C,K:K,'GUDANG BESAR'!I:I)</f>
        <v>100812</v>
      </c>
      <c r="P545" s="153">
        <f>SUMIF('GUDANG BESAR'!C:C,K:K,'GUDANG BESAR'!K:K)</f>
        <v>111901.32</v>
      </c>
      <c r="Q545" s="150">
        <v>1.6180000000000001</v>
      </c>
      <c r="R545" s="149">
        <v>1</v>
      </c>
      <c r="S545" s="149">
        <v>618</v>
      </c>
      <c r="T545" s="145">
        <f t="shared" si="24"/>
        <v>163113.81600000002</v>
      </c>
      <c r="U545" s="145">
        <f t="shared" si="25"/>
        <v>181056.33576000002</v>
      </c>
      <c r="V545" s="135" t="str">
        <f>VLOOKUP(K545,Sheet1!$B$5:$C$131,2,0)</f>
        <v>DYESTUFF</v>
      </c>
      <c r="W545" s="181">
        <f t="shared" si="26"/>
        <v>1.6180000000000001E-3</v>
      </c>
    </row>
    <row r="546" spans="1:23" s="139" customFormat="1">
      <c r="A546" s="146" t="s">
        <v>515</v>
      </c>
      <c r="B546" s="147" t="s">
        <v>516</v>
      </c>
      <c r="C546" s="146" t="s">
        <v>137</v>
      </c>
      <c r="D546" s="146" t="s">
        <v>138</v>
      </c>
      <c r="E546" s="146" t="s">
        <v>139</v>
      </c>
      <c r="F546" s="146" t="s">
        <v>140</v>
      </c>
      <c r="G546" s="148" t="s">
        <v>303</v>
      </c>
      <c r="H546" s="146">
        <v>0</v>
      </c>
      <c r="I546" s="146">
        <v>12</v>
      </c>
      <c r="J546" s="146" t="s">
        <v>147</v>
      </c>
      <c r="K546" s="146" t="s">
        <v>41</v>
      </c>
      <c r="L546" s="148" t="s">
        <v>3</v>
      </c>
      <c r="M546" s="146" t="s">
        <v>142</v>
      </c>
      <c r="N546" s="149">
        <v>1000</v>
      </c>
      <c r="O546" s="152">
        <f>SUMIF('GUDANG BESAR'!C:C,K:K,'GUDANG BESAR'!I:I)</f>
        <v>54071</v>
      </c>
      <c r="P546" s="153">
        <f>SUMIF('GUDANG BESAR'!C:C,K:K,'GUDANG BESAR'!K:K)</f>
        <v>60018.81</v>
      </c>
      <c r="Q546" s="150">
        <v>15.939</v>
      </c>
      <c r="R546" s="149">
        <v>15</v>
      </c>
      <c r="S546" s="149">
        <v>939</v>
      </c>
      <c r="T546" s="145">
        <f t="shared" si="24"/>
        <v>861837.66899999999</v>
      </c>
      <c r="U546" s="145">
        <f t="shared" si="25"/>
        <v>956639.81258999999</v>
      </c>
      <c r="V546" s="135" t="str">
        <f>VLOOKUP(K546,Sheet1!$B$5:$C$131,2,0)</f>
        <v>DYESTUFF</v>
      </c>
      <c r="W546" s="181">
        <f t="shared" si="26"/>
        <v>1.5939000000000002E-2</v>
      </c>
    </row>
    <row r="547" spans="1:23" s="139" customFormat="1">
      <c r="A547" s="146" t="s">
        <v>515</v>
      </c>
      <c r="B547" s="147" t="s">
        <v>516</v>
      </c>
      <c r="C547" s="146" t="s">
        <v>137</v>
      </c>
      <c r="D547" s="146" t="s">
        <v>138</v>
      </c>
      <c r="E547" s="146" t="s">
        <v>139</v>
      </c>
      <c r="F547" s="146" t="s">
        <v>140</v>
      </c>
      <c r="G547" s="148" t="s">
        <v>303</v>
      </c>
      <c r="H547" s="146">
        <v>0</v>
      </c>
      <c r="I547" s="146">
        <v>14</v>
      </c>
      <c r="J547" s="146" t="s">
        <v>170</v>
      </c>
      <c r="K547" s="146" t="s">
        <v>29</v>
      </c>
      <c r="L547" s="148" t="s">
        <v>3</v>
      </c>
      <c r="M547" s="146" t="s">
        <v>142</v>
      </c>
      <c r="N547" s="149">
        <v>1000</v>
      </c>
      <c r="O547" s="152">
        <f>SUMIF('GUDANG BESAR'!C:C,K:K,'GUDANG BESAR'!I:I)</f>
        <v>100590</v>
      </c>
      <c r="P547" s="153">
        <f>SUMIF('GUDANG BESAR'!C:C,K:K,'GUDANG BESAR'!K:K)</f>
        <v>111654.9</v>
      </c>
      <c r="Q547" s="150">
        <v>4.0000000000000001E-3</v>
      </c>
      <c r="R547" s="149">
        <v>0</v>
      </c>
      <c r="S547" s="149">
        <v>4</v>
      </c>
      <c r="T547" s="145">
        <f t="shared" si="24"/>
        <v>402.36</v>
      </c>
      <c r="U547" s="145">
        <f t="shared" si="25"/>
        <v>446.61959999999999</v>
      </c>
      <c r="V547" s="135" t="str">
        <f>VLOOKUP(K547,Sheet1!$B$5:$C$131,2,0)</f>
        <v>DYESTUFF</v>
      </c>
      <c r="W547" s="181">
        <f t="shared" si="26"/>
        <v>3.9999999999999998E-6</v>
      </c>
    </row>
    <row r="548" spans="1:23" s="139" customFormat="1">
      <c r="A548" s="146" t="s">
        <v>515</v>
      </c>
      <c r="B548" s="147" t="s">
        <v>516</v>
      </c>
      <c r="C548" s="146" t="s">
        <v>137</v>
      </c>
      <c r="D548" s="146" t="s">
        <v>138</v>
      </c>
      <c r="E548" s="146" t="s">
        <v>139</v>
      </c>
      <c r="F548" s="146" t="s">
        <v>140</v>
      </c>
      <c r="G548" s="148" t="s">
        <v>303</v>
      </c>
      <c r="H548" s="146">
        <v>0</v>
      </c>
      <c r="I548" s="146">
        <v>15</v>
      </c>
      <c r="J548" s="146" t="s">
        <v>148</v>
      </c>
      <c r="K548" s="146" t="s">
        <v>30</v>
      </c>
      <c r="L548" s="148" t="s">
        <v>3</v>
      </c>
      <c r="M548" s="146" t="s">
        <v>142</v>
      </c>
      <c r="N548" s="149">
        <v>1000</v>
      </c>
      <c r="O548" s="152">
        <f>SUMIF('GUDANG BESAR'!C:C,K:K,'GUDANG BESAR'!I:I)</f>
        <v>77089.399999999994</v>
      </c>
      <c r="P548" s="153">
        <f>SUMIF('GUDANG BESAR'!C:C,K:K,'GUDANG BESAR'!K:K)</f>
        <v>85569.233999999997</v>
      </c>
      <c r="Q548" s="150">
        <v>6.4630000000000001</v>
      </c>
      <c r="R548" s="149">
        <v>6</v>
      </c>
      <c r="S548" s="149">
        <v>463</v>
      </c>
      <c r="T548" s="145">
        <f t="shared" si="24"/>
        <v>498228.79219999997</v>
      </c>
      <c r="U548" s="145">
        <f t="shared" si="25"/>
        <v>553033.95934199996</v>
      </c>
      <c r="V548" s="135" t="str">
        <f>VLOOKUP(K548,Sheet1!$B$5:$C$131,2,0)</f>
        <v>DYESTUFF</v>
      </c>
      <c r="W548" s="181">
        <f t="shared" si="26"/>
        <v>6.463E-3</v>
      </c>
    </row>
    <row r="549" spans="1:23" s="139" customFormat="1">
      <c r="A549" s="146" t="s">
        <v>515</v>
      </c>
      <c r="B549" s="147" t="s">
        <v>516</v>
      </c>
      <c r="C549" s="146" t="s">
        <v>137</v>
      </c>
      <c r="D549" s="146" t="s">
        <v>138</v>
      </c>
      <c r="E549" s="146" t="s">
        <v>139</v>
      </c>
      <c r="F549" s="146" t="s">
        <v>162</v>
      </c>
      <c r="G549" s="148" t="s">
        <v>214</v>
      </c>
      <c r="H549" s="146">
        <v>0</v>
      </c>
      <c r="I549" s="146">
        <v>33</v>
      </c>
      <c r="J549" s="146" t="s">
        <v>163</v>
      </c>
      <c r="K549" s="146" t="s">
        <v>14</v>
      </c>
      <c r="L549" s="148" t="s">
        <v>3</v>
      </c>
      <c r="M549" s="146" t="s">
        <v>142</v>
      </c>
      <c r="N549" s="149">
        <v>1000</v>
      </c>
      <c r="O549" s="152">
        <f>SUMIF('GUDANG BESAR'!C:C,K:K,'GUDANG BESAR'!I:I)</f>
        <v>30500</v>
      </c>
      <c r="P549" s="153">
        <f>SUMIF('GUDANG BESAR'!C:C,K:K,'GUDANG BESAR'!K:K)</f>
        <v>33855</v>
      </c>
      <c r="Q549" s="150">
        <v>20</v>
      </c>
      <c r="R549" s="149">
        <v>20</v>
      </c>
      <c r="S549" s="149">
        <v>0</v>
      </c>
      <c r="T549" s="145">
        <f t="shared" si="24"/>
        <v>610000</v>
      </c>
      <c r="U549" s="145">
        <f t="shared" si="25"/>
        <v>677100</v>
      </c>
      <c r="V549" s="135" t="str">
        <f>VLOOKUP(K549,Sheet1!$B$5:$C$131,2,0)</f>
        <v>LIMBAH</v>
      </c>
      <c r="W549" s="181">
        <f t="shared" si="26"/>
        <v>0.02</v>
      </c>
    </row>
    <row r="550" spans="1:23" s="139" customFormat="1">
      <c r="A550" s="146" t="s">
        <v>515</v>
      </c>
      <c r="B550" s="147" t="s">
        <v>516</v>
      </c>
      <c r="C550" s="146" t="s">
        <v>137</v>
      </c>
      <c r="D550" s="146" t="s">
        <v>138</v>
      </c>
      <c r="E550" s="146" t="s">
        <v>139</v>
      </c>
      <c r="F550" s="146" t="s">
        <v>140</v>
      </c>
      <c r="G550" s="148" t="s">
        <v>300</v>
      </c>
      <c r="H550" s="146">
        <v>0</v>
      </c>
      <c r="I550" s="146">
        <v>36</v>
      </c>
      <c r="J550" s="146" t="s">
        <v>314</v>
      </c>
      <c r="K550" s="146" t="s">
        <v>281</v>
      </c>
      <c r="L550" s="148" t="s">
        <v>3</v>
      </c>
      <c r="M550" s="146" t="s">
        <v>142</v>
      </c>
      <c r="N550" s="149">
        <v>1000</v>
      </c>
      <c r="O550" s="152">
        <f>SUMIF('GUDANG BESAR'!C:C,K:K,'GUDANG BESAR'!I:I)</f>
        <v>23590.51</v>
      </c>
      <c r="P550" s="153">
        <f>SUMIF('GUDANG BESAR'!C:C,K:K,'GUDANG BESAR'!K:K)</f>
        <v>26185.466099999998</v>
      </c>
      <c r="Q550" s="150">
        <v>660</v>
      </c>
      <c r="R550" s="149">
        <v>660</v>
      </c>
      <c r="S550" s="149">
        <v>0</v>
      </c>
      <c r="T550" s="145">
        <f t="shared" si="24"/>
        <v>15569736.6</v>
      </c>
      <c r="U550" s="145">
        <f t="shared" si="25"/>
        <v>17282407.625999998</v>
      </c>
      <c r="V550" s="135" t="str">
        <f>VLOOKUP(K550,Sheet1!$B$5:$C$131,2,0)</f>
        <v>CK</v>
      </c>
      <c r="W550" s="181">
        <f t="shared" si="26"/>
        <v>0.66</v>
      </c>
    </row>
    <row r="551" spans="1:23" s="139" customFormat="1">
      <c r="A551" s="146" t="s">
        <v>515</v>
      </c>
      <c r="B551" s="147" t="s">
        <v>516</v>
      </c>
      <c r="C551" s="146" t="s">
        <v>137</v>
      </c>
      <c r="D551" s="146" t="s">
        <v>138</v>
      </c>
      <c r="E551" s="146" t="s">
        <v>139</v>
      </c>
      <c r="F551" s="146" t="s">
        <v>162</v>
      </c>
      <c r="G551" s="148" t="s">
        <v>214</v>
      </c>
      <c r="H551" s="146">
        <v>0</v>
      </c>
      <c r="I551" s="146">
        <v>29</v>
      </c>
      <c r="J551" s="146" t="s">
        <v>234</v>
      </c>
      <c r="K551" s="146" t="s">
        <v>233</v>
      </c>
      <c r="L551" s="148" t="s">
        <v>3</v>
      </c>
      <c r="M551" s="146" t="s">
        <v>142</v>
      </c>
      <c r="N551" s="149">
        <v>1000</v>
      </c>
      <c r="O551" s="152">
        <f>SUMIF('GUDANG BESAR'!C:C,K:K,'GUDANG BESAR'!I:I)</f>
        <v>5500</v>
      </c>
      <c r="P551" s="153">
        <f>SUMIF('GUDANG BESAR'!C:C,K:K,'GUDANG BESAR'!K:K)</f>
        <v>6105</v>
      </c>
      <c r="Q551" s="150">
        <v>550</v>
      </c>
      <c r="R551" s="149">
        <v>550</v>
      </c>
      <c r="S551" s="149">
        <v>0</v>
      </c>
      <c r="T551" s="145">
        <f t="shared" si="24"/>
        <v>3025000</v>
      </c>
      <c r="U551" s="145">
        <f t="shared" si="25"/>
        <v>3357750</v>
      </c>
      <c r="V551" s="135" t="str">
        <f>VLOOKUP(K551,Sheet1!$B$5:$C$131,2,0)</f>
        <v>LIMBAH</v>
      </c>
      <c r="W551" s="181">
        <f t="shared" si="26"/>
        <v>0.55000000000000004</v>
      </c>
    </row>
    <row r="552" spans="1:23" s="139" customFormat="1">
      <c r="A552" s="146" t="s">
        <v>515</v>
      </c>
      <c r="B552" s="147" t="s">
        <v>516</v>
      </c>
      <c r="C552" s="146" t="s">
        <v>137</v>
      </c>
      <c r="D552" s="146" t="s">
        <v>138</v>
      </c>
      <c r="E552" s="146" t="s">
        <v>139</v>
      </c>
      <c r="F552" s="146" t="s">
        <v>167</v>
      </c>
      <c r="G552" s="148" t="s">
        <v>298</v>
      </c>
      <c r="H552" s="146">
        <v>0</v>
      </c>
      <c r="I552" s="146">
        <v>27</v>
      </c>
      <c r="J552" s="146" t="s">
        <v>183</v>
      </c>
      <c r="K552" s="146" t="s">
        <v>20</v>
      </c>
      <c r="L552" s="148" t="s">
        <v>3</v>
      </c>
      <c r="M552" s="146" t="s">
        <v>142</v>
      </c>
      <c r="N552" s="149">
        <v>1000</v>
      </c>
      <c r="O552" s="152">
        <f>SUMIF('GUDANG BESAR'!C:C,K:K,'GUDANG BESAR'!I:I)</f>
        <v>39120</v>
      </c>
      <c r="P552" s="153">
        <f>SUMIF('GUDANG BESAR'!C:C,K:K,'GUDANG BESAR'!K:K)</f>
        <v>43423.199999999997</v>
      </c>
      <c r="Q552" s="150">
        <v>3</v>
      </c>
      <c r="R552" s="149">
        <v>3</v>
      </c>
      <c r="S552" s="149">
        <v>0</v>
      </c>
      <c r="T552" s="145">
        <f t="shared" si="24"/>
        <v>117360</v>
      </c>
      <c r="U552" s="145">
        <f t="shared" si="25"/>
        <v>130269.59999999999</v>
      </c>
      <c r="V552" s="135" t="str">
        <f>VLOOKUP(K552,Sheet1!$B$5:$C$131,2,0)</f>
        <v>FINISHING</v>
      </c>
      <c r="W552" s="181">
        <f t="shared" si="26"/>
        <v>3.0000000000000001E-3</v>
      </c>
    </row>
    <row r="553" spans="1:23" s="139" customFormat="1">
      <c r="A553" s="146" t="s">
        <v>515</v>
      </c>
      <c r="B553" s="147" t="s">
        <v>516</v>
      </c>
      <c r="C553" s="146" t="s">
        <v>137</v>
      </c>
      <c r="D553" s="146" t="s">
        <v>138</v>
      </c>
      <c r="E553" s="146" t="s">
        <v>139</v>
      </c>
      <c r="F553" s="146" t="s">
        <v>140</v>
      </c>
      <c r="G553" s="148" t="s">
        <v>303</v>
      </c>
      <c r="H553" s="146">
        <v>0</v>
      </c>
      <c r="I553" s="146">
        <v>16</v>
      </c>
      <c r="J553" s="146" t="s">
        <v>502</v>
      </c>
      <c r="K553" s="146" t="s">
        <v>103</v>
      </c>
      <c r="L553" s="148" t="s">
        <v>3</v>
      </c>
      <c r="M553" s="146" t="s">
        <v>142</v>
      </c>
      <c r="N553" s="149">
        <v>1000</v>
      </c>
      <c r="O553" s="152">
        <f>SUMIF('GUDANG BESAR'!C:C,K:K,'GUDANG BESAR'!I:I)</f>
        <v>114100</v>
      </c>
      <c r="P553" s="153">
        <f>SUMIF('GUDANG BESAR'!C:C,K:K,'GUDANG BESAR'!K:K)</f>
        <v>126651</v>
      </c>
      <c r="Q553" s="150">
        <v>0.125</v>
      </c>
      <c r="R553" s="149">
        <v>0</v>
      </c>
      <c r="S553" s="149">
        <v>125</v>
      </c>
      <c r="T553" s="145">
        <f t="shared" si="24"/>
        <v>14262.5</v>
      </c>
      <c r="U553" s="145">
        <f t="shared" si="25"/>
        <v>15831.375</v>
      </c>
      <c r="V553" s="135" t="str">
        <f>VLOOKUP(K553,Sheet1!$B$5:$C$131,2,0)</f>
        <v>DYESTUFF</v>
      </c>
      <c r="W553" s="181">
        <f t="shared" si="26"/>
        <v>1.25E-4</v>
      </c>
    </row>
    <row r="554" spans="1:23" s="139" customFormat="1">
      <c r="A554" s="146" t="s">
        <v>515</v>
      </c>
      <c r="B554" s="147" t="s">
        <v>516</v>
      </c>
      <c r="C554" s="146" t="s">
        <v>137</v>
      </c>
      <c r="D554" s="146" t="s">
        <v>138</v>
      </c>
      <c r="E554" s="146" t="s">
        <v>139</v>
      </c>
      <c r="F554" s="146" t="s">
        <v>140</v>
      </c>
      <c r="G554" s="148" t="s">
        <v>303</v>
      </c>
      <c r="H554" s="146">
        <v>0</v>
      </c>
      <c r="I554" s="146">
        <v>21</v>
      </c>
      <c r="J554" s="146" t="s">
        <v>503</v>
      </c>
      <c r="K554" s="146" t="s">
        <v>104</v>
      </c>
      <c r="L554" s="148" t="s">
        <v>3</v>
      </c>
      <c r="M554" s="146" t="s">
        <v>142</v>
      </c>
      <c r="N554" s="149">
        <v>1000</v>
      </c>
      <c r="O554" s="152">
        <f>SUMIF('GUDANG BESAR'!C:C,K:K,'GUDANG BESAR'!I:I)</f>
        <v>179300</v>
      </c>
      <c r="P554" s="153">
        <f>SUMIF('GUDANG BESAR'!C:C,K:K,'GUDANG BESAR'!K:K)</f>
        <v>199023</v>
      </c>
      <c r="Q554" s="150">
        <v>0.17799999999999999</v>
      </c>
      <c r="R554" s="149">
        <v>0</v>
      </c>
      <c r="S554" s="149">
        <v>178</v>
      </c>
      <c r="T554" s="145">
        <f t="shared" si="24"/>
        <v>31915.399999999998</v>
      </c>
      <c r="U554" s="145">
        <f t="shared" si="25"/>
        <v>35426.093999999997</v>
      </c>
      <c r="V554" s="135" t="str">
        <f>VLOOKUP(K554,Sheet1!$B$5:$C$131,2,0)</f>
        <v>DYESTUFF</v>
      </c>
      <c r="W554" s="181">
        <f t="shared" si="26"/>
        <v>1.7799999999999999E-4</v>
      </c>
    </row>
    <row r="555" spans="1:23" s="139" customFormat="1">
      <c r="A555" s="146" t="s">
        <v>515</v>
      </c>
      <c r="B555" s="147" t="s">
        <v>516</v>
      </c>
      <c r="C555" s="146" t="s">
        <v>137</v>
      </c>
      <c r="D555" s="146" t="s">
        <v>138</v>
      </c>
      <c r="E555" s="146" t="s">
        <v>139</v>
      </c>
      <c r="F555" s="146" t="s">
        <v>140</v>
      </c>
      <c r="G555" s="148" t="s">
        <v>303</v>
      </c>
      <c r="H555" s="146">
        <v>0</v>
      </c>
      <c r="I555" s="146">
        <v>20</v>
      </c>
      <c r="J555" s="146" t="s">
        <v>517</v>
      </c>
      <c r="K555" s="146" t="s">
        <v>106</v>
      </c>
      <c r="L555" s="148" t="s">
        <v>3</v>
      </c>
      <c r="M555" s="146" t="s">
        <v>142</v>
      </c>
      <c r="N555" s="149">
        <v>1000</v>
      </c>
      <c r="O555" s="152">
        <f>SUMIF('GUDANG BESAR'!C:C,K:K,'GUDANG BESAR'!I:I)</f>
        <v>122610.5</v>
      </c>
      <c r="P555" s="153">
        <f>SUMIF('GUDANG BESAR'!C:C,K:K,'GUDANG BESAR'!K:K)</f>
        <v>136097.655</v>
      </c>
      <c r="Q555" s="150">
        <v>0.40500000000000003</v>
      </c>
      <c r="R555" s="149">
        <v>0</v>
      </c>
      <c r="S555" s="149">
        <v>405</v>
      </c>
      <c r="T555" s="145">
        <f t="shared" si="24"/>
        <v>49657.252500000002</v>
      </c>
      <c r="U555" s="145">
        <f t="shared" si="25"/>
        <v>55119.550275000001</v>
      </c>
      <c r="V555" s="135" t="str">
        <f>VLOOKUP(K555,Sheet1!$B$5:$C$131,2,0)</f>
        <v>DYESTUFF</v>
      </c>
      <c r="W555" s="181">
        <f t="shared" si="26"/>
        <v>4.0500000000000003E-4</v>
      </c>
    </row>
    <row r="556" spans="1:23" s="139" customFormat="1">
      <c r="A556" s="146" t="s">
        <v>515</v>
      </c>
      <c r="B556" s="147" t="s">
        <v>516</v>
      </c>
      <c r="C556" s="146" t="s">
        <v>137</v>
      </c>
      <c r="D556" s="146" t="s">
        <v>138</v>
      </c>
      <c r="E556" s="146" t="s">
        <v>139</v>
      </c>
      <c r="F556" s="146" t="s">
        <v>140</v>
      </c>
      <c r="G556" s="148" t="s">
        <v>303</v>
      </c>
      <c r="H556" s="146">
        <v>0</v>
      </c>
      <c r="I556" s="146">
        <v>17</v>
      </c>
      <c r="J556" s="146" t="s">
        <v>504</v>
      </c>
      <c r="K556" s="146" t="s">
        <v>107</v>
      </c>
      <c r="L556" s="148" t="s">
        <v>3</v>
      </c>
      <c r="M556" s="146" t="s">
        <v>142</v>
      </c>
      <c r="N556" s="149">
        <v>1000</v>
      </c>
      <c r="O556" s="152">
        <f>SUMIF('GUDANG BESAR'!C:C,K:K,'GUDANG BESAR'!I:I)</f>
        <v>113785</v>
      </c>
      <c r="P556" s="153">
        <f>SUMIF('GUDANG BESAR'!C:C,K:K,'GUDANG BESAR'!K:K)</f>
        <v>126301.35</v>
      </c>
      <c r="Q556" s="150">
        <v>0.30499999999999999</v>
      </c>
      <c r="R556" s="149">
        <v>0</v>
      </c>
      <c r="S556" s="149">
        <v>305</v>
      </c>
      <c r="T556" s="145">
        <f t="shared" si="24"/>
        <v>34704.424999999996</v>
      </c>
      <c r="U556" s="145">
        <f t="shared" si="25"/>
        <v>38521.911749999999</v>
      </c>
      <c r="V556" s="135" t="str">
        <f>VLOOKUP(K556,Sheet1!$B$5:$C$131,2,0)</f>
        <v>DYESTUFF</v>
      </c>
      <c r="W556" s="181">
        <f t="shared" si="26"/>
        <v>3.0499999999999999E-4</v>
      </c>
    </row>
    <row r="557" spans="1:23" s="139" customFormat="1">
      <c r="A557" s="146" t="s">
        <v>515</v>
      </c>
      <c r="B557" s="147" t="s">
        <v>516</v>
      </c>
      <c r="C557" s="146" t="s">
        <v>137</v>
      </c>
      <c r="D557" s="146" t="s">
        <v>138</v>
      </c>
      <c r="E557" s="146" t="s">
        <v>139</v>
      </c>
      <c r="F557" s="146" t="s">
        <v>140</v>
      </c>
      <c r="G557" s="148" t="s">
        <v>303</v>
      </c>
      <c r="H557" s="146">
        <v>0</v>
      </c>
      <c r="I557" s="146">
        <v>22</v>
      </c>
      <c r="J557" s="146" t="s">
        <v>505</v>
      </c>
      <c r="K557" s="146" t="s">
        <v>109</v>
      </c>
      <c r="L557" s="148" t="s">
        <v>3</v>
      </c>
      <c r="M557" s="146" t="s">
        <v>142</v>
      </c>
      <c r="N557" s="149">
        <v>1000</v>
      </c>
      <c r="O557" s="152">
        <f>SUMIF('GUDANG BESAR'!C:C,K:K,'GUDANG BESAR'!I:I)</f>
        <v>156750</v>
      </c>
      <c r="P557" s="153">
        <f>SUMIF('GUDANG BESAR'!C:C,K:K,'GUDANG BESAR'!K:K)</f>
        <v>173992.5</v>
      </c>
      <c r="Q557" s="150">
        <v>5.0000000000000001E-3</v>
      </c>
      <c r="R557" s="149">
        <v>0</v>
      </c>
      <c r="S557" s="149">
        <v>5</v>
      </c>
      <c r="T557" s="145">
        <f t="shared" si="24"/>
        <v>783.75</v>
      </c>
      <c r="U557" s="145">
        <f t="shared" si="25"/>
        <v>869.96249999999998</v>
      </c>
      <c r="V557" s="135" t="str">
        <f>VLOOKUP(K557,Sheet1!$B$5:$C$131,2,0)</f>
        <v>DYESTUFF</v>
      </c>
      <c r="W557" s="181">
        <f t="shared" si="26"/>
        <v>5.0000000000000004E-6</v>
      </c>
    </row>
    <row r="558" spans="1:23" s="139" customFormat="1">
      <c r="A558" s="146" t="s">
        <v>515</v>
      </c>
      <c r="B558" s="147" t="s">
        <v>516</v>
      </c>
      <c r="C558" s="146" t="s">
        <v>137</v>
      </c>
      <c r="D558" s="146" t="s">
        <v>138</v>
      </c>
      <c r="E558" s="146" t="s">
        <v>139</v>
      </c>
      <c r="F558" s="146" t="s">
        <v>140</v>
      </c>
      <c r="G558" s="148" t="s">
        <v>303</v>
      </c>
      <c r="H558" s="146">
        <v>0</v>
      </c>
      <c r="I558" s="146">
        <v>18</v>
      </c>
      <c r="J558" s="146" t="s">
        <v>506</v>
      </c>
      <c r="K558" s="146" t="s">
        <v>110</v>
      </c>
      <c r="L558" s="148" t="s">
        <v>3</v>
      </c>
      <c r="M558" s="146" t="s">
        <v>142</v>
      </c>
      <c r="N558" s="149">
        <v>1000</v>
      </c>
      <c r="O558" s="152">
        <f>SUMIF('GUDANG BESAR'!C:C,K:K,'GUDANG BESAR'!I:I)</f>
        <v>138978</v>
      </c>
      <c r="P558" s="153">
        <f>SUMIF('GUDANG BESAR'!C:C,K:K,'GUDANG BESAR'!K:K)</f>
        <v>154265.57999999999</v>
      </c>
      <c r="Q558" s="150">
        <v>0.52700000000000002</v>
      </c>
      <c r="R558" s="149">
        <v>0</v>
      </c>
      <c r="S558" s="149">
        <v>527</v>
      </c>
      <c r="T558" s="145">
        <f t="shared" si="24"/>
        <v>73241.406000000003</v>
      </c>
      <c r="U558" s="145">
        <f t="shared" si="25"/>
        <v>81297.960659999997</v>
      </c>
      <c r="V558" s="135" t="str">
        <f>VLOOKUP(K558,Sheet1!$B$5:$C$131,2,0)</f>
        <v>DYESTUFF</v>
      </c>
      <c r="W558" s="181">
        <f t="shared" si="26"/>
        <v>5.2700000000000002E-4</v>
      </c>
    </row>
    <row r="559" spans="1:23" s="139" customFormat="1">
      <c r="A559" s="146" t="s">
        <v>515</v>
      </c>
      <c r="B559" s="147" t="s">
        <v>516</v>
      </c>
      <c r="C559" s="146" t="s">
        <v>137</v>
      </c>
      <c r="D559" s="146" t="s">
        <v>138</v>
      </c>
      <c r="E559" s="146" t="s">
        <v>139</v>
      </c>
      <c r="F559" s="146" t="s">
        <v>140</v>
      </c>
      <c r="G559" s="148" t="s">
        <v>303</v>
      </c>
      <c r="H559" s="146">
        <v>0</v>
      </c>
      <c r="I559" s="146">
        <v>19</v>
      </c>
      <c r="J559" s="146" t="s">
        <v>507</v>
      </c>
      <c r="K559" s="146" t="s">
        <v>113</v>
      </c>
      <c r="L559" s="148" t="s">
        <v>3</v>
      </c>
      <c r="M559" s="146" t="s">
        <v>142</v>
      </c>
      <c r="N559" s="149">
        <v>1000</v>
      </c>
      <c r="O559" s="152">
        <f>SUMIF('GUDANG BESAR'!C:C,K:K,'GUDANG BESAR'!I:I)</f>
        <v>57050</v>
      </c>
      <c r="P559" s="153">
        <f>SUMIF('GUDANG BESAR'!C:C,K:K,'GUDANG BESAR'!K:K)</f>
        <v>63325.5</v>
      </c>
      <c r="Q559" s="150">
        <v>2.0070000000000001</v>
      </c>
      <c r="R559" s="149">
        <v>2</v>
      </c>
      <c r="S559" s="149">
        <v>7</v>
      </c>
      <c r="T559" s="145">
        <f t="shared" si="24"/>
        <v>114499.35</v>
      </c>
      <c r="U559" s="145">
        <f t="shared" si="25"/>
        <v>127094.2785</v>
      </c>
      <c r="V559" s="135" t="str">
        <f>VLOOKUP(K559,Sheet1!$B$5:$C$131,2,0)</f>
        <v>DYESTUFF</v>
      </c>
      <c r="W559" s="181">
        <f t="shared" si="26"/>
        <v>2.0070000000000001E-3</v>
      </c>
    </row>
    <row r="560" spans="1:23" s="139" customFormat="1">
      <c r="A560" s="146" t="s">
        <v>515</v>
      </c>
      <c r="B560" s="147" t="s">
        <v>516</v>
      </c>
      <c r="C560" s="146" t="s">
        <v>137</v>
      </c>
      <c r="D560" s="146" t="s">
        <v>138</v>
      </c>
      <c r="E560" s="146" t="s">
        <v>139</v>
      </c>
      <c r="F560" s="146" t="s">
        <v>153</v>
      </c>
      <c r="G560" s="148" t="s">
        <v>301</v>
      </c>
      <c r="H560" s="146">
        <v>0</v>
      </c>
      <c r="I560" s="146">
        <v>26</v>
      </c>
      <c r="J560" s="146" t="s">
        <v>317</v>
      </c>
      <c r="K560" s="146" t="s">
        <v>17</v>
      </c>
      <c r="L560" s="148" t="s">
        <v>3</v>
      </c>
      <c r="M560" s="146" t="s">
        <v>142</v>
      </c>
      <c r="N560" s="149">
        <v>1000</v>
      </c>
      <c r="O560" s="152">
        <f>SUMIF('GUDANG BESAR'!C:C,K:K,'GUDANG BESAR'!I:I)</f>
        <v>25269.5</v>
      </c>
      <c r="P560" s="153">
        <f>SUMIF('GUDANG BESAR'!C:C,K:K,'GUDANG BESAR'!K:K)</f>
        <v>28049.145</v>
      </c>
      <c r="Q560" s="150">
        <v>18</v>
      </c>
      <c r="R560" s="149">
        <v>18</v>
      </c>
      <c r="S560" s="149">
        <v>0</v>
      </c>
      <c r="T560" s="145">
        <f t="shared" si="24"/>
        <v>454851</v>
      </c>
      <c r="U560" s="145">
        <f t="shared" si="25"/>
        <v>504884.61</v>
      </c>
      <c r="V560" s="135" t="str">
        <f>VLOOKUP(K560,Sheet1!$B$5:$C$131,2,0)</f>
        <v>DYEING</v>
      </c>
      <c r="W560" s="181">
        <f t="shared" si="26"/>
        <v>1.7999999999999999E-2</v>
      </c>
    </row>
    <row r="561" spans="1:23" s="139" customFormat="1">
      <c r="A561" s="146" t="s">
        <v>515</v>
      </c>
      <c r="B561" s="147" t="s">
        <v>516</v>
      </c>
      <c r="C561" s="146" t="s">
        <v>137</v>
      </c>
      <c r="D561" s="146" t="s">
        <v>138</v>
      </c>
      <c r="E561" s="146" t="s">
        <v>139</v>
      </c>
      <c r="F561" s="146" t="s">
        <v>153</v>
      </c>
      <c r="G561" s="148" t="s">
        <v>301</v>
      </c>
      <c r="H561" s="146">
        <v>0</v>
      </c>
      <c r="I561" s="146">
        <v>25</v>
      </c>
      <c r="J561" s="146" t="s">
        <v>251</v>
      </c>
      <c r="K561" s="146" t="s">
        <v>249</v>
      </c>
      <c r="L561" s="148" t="s">
        <v>3</v>
      </c>
      <c r="M561" s="146" t="s">
        <v>142</v>
      </c>
      <c r="N561" s="149">
        <v>1000</v>
      </c>
      <c r="O561" s="152">
        <f>SUMIF('GUDANG BESAR'!C:C,K:K,'GUDANG BESAR'!I:I)</f>
        <v>9119.6</v>
      </c>
      <c r="P561" s="153">
        <f>SUMIF('GUDANG BESAR'!C:C,K:K,'GUDANG BESAR'!K:K)</f>
        <v>10122.756000000001</v>
      </c>
      <c r="Q561" s="150">
        <v>10</v>
      </c>
      <c r="R561" s="149">
        <v>10</v>
      </c>
      <c r="S561" s="149">
        <v>0</v>
      </c>
      <c r="T561" s="145">
        <f t="shared" si="24"/>
        <v>91196</v>
      </c>
      <c r="U561" s="145">
        <f t="shared" si="25"/>
        <v>101227.56000000001</v>
      </c>
      <c r="V561" s="135" t="str">
        <f>VLOOKUP(K561,Sheet1!$B$5:$C$131,2,0)</f>
        <v>DYEING</v>
      </c>
      <c r="W561" s="181">
        <f t="shared" si="26"/>
        <v>0.01</v>
      </c>
    </row>
    <row r="562" spans="1:23" s="139" customFormat="1">
      <c r="A562" s="146" t="s">
        <v>515</v>
      </c>
      <c r="B562" s="147" t="s">
        <v>516</v>
      </c>
      <c r="C562" s="146" t="s">
        <v>137</v>
      </c>
      <c r="D562" s="146" t="s">
        <v>138</v>
      </c>
      <c r="E562" s="146" t="s">
        <v>139</v>
      </c>
      <c r="F562" s="146" t="s">
        <v>167</v>
      </c>
      <c r="G562" s="148" t="s">
        <v>301</v>
      </c>
      <c r="H562" s="146">
        <v>0</v>
      </c>
      <c r="I562" s="146">
        <v>28</v>
      </c>
      <c r="J562" s="146" t="s">
        <v>168</v>
      </c>
      <c r="K562" s="146" t="s">
        <v>34</v>
      </c>
      <c r="L562" s="148" t="s">
        <v>3</v>
      </c>
      <c r="M562" s="146" t="s">
        <v>142</v>
      </c>
      <c r="N562" s="149">
        <v>1000</v>
      </c>
      <c r="O562" s="152">
        <f>SUMIF('GUDANG BESAR'!C:C,K:K,'GUDANG BESAR'!I:I)</f>
        <v>68397</v>
      </c>
      <c r="P562" s="153">
        <f>SUMIF('GUDANG BESAR'!C:C,K:K,'GUDANG BESAR'!K:K)</f>
        <v>75920.67</v>
      </c>
      <c r="Q562" s="150">
        <v>1.9</v>
      </c>
      <c r="R562" s="149">
        <v>1</v>
      </c>
      <c r="S562" s="149">
        <v>900</v>
      </c>
      <c r="T562" s="145">
        <f t="shared" si="24"/>
        <v>129954.29999999999</v>
      </c>
      <c r="U562" s="145">
        <f t="shared" si="25"/>
        <v>144249.27299999999</v>
      </c>
      <c r="V562" s="135" t="str">
        <f>VLOOKUP(K562,Sheet1!$B$5:$C$131,2,0)</f>
        <v>DYEING</v>
      </c>
      <c r="W562" s="181">
        <f t="shared" si="26"/>
        <v>1.9E-3</v>
      </c>
    </row>
    <row r="563" spans="1:23" s="139" customFormat="1">
      <c r="A563" s="146" t="s">
        <v>515</v>
      </c>
      <c r="B563" s="147" t="s">
        <v>516</v>
      </c>
      <c r="C563" s="146" t="s">
        <v>137</v>
      </c>
      <c r="D563" s="146" t="s">
        <v>138</v>
      </c>
      <c r="E563" s="146" t="s">
        <v>139</v>
      </c>
      <c r="F563" s="146" t="s">
        <v>140</v>
      </c>
      <c r="G563" s="148" t="s">
        <v>300</v>
      </c>
      <c r="H563" s="146">
        <v>0</v>
      </c>
      <c r="I563" s="146">
        <v>37</v>
      </c>
      <c r="J563" s="146" t="s">
        <v>510</v>
      </c>
      <c r="K563" s="146" t="s">
        <v>257</v>
      </c>
      <c r="L563" s="148" t="s">
        <v>3</v>
      </c>
      <c r="M563" s="146" t="s">
        <v>142</v>
      </c>
      <c r="N563" s="149">
        <v>1000</v>
      </c>
      <c r="O563" s="152">
        <f>SUMIF('GUDANG BESAR'!C:C,K:K,'GUDANG BESAR'!I:I)</f>
        <v>28000</v>
      </c>
      <c r="P563" s="153">
        <f>SUMIF('GUDANG BESAR'!C:C,K:K,'GUDANG BESAR'!K:K)</f>
        <v>31080</v>
      </c>
      <c r="Q563" s="150">
        <v>19</v>
      </c>
      <c r="R563" s="149">
        <v>19</v>
      </c>
      <c r="S563" s="149">
        <v>0</v>
      </c>
      <c r="T563" s="145">
        <f t="shared" si="24"/>
        <v>532000</v>
      </c>
      <c r="U563" s="145">
        <f t="shared" si="25"/>
        <v>590520</v>
      </c>
      <c r="V563" s="135" t="str">
        <f>VLOOKUP(K563,Sheet1!$B$5:$C$131,2,0)</f>
        <v>CK</v>
      </c>
      <c r="W563" s="181">
        <f t="shared" si="26"/>
        <v>1.9E-2</v>
      </c>
    </row>
    <row r="564" spans="1:23" s="139" customFormat="1">
      <c r="A564" s="146" t="s">
        <v>515</v>
      </c>
      <c r="B564" s="147" t="s">
        <v>516</v>
      </c>
      <c r="C564" s="146" t="s">
        <v>137</v>
      </c>
      <c r="D564" s="146" t="s">
        <v>138</v>
      </c>
      <c r="E564" s="146" t="s">
        <v>139</v>
      </c>
      <c r="F564" s="146" t="s">
        <v>162</v>
      </c>
      <c r="G564" s="148" t="s">
        <v>214</v>
      </c>
      <c r="H564" s="146">
        <v>0</v>
      </c>
      <c r="I564" s="146">
        <v>35</v>
      </c>
      <c r="J564" s="146" t="s">
        <v>165</v>
      </c>
      <c r="K564" s="146" t="s">
        <v>80</v>
      </c>
      <c r="L564" s="148" t="s">
        <v>3</v>
      </c>
      <c r="M564" s="146" t="s">
        <v>142</v>
      </c>
      <c r="N564" s="149">
        <v>1000</v>
      </c>
      <c r="O564" s="152">
        <f>SUMIF('GUDANG BESAR'!C:C,K:K,'GUDANG BESAR'!I:I)</f>
        <v>1550000</v>
      </c>
      <c r="P564" s="153">
        <f>SUMIF('GUDANG BESAR'!C:C,K:K,'GUDANG BESAR'!K:K)</f>
        <v>1720500</v>
      </c>
      <c r="Q564" s="150">
        <v>0.05</v>
      </c>
      <c r="R564" s="149">
        <v>0</v>
      </c>
      <c r="S564" s="149">
        <v>50</v>
      </c>
      <c r="T564" s="145">
        <f t="shared" si="24"/>
        <v>77500</v>
      </c>
      <c r="U564" s="145">
        <f t="shared" si="25"/>
        <v>86025</v>
      </c>
      <c r="V564" s="135" t="str">
        <f>VLOOKUP(K564,Sheet1!$B$5:$C$131,2,0)</f>
        <v>LIMBAH</v>
      </c>
      <c r="W564" s="181">
        <f t="shared" si="26"/>
        <v>5.0000000000000002E-5</v>
      </c>
    </row>
    <row r="565" spans="1:23" s="139" customFormat="1">
      <c r="A565" s="146" t="s">
        <v>515</v>
      </c>
      <c r="B565" s="147" t="s">
        <v>516</v>
      </c>
      <c r="C565" s="146" t="s">
        <v>137</v>
      </c>
      <c r="D565" s="146" t="s">
        <v>138</v>
      </c>
      <c r="E565" s="146" t="s">
        <v>139</v>
      </c>
      <c r="F565" s="146" t="s">
        <v>162</v>
      </c>
      <c r="G565" s="148" t="s">
        <v>214</v>
      </c>
      <c r="H565" s="146">
        <v>0</v>
      </c>
      <c r="I565" s="146">
        <v>34</v>
      </c>
      <c r="J565" s="146" t="s">
        <v>164</v>
      </c>
      <c r="K565" s="146" t="s">
        <v>74</v>
      </c>
      <c r="L565" s="148" t="s">
        <v>5</v>
      </c>
      <c r="M565" s="146" t="s">
        <v>142</v>
      </c>
      <c r="N565" s="149">
        <v>1000</v>
      </c>
      <c r="O565" s="152">
        <f>SUMIF('GUDANG BESAR'!C:C,K:K,'GUDANG BESAR'!I:I)</f>
        <v>13180</v>
      </c>
      <c r="P565" s="153">
        <f>SUMIF('GUDANG BESAR'!C:C,K:K,'GUDANG BESAR'!K:K)</f>
        <v>14629.8</v>
      </c>
      <c r="Q565" s="150">
        <v>15</v>
      </c>
      <c r="R565" s="149">
        <v>15</v>
      </c>
      <c r="S565" s="149">
        <v>0</v>
      </c>
      <c r="T565" s="145">
        <f t="shared" si="24"/>
        <v>197700</v>
      </c>
      <c r="U565" s="145">
        <f t="shared" si="25"/>
        <v>219447</v>
      </c>
      <c r="V565" s="135" t="str">
        <f>VLOOKUP(K565,Sheet1!$B$5:$C$131,2,0)</f>
        <v>LIMBAH</v>
      </c>
      <c r="W565" s="181">
        <f t="shared" si="26"/>
        <v>1.4999999999999999E-2</v>
      </c>
    </row>
    <row r="566" spans="1:23" s="139" customFormat="1">
      <c r="A566" s="146" t="s">
        <v>515</v>
      </c>
      <c r="B566" s="147" t="s">
        <v>516</v>
      </c>
      <c r="C566" s="146" t="s">
        <v>137</v>
      </c>
      <c r="D566" s="146" t="s">
        <v>138</v>
      </c>
      <c r="E566" s="146" t="s">
        <v>139</v>
      </c>
      <c r="F566" s="146" t="s">
        <v>162</v>
      </c>
      <c r="G566" s="148" t="s">
        <v>214</v>
      </c>
      <c r="H566" s="146">
        <v>0</v>
      </c>
      <c r="I566" s="146">
        <v>30</v>
      </c>
      <c r="J566" s="146" t="s">
        <v>262</v>
      </c>
      <c r="K566" s="146" t="s">
        <v>258</v>
      </c>
      <c r="L566" s="148" t="s">
        <v>3</v>
      </c>
      <c r="M566" s="146" t="s">
        <v>142</v>
      </c>
      <c r="N566" s="149">
        <v>1000</v>
      </c>
      <c r="O566" s="152">
        <f>SUMIF('GUDANG BESAR'!C:C,K:K,'GUDANG BESAR'!I:I)</f>
        <v>33000</v>
      </c>
      <c r="P566" s="153">
        <f>SUMIF('GUDANG BESAR'!C:C,K:K,'GUDANG BESAR'!K:K)</f>
        <v>36630</v>
      </c>
      <c r="Q566" s="150">
        <v>3</v>
      </c>
      <c r="R566" s="149">
        <v>3</v>
      </c>
      <c r="S566" s="149">
        <v>0</v>
      </c>
      <c r="T566" s="145">
        <f t="shared" si="24"/>
        <v>99000</v>
      </c>
      <c r="U566" s="145">
        <f t="shared" si="25"/>
        <v>109890</v>
      </c>
      <c r="V566" s="135" t="str">
        <f>VLOOKUP(K566,Sheet1!$B$5:$C$131,2,0)</f>
        <v>LIMBAH</v>
      </c>
      <c r="W566" s="181">
        <f t="shared" si="26"/>
        <v>3.0000000000000001E-3</v>
      </c>
    </row>
    <row r="567" spans="1:23" s="139" customFormat="1">
      <c r="A567" s="146" t="s">
        <v>515</v>
      </c>
      <c r="B567" s="147" t="s">
        <v>516</v>
      </c>
      <c r="C567" s="146" t="s">
        <v>137</v>
      </c>
      <c r="D567" s="146" t="s">
        <v>138</v>
      </c>
      <c r="E567" s="146" t="s">
        <v>139</v>
      </c>
      <c r="F567" s="146" t="s">
        <v>162</v>
      </c>
      <c r="G567" s="148" t="s">
        <v>214</v>
      </c>
      <c r="H567" s="146">
        <v>0</v>
      </c>
      <c r="I567" s="146">
        <v>31</v>
      </c>
      <c r="J567" s="146" t="s">
        <v>263</v>
      </c>
      <c r="K567" s="146" t="s">
        <v>259</v>
      </c>
      <c r="L567" s="148" t="s">
        <v>3</v>
      </c>
      <c r="M567" s="146" t="s">
        <v>142</v>
      </c>
      <c r="N567" s="149">
        <v>1000</v>
      </c>
      <c r="O567" s="152">
        <f>SUMIF('GUDANG BESAR'!C:C,K:K,'GUDANG BESAR'!I:I)</f>
        <v>47500</v>
      </c>
      <c r="P567" s="153">
        <f>SUMIF('GUDANG BESAR'!C:C,K:K,'GUDANG BESAR'!K:K)</f>
        <v>52725</v>
      </c>
      <c r="Q567" s="150">
        <v>15</v>
      </c>
      <c r="R567" s="149">
        <v>15</v>
      </c>
      <c r="S567" s="149">
        <v>0</v>
      </c>
      <c r="T567" s="145">
        <f t="shared" si="24"/>
        <v>712500</v>
      </c>
      <c r="U567" s="145">
        <f t="shared" si="25"/>
        <v>790875</v>
      </c>
      <c r="V567" s="135" t="str">
        <f>VLOOKUP(K567,Sheet1!$B$5:$C$131,2,0)</f>
        <v>LIMBAH</v>
      </c>
      <c r="W567" s="181">
        <f t="shared" si="26"/>
        <v>1.4999999999999999E-2</v>
      </c>
    </row>
    <row r="568" spans="1:23" s="139" customFormat="1">
      <c r="A568" s="146" t="s">
        <v>518</v>
      </c>
      <c r="B568" s="147" t="s">
        <v>519</v>
      </c>
      <c r="C568" s="146" t="s">
        <v>137</v>
      </c>
      <c r="D568" s="146" t="s">
        <v>138</v>
      </c>
      <c r="E568" s="146" t="s">
        <v>139</v>
      </c>
      <c r="F568" s="146" t="s">
        <v>140</v>
      </c>
      <c r="G568" s="148" t="s">
        <v>303</v>
      </c>
      <c r="H568" s="146">
        <v>0</v>
      </c>
      <c r="I568" s="146">
        <v>1</v>
      </c>
      <c r="J568" s="146" t="s">
        <v>141</v>
      </c>
      <c r="K568" s="146" t="s">
        <v>37</v>
      </c>
      <c r="L568" s="148" t="s">
        <v>3</v>
      </c>
      <c r="M568" s="146" t="s">
        <v>142</v>
      </c>
      <c r="N568" s="149">
        <v>1000</v>
      </c>
      <c r="O568" s="152">
        <f>SUMIF('GUDANG BESAR'!C:C,K:K,'GUDANG BESAR'!I:I)</f>
        <v>51276</v>
      </c>
      <c r="P568" s="153">
        <f>SUMIF('GUDANG BESAR'!C:C,K:K,'GUDANG BESAR'!K:K)</f>
        <v>56916.36</v>
      </c>
      <c r="Q568" s="150">
        <v>3.1549999999999998</v>
      </c>
      <c r="R568" s="149">
        <v>3</v>
      </c>
      <c r="S568" s="149">
        <v>155</v>
      </c>
      <c r="T568" s="145">
        <f t="shared" si="24"/>
        <v>161775.78</v>
      </c>
      <c r="U568" s="145">
        <f t="shared" si="25"/>
        <v>179571.1158</v>
      </c>
      <c r="V568" s="135" t="str">
        <f>VLOOKUP(K568,Sheet1!$B$5:$C$131,2,0)</f>
        <v>DYESTUFF</v>
      </c>
      <c r="W568" s="181">
        <f t="shared" si="26"/>
        <v>3.1549999999999998E-3</v>
      </c>
    </row>
    <row r="569" spans="1:23" s="139" customFormat="1">
      <c r="A569" s="146" t="s">
        <v>518</v>
      </c>
      <c r="B569" s="147" t="s">
        <v>519</v>
      </c>
      <c r="C569" s="146" t="s">
        <v>137</v>
      </c>
      <c r="D569" s="146" t="s">
        <v>138</v>
      </c>
      <c r="E569" s="146" t="s">
        <v>139</v>
      </c>
      <c r="F569" s="146" t="s">
        <v>140</v>
      </c>
      <c r="G569" s="148" t="s">
        <v>303</v>
      </c>
      <c r="H569" s="146">
        <v>0</v>
      </c>
      <c r="I569" s="146">
        <v>2</v>
      </c>
      <c r="J569" s="146" t="s">
        <v>346</v>
      </c>
      <c r="K569" s="146" t="s">
        <v>343</v>
      </c>
      <c r="L569" s="148" t="s">
        <v>3</v>
      </c>
      <c r="M569" s="146" t="s">
        <v>142</v>
      </c>
      <c r="N569" s="149">
        <v>1000</v>
      </c>
      <c r="O569" s="152">
        <f>SUMIF('GUDANG BESAR'!C:C,K:K,'GUDANG BESAR'!I:I)</f>
        <v>60680</v>
      </c>
      <c r="P569" s="153">
        <f>SUMIF('GUDANG BESAR'!C:C,K:K,'GUDANG BESAR'!K:K)</f>
        <v>67354.8</v>
      </c>
      <c r="Q569" s="150">
        <v>6.556</v>
      </c>
      <c r="R569" s="149">
        <v>6</v>
      </c>
      <c r="S569" s="149">
        <v>556</v>
      </c>
      <c r="T569" s="145">
        <f t="shared" si="24"/>
        <v>397818.08</v>
      </c>
      <c r="U569" s="145">
        <f t="shared" si="25"/>
        <v>441578.06880000001</v>
      </c>
      <c r="V569" s="135" t="str">
        <f>VLOOKUP(K569,Sheet1!$B$5:$C$131,2,0)</f>
        <v>DYESTUFF</v>
      </c>
      <c r="W569" s="181">
        <f t="shared" si="26"/>
        <v>6.5560000000000002E-3</v>
      </c>
    </row>
    <row r="570" spans="1:23" s="139" customFormat="1">
      <c r="A570" s="146" t="s">
        <v>518</v>
      </c>
      <c r="B570" s="147" t="s">
        <v>519</v>
      </c>
      <c r="C570" s="146" t="s">
        <v>137</v>
      </c>
      <c r="D570" s="146" t="s">
        <v>138</v>
      </c>
      <c r="E570" s="146" t="s">
        <v>139</v>
      </c>
      <c r="F570" s="146" t="s">
        <v>140</v>
      </c>
      <c r="G570" s="148" t="s">
        <v>303</v>
      </c>
      <c r="H570" s="146">
        <v>0</v>
      </c>
      <c r="I570" s="146">
        <v>9</v>
      </c>
      <c r="J570" s="146" t="s">
        <v>151</v>
      </c>
      <c r="K570" s="146" t="s">
        <v>28</v>
      </c>
      <c r="L570" s="148" t="s">
        <v>3</v>
      </c>
      <c r="M570" s="146" t="s">
        <v>142</v>
      </c>
      <c r="N570" s="149">
        <v>1000</v>
      </c>
      <c r="O570" s="152">
        <f>SUMIF('GUDANG BESAR'!C:C,K:K,'GUDANG BESAR'!I:I)</f>
        <v>413967</v>
      </c>
      <c r="P570" s="153">
        <f>SUMIF('GUDANG BESAR'!C:C,K:K,'GUDANG BESAR'!K:K)</f>
        <v>459503.37</v>
      </c>
      <c r="Q570" s="150">
        <v>0.219</v>
      </c>
      <c r="R570" s="149">
        <v>0</v>
      </c>
      <c r="S570" s="149">
        <v>219</v>
      </c>
      <c r="T570" s="145">
        <f t="shared" si="24"/>
        <v>90658.773000000001</v>
      </c>
      <c r="U570" s="145">
        <f t="shared" si="25"/>
        <v>100631.23802999999</v>
      </c>
      <c r="V570" s="135" t="str">
        <f>VLOOKUP(K570,Sheet1!$B$5:$C$131,2,0)</f>
        <v>DYESTUFF</v>
      </c>
      <c r="W570" s="181">
        <f t="shared" si="26"/>
        <v>2.1900000000000001E-4</v>
      </c>
    </row>
    <row r="571" spans="1:23" s="139" customFormat="1">
      <c r="A571" s="146" t="s">
        <v>518</v>
      </c>
      <c r="B571" s="147" t="s">
        <v>519</v>
      </c>
      <c r="C571" s="146" t="s">
        <v>137</v>
      </c>
      <c r="D571" s="146" t="s">
        <v>138</v>
      </c>
      <c r="E571" s="146" t="s">
        <v>139</v>
      </c>
      <c r="F571" s="146" t="s">
        <v>140</v>
      </c>
      <c r="G571" s="148" t="s">
        <v>303</v>
      </c>
      <c r="H571" s="146">
        <v>0</v>
      </c>
      <c r="I571" s="146">
        <v>3</v>
      </c>
      <c r="J571" s="146" t="s">
        <v>169</v>
      </c>
      <c r="K571" s="146" t="s">
        <v>64</v>
      </c>
      <c r="L571" s="148" t="s">
        <v>3</v>
      </c>
      <c r="M571" s="146" t="s">
        <v>142</v>
      </c>
      <c r="N571" s="149">
        <v>1000</v>
      </c>
      <c r="O571" s="152">
        <f>SUMIF('GUDANG BESAR'!C:C,K:K,'GUDANG BESAR'!I:I)</f>
        <v>506080</v>
      </c>
      <c r="P571" s="153">
        <f>SUMIF('GUDANG BESAR'!C:C,K:K,'GUDANG BESAR'!K:K)</f>
        <v>561748.80000000005</v>
      </c>
      <c r="Q571" s="150">
        <v>0.49199999999999999</v>
      </c>
      <c r="R571" s="149">
        <v>0</v>
      </c>
      <c r="S571" s="149">
        <v>492</v>
      </c>
      <c r="T571" s="145">
        <f t="shared" si="24"/>
        <v>248991.35999999999</v>
      </c>
      <c r="U571" s="145">
        <f t="shared" si="25"/>
        <v>276380.40960000001</v>
      </c>
      <c r="V571" s="135" t="str">
        <f>VLOOKUP(K571,Sheet1!$B$5:$C$131,2,0)</f>
        <v>DYESTUFF</v>
      </c>
      <c r="W571" s="181">
        <f t="shared" si="26"/>
        <v>4.9200000000000003E-4</v>
      </c>
    </row>
    <row r="572" spans="1:23" s="139" customFormat="1">
      <c r="A572" s="146" t="s">
        <v>518</v>
      </c>
      <c r="B572" s="147" t="s">
        <v>519</v>
      </c>
      <c r="C572" s="146" t="s">
        <v>137</v>
      </c>
      <c r="D572" s="146" t="s">
        <v>138</v>
      </c>
      <c r="E572" s="146" t="s">
        <v>139</v>
      </c>
      <c r="F572" s="146" t="s">
        <v>140</v>
      </c>
      <c r="G572" s="148" t="s">
        <v>303</v>
      </c>
      <c r="H572" s="146">
        <v>0</v>
      </c>
      <c r="I572" s="146">
        <v>4</v>
      </c>
      <c r="J572" s="146" t="s">
        <v>144</v>
      </c>
      <c r="K572" s="146" t="s">
        <v>26</v>
      </c>
      <c r="L572" s="148" t="s">
        <v>3</v>
      </c>
      <c r="M572" s="146" t="s">
        <v>142</v>
      </c>
      <c r="N572" s="149">
        <v>1000</v>
      </c>
      <c r="O572" s="152">
        <f>SUMIF('GUDANG BESAR'!C:C,K:K,'GUDANG BESAR'!I:I)</f>
        <v>52016</v>
      </c>
      <c r="P572" s="153">
        <f>SUMIF('GUDANG BESAR'!C:C,K:K,'GUDANG BESAR'!K:K)</f>
        <v>57737.760000000002</v>
      </c>
      <c r="Q572" s="150">
        <v>0.45500000000000002</v>
      </c>
      <c r="R572" s="149">
        <v>0</v>
      </c>
      <c r="S572" s="149">
        <v>455</v>
      </c>
      <c r="T572" s="145">
        <f t="shared" si="24"/>
        <v>23667.280000000002</v>
      </c>
      <c r="U572" s="145">
        <f t="shared" si="25"/>
        <v>26270.680800000002</v>
      </c>
      <c r="V572" s="135" t="str">
        <f>VLOOKUP(K572,Sheet1!$B$5:$C$131,2,0)</f>
        <v>DYESTUFF</v>
      </c>
      <c r="W572" s="181">
        <f t="shared" si="26"/>
        <v>4.55E-4</v>
      </c>
    </row>
    <row r="573" spans="1:23" s="139" customFormat="1">
      <c r="A573" s="146" t="s">
        <v>518</v>
      </c>
      <c r="B573" s="147" t="s">
        <v>519</v>
      </c>
      <c r="C573" s="146" t="s">
        <v>137</v>
      </c>
      <c r="D573" s="146" t="s">
        <v>138</v>
      </c>
      <c r="E573" s="146" t="s">
        <v>139</v>
      </c>
      <c r="F573" s="146" t="s">
        <v>140</v>
      </c>
      <c r="G573" s="148" t="s">
        <v>303</v>
      </c>
      <c r="H573" s="146">
        <v>0</v>
      </c>
      <c r="I573" s="146">
        <v>5</v>
      </c>
      <c r="J573" s="146" t="s">
        <v>145</v>
      </c>
      <c r="K573" s="146" t="s">
        <v>27</v>
      </c>
      <c r="L573" s="148" t="s">
        <v>3</v>
      </c>
      <c r="M573" s="146" t="s">
        <v>142</v>
      </c>
      <c r="N573" s="149">
        <v>1000</v>
      </c>
      <c r="O573" s="152">
        <f>SUMIF('GUDANG BESAR'!C:C,K:K,'GUDANG BESAR'!I:I)</f>
        <v>71148</v>
      </c>
      <c r="P573" s="153">
        <f>SUMIF('GUDANG BESAR'!C:C,K:K,'GUDANG BESAR'!K:K)</f>
        <v>78974.28</v>
      </c>
      <c r="Q573" s="150">
        <v>0.58899999999999997</v>
      </c>
      <c r="R573" s="149">
        <v>0</v>
      </c>
      <c r="S573" s="149">
        <v>589</v>
      </c>
      <c r="T573" s="145">
        <f t="shared" si="24"/>
        <v>41906.171999999999</v>
      </c>
      <c r="U573" s="145">
        <f t="shared" si="25"/>
        <v>46515.850919999997</v>
      </c>
      <c r="V573" s="135" t="str">
        <f>VLOOKUP(K573,Sheet1!$B$5:$C$131,2,0)</f>
        <v>DYESTUFF</v>
      </c>
      <c r="W573" s="181">
        <f t="shared" si="26"/>
        <v>5.8900000000000001E-4</v>
      </c>
    </row>
    <row r="574" spans="1:23" s="139" customFormat="1">
      <c r="A574" s="146" t="s">
        <v>518</v>
      </c>
      <c r="B574" s="147" t="s">
        <v>519</v>
      </c>
      <c r="C574" s="146" t="s">
        <v>137</v>
      </c>
      <c r="D574" s="146" t="s">
        <v>138</v>
      </c>
      <c r="E574" s="146" t="s">
        <v>139</v>
      </c>
      <c r="F574" s="146" t="s">
        <v>140</v>
      </c>
      <c r="G574" s="148" t="s">
        <v>303</v>
      </c>
      <c r="H574" s="146">
        <v>0</v>
      </c>
      <c r="I574" s="146">
        <v>6</v>
      </c>
      <c r="J574" s="146" t="s">
        <v>289</v>
      </c>
      <c r="K574" s="146" t="s">
        <v>255</v>
      </c>
      <c r="L574" s="148" t="s">
        <v>3</v>
      </c>
      <c r="M574" s="146" t="s">
        <v>142</v>
      </c>
      <c r="N574" s="149">
        <v>1000</v>
      </c>
      <c r="O574" s="152">
        <f>SUMIF('GUDANG BESAR'!C:C,K:K,'GUDANG BESAR'!I:I)</f>
        <v>195336</v>
      </c>
      <c r="P574" s="153">
        <f>SUMIF('GUDANG BESAR'!C:C,K:K,'GUDANG BESAR'!K:K)</f>
        <v>216822.96</v>
      </c>
      <c r="Q574" s="150">
        <v>9.0999999999999998E-2</v>
      </c>
      <c r="R574" s="149">
        <v>0</v>
      </c>
      <c r="S574" s="149">
        <v>91</v>
      </c>
      <c r="T574" s="145">
        <f t="shared" si="24"/>
        <v>17775.576000000001</v>
      </c>
      <c r="U574" s="145">
        <f t="shared" si="25"/>
        <v>19730.889359999997</v>
      </c>
      <c r="V574" s="135" t="str">
        <f>VLOOKUP(K574,Sheet1!$B$5:$C$131,2,0)</f>
        <v>DYESTUFF</v>
      </c>
      <c r="W574" s="181">
        <f t="shared" si="26"/>
        <v>9.1000000000000003E-5</v>
      </c>
    </row>
    <row r="575" spans="1:23" s="139" customFormat="1">
      <c r="A575" s="146" t="s">
        <v>518</v>
      </c>
      <c r="B575" s="147" t="s">
        <v>519</v>
      </c>
      <c r="C575" s="146" t="s">
        <v>137</v>
      </c>
      <c r="D575" s="146" t="s">
        <v>138</v>
      </c>
      <c r="E575" s="146" t="s">
        <v>139</v>
      </c>
      <c r="F575" s="146" t="s">
        <v>140</v>
      </c>
      <c r="G575" s="148" t="s">
        <v>303</v>
      </c>
      <c r="H575" s="146">
        <v>0</v>
      </c>
      <c r="I575" s="146">
        <v>7</v>
      </c>
      <c r="J575" s="146" t="s">
        <v>171</v>
      </c>
      <c r="K575" s="146" t="s">
        <v>102</v>
      </c>
      <c r="L575" s="148" t="s">
        <v>3</v>
      </c>
      <c r="M575" s="146" t="s">
        <v>142</v>
      </c>
      <c r="N575" s="149">
        <v>1000</v>
      </c>
      <c r="O575" s="152">
        <f>SUMIF('GUDANG BESAR'!C:C,K:K,'GUDANG BESAR'!I:I)</f>
        <v>385283</v>
      </c>
      <c r="P575" s="153">
        <f>SUMIF('GUDANG BESAR'!C:C,K:K,'GUDANG BESAR'!K:K)</f>
        <v>427664.13</v>
      </c>
      <c r="Q575" s="150">
        <v>4.2999999999999997E-2</v>
      </c>
      <c r="R575" s="149">
        <v>0</v>
      </c>
      <c r="S575" s="149">
        <v>43</v>
      </c>
      <c r="T575" s="145">
        <f t="shared" si="24"/>
        <v>16567.168999999998</v>
      </c>
      <c r="U575" s="145">
        <f t="shared" si="25"/>
        <v>18389.55759</v>
      </c>
      <c r="V575" s="135" t="str">
        <f>VLOOKUP(K575,Sheet1!$B$5:$C$131,2,0)</f>
        <v>DYESTUFF</v>
      </c>
      <c r="W575" s="181">
        <f t="shared" si="26"/>
        <v>4.2999999999999995E-5</v>
      </c>
    </row>
    <row r="576" spans="1:23" s="139" customFormat="1">
      <c r="A576" s="146" t="s">
        <v>518</v>
      </c>
      <c r="B576" s="147" t="s">
        <v>519</v>
      </c>
      <c r="C576" s="146" t="s">
        <v>137</v>
      </c>
      <c r="D576" s="146" t="s">
        <v>138</v>
      </c>
      <c r="E576" s="146" t="s">
        <v>139</v>
      </c>
      <c r="F576" s="146" t="s">
        <v>140</v>
      </c>
      <c r="G576" s="148" t="s">
        <v>303</v>
      </c>
      <c r="H576" s="146">
        <v>0</v>
      </c>
      <c r="I576" s="146">
        <v>8</v>
      </c>
      <c r="J576" s="146" t="s">
        <v>146</v>
      </c>
      <c r="K576" s="146" t="s">
        <v>46</v>
      </c>
      <c r="L576" s="148" t="s">
        <v>3</v>
      </c>
      <c r="M576" s="146" t="s">
        <v>142</v>
      </c>
      <c r="N576" s="149">
        <v>1000</v>
      </c>
      <c r="O576" s="152">
        <f>SUMIF('GUDANG BESAR'!C:C,K:K,'GUDANG BESAR'!I:I)</f>
        <v>100812</v>
      </c>
      <c r="P576" s="153">
        <f>SUMIF('GUDANG BESAR'!C:C,K:K,'GUDANG BESAR'!K:K)</f>
        <v>111901.32</v>
      </c>
      <c r="Q576" s="150">
        <v>3.4000000000000002E-2</v>
      </c>
      <c r="R576" s="149">
        <v>0</v>
      </c>
      <c r="S576" s="149">
        <v>34</v>
      </c>
      <c r="T576" s="145">
        <f t="shared" si="24"/>
        <v>3427.6080000000002</v>
      </c>
      <c r="U576" s="145">
        <f t="shared" si="25"/>
        <v>3804.6448800000003</v>
      </c>
      <c r="V576" s="135" t="str">
        <f>VLOOKUP(K576,Sheet1!$B$5:$C$131,2,0)</f>
        <v>DYESTUFF</v>
      </c>
      <c r="W576" s="181">
        <f t="shared" si="26"/>
        <v>3.4E-5</v>
      </c>
    </row>
    <row r="577" spans="1:23" s="139" customFormat="1">
      <c r="A577" s="146" t="s">
        <v>518</v>
      </c>
      <c r="B577" s="147" t="s">
        <v>519</v>
      </c>
      <c r="C577" s="146" t="s">
        <v>137</v>
      </c>
      <c r="D577" s="146" t="s">
        <v>138</v>
      </c>
      <c r="E577" s="146" t="s">
        <v>139</v>
      </c>
      <c r="F577" s="146" t="s">
        <v>140</v>
      </c>
      <c r="G577" s="148" t="s">
        <v>303</v>
      </c>
      <c r="H577" s="146">
        <v>0</v>
      </c>
      <c r="I577" s="146">
        <v>10</v>
      </c>
      <c r="J577" s="146" t="s">
        <v>170</v>
      </c>
      <c r="K577" s="146" t="s">
        <v>29</v>
      </c>
      <c r="L577" s="148" t="s">
        <v>3</v>
      </c>
      <c r="M577" s="146" t="s">
        <v>142</v>
      </c>
      <c r="N577" s="149">
        <v>1000</v>
      </c>
      <c r="O577" s="152">
        <f>SUMIF('GUDANG BESAR'!C:C,K:K,'GUDANG BESAR'!I:I)</f>
        <v>100590</v>
      </c>
      <c r="P577" s="153">
        <f>SUMIF('GUDANG BESAR'!C:C,K:K,'GUDANG BESAR'!K:K)</f>
        <v>111654.9</v>
      </c>
      <c r="Q577" s="150">
        <v>2.5000000000000001E-2</v>
      </c>
      <c r="R577" s="149">
        <v>0</v>
      </c>
      <c r="S577" s="149">
        <v>25</v>
      </c>
      <c r="T577" s="145">
        <f t="shared" si="24"/>
        <v>2514.75</v>
      </c>
      <c r="U577" s="145">
        <f t="shared" si="25"/>
        <v>2791.3724999999999</v>
      </c>
      <c r="V577" s="135" t="str">
        <f>VLOOKUP(K577,Sheet1!$B$5:$C$131,2,0)</f>
        <v>DYESTUFF</v>
      </c>
      <c r="W577" s="181">
        <f t="shared" si="26"/>
        <v>2.5000000000000001E-5</v>
      </c>
    </row>
    <row r="578" spans="1:23" s="139" customFormat="1">
      <c r="A578" s="146" t="s">
        <v>518</v>
      </c>
      <c r="B578" s="147" t="s">
        <v>519</v>
      </c>
      <c r="C578" s="146" t="s">
        <v>137</v>
      </c>
      <c r="D578" s="146" t="s">
        <v>138</v>
      </c>
      <c r="E578" s="146" t="s">
        <v>139</v>
      </c>
      <c r="F578" s="146" t="s">
        <v>140</v>
      </c>
      <c r="G578" s="148" t="s">
        <v>303</v>
      </c>
      <c r="H578" s="146">
        <v>0</v>
      </c>
      <c r="I578" s="146">
        <v>11</v>
      </c>
      <c r="J578" s="146" t="s">
        <v>148</v>
      </c>
      <c r="K578" s="146" t="s">
        <v>30</v>
      </c>
      <c r="L578" s="148" t="s">
        <v>3</v>
      </c>
      <c r="M578" s="146" t="s">
        <v>142</v>
      </c>
      <c r="N578" s="149">
        <v>1000</v>
      </c>
      <c r="O578" s="152">
        <f>SUMIF('GUDANG BESAR'!C:C,K:K,'GUDANG BESAR'!I:I)</f>
        <v>77089.399999999994</v>
      </c>
      <c r="P578" s="153">
        <f>SUMIF('GUDANG BESAR'!C:C,K:K,'GUDANG BESAR'!K:K)</f>
        <v>85569.233999999997</v>
      </c>
      <c r="Q578" s="150">
        <v>9.7000000000000003E-2</v>
      </c>
      <c r="R578" s="149">
        <v>0</v>
      </c>
      <c r="S578" s="149">
        <v>97</v>
      </c>
      <c r="T578" s="145">
        <f t="shared" si="24"/>
        <v>7477.6718000000001</v>
      </c>
      <c r="U578" s="145">
        <f t="shared" si="25"/>
        <v>8300.215698</v>
      </c>
      <c r="V578" s="135" t="str">
        <f>VLOOKUP(K578,Sheet1!$B$5:$C$131,2,0)</f>
        <v>DYESTUFF</v>
      </c>
      <c r="W578" s="181">
        <f t="shared" si="26"/>
        <v>9.7E-5</v>
      </c>
    </row>
    <row r="579" spans="1:23" s="139" customFormat="1">
      <c r="A579" s="146" t="s">
        <v>518</v>
      </c>
      <c r="B579" s="147" t="s">
        <v>519</v>
      </c>
      <c r="C579" s="146" t="s">
        <v>137</v>
      </c>
      <c r="D579" s="146" t="s">
        <v>138</v>
      </c>
      <c r="E579" s="146" t="s">
        <v>139</v>
      </c>
      <c r="F579" s="146" t="s">
        <v>140</v>
      </c>
      <c r="G579" s="148" t="s">
        <v>300</v>
      </c>
      <c r="H579" s="146">
        <v>0</v>
      </c>
      <c r="I579" s="146">
        <v>16</v>
      </c>
      <c r="J579" s="146" t="s">
        <v>314</v>
      </c>
      <c r="K579" s="146" t="s">
        <v>281</v>
      </c>
      <c r="L579" s="148" t="s">
        <v>3</v>
      </c>
      <c r="M579" s="146" t="s">
        <v>142</v>
      </c>
      <c r="N579" s="149">
        <v>1000</v>
      </c>
      <c r="O579" s="152">
        <f>SUMIF('GUDANG BESAR'!C:C,K:K,'GUDANG BESAR'!I:I)</f>
        <v>23590.51</v>
      </c>
      <c r="P579" s="153">
        <f>SUMIF('GUDANG BESAR'!C:C,K:K,'GUDANG BESAR'!K:K)</f>
        <v>26185.466099999998</v>
      </c>
      <c r="Q579" s="150">
        <v>180</v>
      </c>
      <c r="R579" s="149">
        <v>180</v>
      </c>
      <c r="S579" s="149">
        <v>0</v>
      </c>
      <c r="T579" s="145">
        <f t="shared" si="24"/>
        <v>4246291.8</v>
      </c>
      <c r="U579" s="145">
        <f t="shared" si="25"/>
        <v>4713383.898</v>
      </c>
      <c r="V579" s="135" t="str">
        <f>VLOOKUP(K579,Sheet1!$B$5:$C$131,2,0)</f>
        <v>CK</v>
      </c>
      <c r="W579" s="181">
        <f t="shared" si="26"/>
        <v>0.18</v>
      </c>
    </row>
    <row r="580" spans="1:23" s="139" customFormat="1">
      <c r="A580" s="146" t="s">
        <v>518</v>
      </c>
      <c r="B580" s="147" t="s">
        <v>519</v>
      </c>
      <c r="C580" s="146" t="s">
        <v>137</v>
      </c>
      <c r="D580" s="146" t="s">
        <v>138</v>
      </c>
      <c r="E580" s="146" t="s">
        <v>139</v>
      </c>
      <c r="F580" s="146" t="s">
        <v>162</v>
      </c>
      <c r="G580" s="148" t="s">
        <v>214</v>
      </c>
      <c r="H580" s="146">
        <v>0</v>
      </c>
      <c r="I580" s="146">
        <v>22</v>
      </c>
      <c r="J580" s="146" t="s">
        <v>234</v>
      </c>
      <c r="K580" s="146" t="s">
        <v>233</v>
      </c>
      <c r="L580" s="148" t="s">
        <v>3</v>
      </c>
      <c r="M580" s="146" t="s">
        <v>142</v>
      </c>
      <c r="N580" s="149">
        <v>1000</v>
      </c>
      <c r="O580" s="152">
        <f>SUMIF('GUDANG BESAR'!C:C,K:K,'GUDANG BESAR'!I:I)</f>
        <v>5500</v>
      </c>
      <c r="P580" s="153">
        <f>SUMIF('GUDANG BESAR'!C:C,K:K,'GUDANG BESAR'!K:K)</f>
        <v>6105</v>
      </c>
      <c r="Q580" s="150">
        <v>75</v>
      </c>
      <c r="R580" s="149">
        <v>75</v>
      </c>
      <c r="S580" s="149">
        <v>0</v>
      </c>
      <c r="T580" s="145">
        <f t="shared" si="24"/>
        <v>412500</v>
      </c>
      <c r="U580" s="145">
        <f t="shared" si="25"/>
        <v>457875</v>
      </c>
      <c r="V580" s="135" t="str">
        <f>VLOOKUP(K580,Sheet1!$B$5:$C$131,2,0)</f>
        <v>LIMBAH</v>
      </c>
      <c r="W580" s="181">
        <f t="shared" si="26"/>
        <v>7.4999999999999997E-2</v>
      </c>
    </row>
    <row r="581" spans="1:23" s="139" customFormat="1">
      <c r="A581" s="146" t="s">
        <v>518</v>
      </c>
      <c r="B581" s="147" t="s">
        <v>519</v>
      </c>
      <c r="C581" s="146" t="s">
        <v>137</v>
      </c>
      <c r="D581" s="146" t="s">
        <v>138</v>
      </c>
      <c r="E581" s="146" t="s">
        <v>139</v>
      </c>
      <c r="F581" s="146" t="s">
        <v>140</v>
      </c>
      <c r="G581" s="148" t="s">
        <v>303</v>
      </c>
      <c r="H581" s="146">
        <v>0</v>
      </c>
      <c r="I581" s="146">
        <v>12</v>
      </c>
      <c r="J581" s="146" t="s">
        <v>502</v>
      </c>
      <c r="K581" s="146" t="s">
        <v>103</v>
      </c>
      <c r="L581" s="148" t="s">
        <v>3</v>
      </c>
      <c r="M581" s="146" t="s">
        <v>142</v>
      </c>
      <c r="N581" s="149">
        <v>1000</v>
      </c>
      <c r="O581" s="152">
        <f>SUMIF('GUDANG BESAR'!C:C,K:K,'GUDANG BESAR'!I:I)</f>
        <v>114100</v>
      </c>
      <c r="P581" s="153">
        <f>SUMIF('GUDANG BESAR'!C:C,K:K,'GUDANG BESAR'!K:K)</f>
        <v>126651</v>
      </c>
      <c r="Q581" s="150">
        <v>0.41799999999999998</v>
      </c>
      <c r="R581" s="149">
        <v>0</v>
      </c>
      <c r="S581" s="149">
        <v>418</v>
      </c>
      <c r="T581" s="145">
        <f t="shared" si="24"/>
        <v>47693.799999999996</v>
      </c>
      <c r="U581" s="145">
        <f t="shared" si="25"/>
        <v>52940.117999999995</v>
      </c>
      <c r="V581" s="135" t="str">
        <f>VLOOKUP(K581,Sheet1!$B$5:$C$131,2,0)</f>
        <v>DYESTUFF</v>
      </c>
      <c r="W581" s="181">
        <f t="shared" si="26"/>
        <v>4.1799999999999997E-4</v>
      </c>
    </row>
    <row r="582" spans="1:23" s="139" customFormat="1">
      <c r="A582" s="146" t="s">
        <v>518</v>
      </c>
      <c r="B582" s="147" t="s">
        <v>519</v>
      </c>
      <c r="C582" s="146" t="s">
        <v>137</v>
      </c>
      <c r="D582" s="146" t="s">
        <v>138</v>
      </c>
      <c r="E582" s="146" t="s">
        <v>139</v>
      </c>
      <c r="F582" s="146" t="s">
        <v>140</v>
      </c>
      <c r="G582" s="148" t="s">
        <v>303</v>
      </c>
      <c r="H582" s="146">
        <v>0</v>
      </c>
      <c r="I582" s="146">
        <v>13</v>
      </c>
      <c r="J582" s="146" t="s">
        <v>504</v>
      </c>
      <c r="K582" s="146" t="s">
        <v>107</v>
      </c>
      <c r="L582" s="148" t="s">
        <v>3</v>
      </c>
      <c r="M582" s="146" t="s">
        <v>142</v>
      </c>
      <c r="N582" s="149">
        <v>1000</v>
      </c>
      <c r="O582" s="152">
        <f>SUMIF('GUDANG BESAR'!C:C,K:K,'GUDANG BESAR'!I:I)</f>
        <v>113785</v>
      </c>
      <c r="P582" s="153">
        <f>SUMIF('GUDANG BESAR'!C:C,K:K,'GUDANG BESAR'!K:K)</f>
        <v>126301.35</v>
      </c>
      <c r="Q582" s="150">
        <v>1.4319999999999999</v>
      </c>
      <c r="R582" s="149">
        <v>1</v>
      </c>
      <c r="S582" s="149">
        <v>432</v>
      </c>
      <c r="T582" s="145">
        <f t="shared" ref="T582:T645" si="27">O582*Q582</f>
        <v>162940.12</v>
      </c>
      <c r="U582" s="145">
        <f t="shared" ref="U582:U645" si="28">P582*Q582</f>
        <v>180863.53320000001</v>
      </c>
      <c r="V582" s="135" t="str">
        <f>VLOOKUP(K582,Sheet1!$B$5:$C$131,2,0)</f>
        <v>DYESTUFF</v>
      </c>
      <c r="W582" s="181">
        <f t="shared" ref="W582:W645" si="29">Q582/$W$5</f>
        <v>1.4319999999999999E-3</v>
      </c>
    </row>
    <row r="583" spans="1:23" s="139" customFormat="1">
      <c r="A583" s="146" t="s">
        <v>518</v>
      </c>
      <c r="B583" s="147" t="s">
        <v>519</v>
      </c>
      <c r="C583" s="146" t="s">
        <v>137</v>
      </c>
      <c r="D583" s="146" t="s">
        <v>138</v>
      </c>
      <c r="E583" s="146" t="s">
        <v>139</v>
      </c>
      <c r="F583" s="146" t="s">
        <v>140</v>
      </c>
      <c r="G583" s="148" t="s">
        <v>303</v>
      </c>
      <c r="H583" s="146">
        <v>0</v>
      </c>
      <c r="I583" s="146">
        <v>14</v>
      </c>
      <c r="J583" s="146" t="s">
        <v>506</v>
      </c>
      <c r="K583" s="146" t="s">
        <v>110</v>
      </c>
      <c r="L583" s="148" t="s">
        <v>3</v>
      </c>
      <c r="M583" s="146" t="s">
        <v>142</v>
      </c>
      <c r="N583" s="149">
        <v>1000</v>
      </c>
      <c r="O583" s="152">
        <f>SUMIF('GUDANG BESAR'!C:C,K:K,'GUDANG BESAR'!I:I)</f>
        <v>138978</v>
      </c>
      <c r="P583" s="153">
        <f>SUMIF('GUDANG BESAR'!C:C,K:K,'GUDANG BESAR'!K:K)</f>
        <v>154265.57999999999</v>
      </c>
      <c r="Q583" s="150">
        <v>9.9000000000000005E-2</v>
      </c>
      <c r="R583" s="149">
        <v>0</v>
      </c>
      <c r="S583" s="149">
        <v>99</v>
      </c>
      <c r="T583" s="145">
        <f t="shared" si="27"/>
        <v>13758.822</v>
      </c>
      <c r="U583" s="145">
        <f t="shared" si="28"/>
        <v>15272.29242</v>
      </c>
      <c r="V583" s="135" t="str">
        <f>VLOOKUP(K583,Sheet1!$B$5:$C$131,2,0)</f>
        <v>DYESTUFF</v>
      </c>
      <c r="W583" s="181">
        <f t="shared" si="29"/>
        <v>9.9000000000000008E-5</v>
      </c>
    </row>
    <row r="584" spans="1:23" s="139" customFormat="1">
      <c r="A584" s="146" t="s">
        <v>518</v>
      </c>
      <c r="B584" s="147" t="s">
        <v>519</v>
      </c>
      <c r="C584" s="146" t="s">
        <v>137</v>
      </c>
      <c r="D584" s="146" t="s">
        <v>138</v>
      </c>
      <c r="E584" s="146" t="s">
        <v>139</v>
      </c>
      <c r="F584" s="146" t="s">
        <v>140</v>
      </c>
      <c r="G584" s="148" t="s">
        <v>303</v>
      </c>
      <c r="H584" s="146">
        <v>0</v>
      </c>
      <c r="I584" s="146">
        <v>15</v>
      </c>
      <c r="J584" s="146" t="s">
        <v>507</v>
      </c>
      <c r="K584" s="146" t="s">
        <v>113</v>
      </c>
      <c r="L584" s="148" t="s">
        <v>3</v>
      </c>
      <c r="M584" s="146" t="s">
        <v>142</v>
      </c>
      <c r="N584" s="149">
        <v>1000</v>
      </c>
      <c r="O584" s="152">
        <f>SUMIF('GUDANG BESAR'!C:C,K:K,'GUDANG BESAR'!I:I)</f>
        <v>57050</v>
      </c>
      <c r="P584" s="153">
        <f>SUMIF('GUDANG BESAR'!C:C,K:K,'GUDANG BESAR'!K:K)</f>
        <v>63325.5</v>
      </c>
      <c r="Q584" s="150">
        <v>6.0570000000000004</v>
      </c>
      <c r="R584" s="149">
        <v>6</v>
      </c>
      <c r="S584" s="149">
        <v>57</v>
      </c>
      <c r="T584" s="145">
        <f t="shared" si="27"/>
        <v>345551.85000000003</v>
      </c>
      <c r="U584" s="145">
        <f t="shared" si="28"/>
        <v>383562.55350000004</v>
      </c>
      <c r="V584" s="135" t="str">
        <f>VLOOKUP(K584,Sheet1!$B$5:$C$131,2,0)</f>
        <v>DYESTUFF</v>
      </c>
      <c r="W584" s="181">
        <f t="shared" si="29"/>
        <v>6.0570000000000008E-3</v>
      </c>
    </row>
    <row r="585" spans="1:23" s="139" customFormat="1">
      <c r="A585" s="146" t="s">
        <v>518</v>
      </c>
      <c r="B585" s="147" t="s">
        <v>519</v>
      </c>
      <c r="C585" s="146" t="s">
        <v>137</v>
      </c>
      <c r="D585" s="146" t="s">
        <v>138</v>
      </c>
      <c r="E585" s="146" t="s">
        <v>139</v>
      </c>
      <c r="F585" s="146" t="s">
        <v>140</v>
      </c>
      <c r="G585" s="148" t="s">
        <v>300</v>
      </c>
      <c r="H585" s="146">
        <v>0</v>
      </c>
      <c r="I585" s="146">
        <v>17</v>
      </c>
      <c r="J585" s="146" t="s">
        <v>345</v>
      </c>
      <c r="K585" s="146" t="s">
        <v>313</v>
      </c>
      <c r="L585" s="148" t="s">
        <v>3</v>
      </c>
      <c r="M585" s="146" t="s">
        <v>142</v>
      </c>
      <c r="N585" s="149">
        <v>1000</v>
      </c>
      <c r="O585" s="152">
        <f>SUMIF('GUDANG BESAR'!C:C,K:K,'GUDANG BESAR'!I:I)</f>
        <v>17787</v>
      </c>
      <c r="P585" s="153">
        <f>SUMIF('GUDANG BESAR'!C:C,K:K,'GUDANG BESAR'!K:K)</f>
        <v>19743.57</v>
      </c>
      <c r="Q585" s="150">
        <v>50</v>
      </c>
      <c r="R585" s="149">
        <v>50</v>
      </c>
      <c r="S585" s="149">
        <v>0</v>
      </c>
      <c r="T585" s="145">
        <f t="shared" si="27"/>
        <v>889350</v>
      </c>
      <c r="U585" s="145">
        <f t="shared" si="28"/>
        <v>987178.5</v>
      </c>
      <c r="V585" s="135" t="str">
        <f>VLOOKUP(K585,Sheet1!$B$5:$C$131,2,0)</f>
        <v>CK</v>
      </c>
      <c r="W585" s="181">
        <f t="shared" si="29"/>
        <v>0.05</v>
      </c>
    </row>
    <row r="586" spans="1:23" s="139" customFormat="1">
      <c r="A586" s="146" t="s">
        <v>518</v>
      </c>
      <c r="B586" s="147" t="s">
        <v>519</v>
      </c>
      <c r="C586" s="146" t="s">
        <v>137</v>
      </c>
      <c r="D586" s="146" t="s">
        <v>138</v>
      </c>
      <c r="E586" s="146" t="s">
        <v>139</v>
      </c>
      <c r="F586" s="146" t="s">
        <v>140</v>
      </c>
      <c r="G586" s="148" t="s">
        <v>300</v>
      </c>
      <c r="H586" s="146">
        <v>0</v>
      </c>
      <c r="I586" s="146">
        <v>18</v>
      </c>
      <c r="J586" s="146" t="s">
        <v>510</v>
      </c>
      <c r="K586" s="146" t="s">
        <v>257</v>
      </c>
      <c r="L586" s="148" t="s">
        <v>3</v>
      </c>
      <c r="M586" s="146" t="s">
        <v>142</v>
      </c>
      <c r="N586" s="149">
        <v>1000</v>
      </c>
      <c r="O586" s="152">
        <f>SUMIF('GUDANG BESAR'!C:C,K:K,'GUDANG BESAR'!I:I)</f>
        <v>28000</v>
      </c>
      <c r="P586" s="153">
        <f>SUMIF('GUDANG BESAR'!C:C,K:K,'GUDANG BESAR'!K:K)</f>
        <v>31080</v>
      </c>
      <c r="Q586" s="150">
        <v>10</v>
      </c>
      <c r="R586" s="149">
        <v>10</v>
      </c>
      <c r="S586" s="149">
        <v>0</v>
      </c>
      <c r="T586" s="145">
        <f t="shared" si="27"/>
        <v>280000</v>
      </c>
      <c r="U586" s="145">
        <f t="shared" si="28"/>
        <v>310800</v>
      </c>
      <c r="V586" s="135" t="str">
        <f>VLOOKUP(K586,Sheet1!$B$5:$C$131,2,0)</f>
        <v>CK</v>
      </c>
      <c r="W586" s="181">
        <f t="shared" si="29"/>
        <v>0.01</v>
      </c>
    </row>
    <row r="587" spans="1:23" s="139" customFormat="1">
      <c r="A587" s="146" t="s">
        <v>518</v>
      </c>
      <c r="B587" s="147" t="s">
        <v>519</v>
      </c>
      <c r="C587" s="146" t="s">
        <v>137</v>
      </c>
      <c r="D587" s="146" t="s">
        <v>138</v>
      </c>
      <c r="E587" s="146" t="s">
        <v>139</v>
      </c>
      <c r="F587" s="146" t="s">
        <v>156</v>
      </c>
      <c r="G587" s="148" t="s">
        <v>337</v>
      </c>
      <c r="H587" s="146">
        <v>0</v>
      </c>
      <c r="I587" s="146">
        <v>21</v>
      </c>
      <c r="J587" s="146" t="s">
        <v>374</v>
      </c>
      <c r="K587" s="146" t="s">
        <v>44</v>
      </c>
      <c r="L587" s="148" t="s">
        <v>3</v>
      </c>
      <c r="M587" s="146" t="s">
        <v>142</v>
      </c>
      <c r="N587" s="149">
        <v>1000</v>
      </c>
      <c r="O587" s="152">
        <f>SUMIF('GUDANG BESAR'!C:C,K:K,'GUDANG BESAR'!I:I)</f>
        <v>201876</v>
      </c>
      <c r="P587" s="153">
        <f>SUMIF('GUDANG BESAR'!C:C,K:K,'GUDANG BESAR'!K:K)</f>
        <v>224082.36</v>
      </c>
      <c r="Q587" s="150">
        <v>2</v>
      </c>
      <c r="R587" s="149">
        <v>2</v>
      </c>
      <c r="S587" s="149">
        <v>0</v>
      </c>
      <c r="T587" s="145">
        <f t="shared" si="27"/>
        <v>403752</v>
      </c>
      <c r="U587" s="145">
        <f t="shared" si="28"/>
        <v>448164.72</v>
      </c>
      <c r="V587" s="135" t="str">
        <f>VLOOKUP(K587,Sheet1!$B$5:$C$131,2,0)</f>
        <v>CHEMICAL PRINTING</v>
      </c>
      <c r="W587" s="181">
        <f t="shared" si="29"/>
        <v>2E-3</v>
      </c>
    </row>
    <row r="588" spans="1:23" s="139" customFormat="1">
      <c r="A588" s="146" t="s">
        <v>518</v>
      </c>
      <c r="B588" s="147" t="s">
        <v>519</v>
      </c>
      <c r="C588" s="146" t="s">
        <v>137</v>
      </c>
      <c r="D588" s="146" t="s">
        <v>138</v>
      </c>
      <c r="E588" s="146" t="s">
        <v>139</v>
      </c>
      <c r="F588" s="146" t="s">
        <v>162</v>
      </c>
      <c r="G588" s="148" t="s">
        <v>214</v>
      </c>
      <c r="H588" s="146">
        <v>0</v>
      </c>
      <c r="I588" s="146">
        <v>26</v>
      </c>
      <c r="J588" s="146" t="s">
        <v>165</v>
      </c>
      <c r="K588" s="146" t="s">
        <v>80</v>
      </c>
      <c r="L588" s="148" t="s">
        <v>3</v>
      </c>
      <c r="M588" s="146" t="s">
        <v>142</v>
      </c>
      <c r="N588" s="149">
        <v>1000</v>
      </c>
      <c r="O588" s="152">
        <f>SUMIF('GUDANG BESAR'!C:C,K:K,'GUDANG BESAR'!I:I)</f>
        <v>1550000</v>
      </c>
      <c r="P588" s="153">
        <f>SUMIF('GUDANG BESAR'!C:C,K:K,'GUDANG BESAR'!K:K)</f>
        <v>1720500</v>
      </c>
      <c r="Q588" s="150">
        <v>0.05</v>
      </c>
      <c r="R588" s="149">
        <v>0</v>
      </c>
      <c r="S588" s="149">
        <v>50</v>
      </c>
      <c r="T588" s="145">
        <f t="shared" si="27"/>
        <v>77500</v>
      </c>
      <c r="U588" s="145">
        <f t="shared" si="28"/>
        <v>86025</v>
      </c>
      <c r="V588" s="135" t="str">
        <f>VLOOKUP(K588,Sheet1!$B$5:$C$131,2,0)</f>
        <v>LIMBAH</v>
      </c>
      <c r="W588" s="181">
        <f t="shared" si="29"/>
        <v>5.0000000000000002E-5</v>
      </c>
    </row>
    <row r="589" spans="1:23" s="139" customFormat="1">
      <c r="A589" s="146" t="s">
        <v>518</v>
      </c>
      <c r="B589" s="147" t="s">
        <v>519</v>
      </c>
      <c r="C589" s="146" t="s">
        <v>137</v>
      </c>
      <c r="D589" s="146" t="s">
        <v>138</v>
      </c>
      <c r="E589" s="146" t="s">
        <v>139</v>
      </c>
      <c r="F589" s="146" t="s">
        <v>162</v>
      </c>
      <c r="G589" s="148" t="s">
        <v>214</v>
      </c>
      <c r="H589" s="146">
        <v>0</v>
      </c>
      <c r="I589" s="146">
        <v>25</v>
      </c>
      <c r="J589" s="146" t="s">
        <v>164</v>
      </c>
      <c r="K589" s="146" t="s">
        <v>74</v>
      </c>
      <c r="L589" s="148" t="s">
        <v>5</v>
      </c>
      <c r="M589" s="146" t="s">
        <v>142</v>
      </c>
      <c r="N589" s="149">
        <v>1000</v>
      </c>
      <c r="O589" s="152">
        <f>SUMIF('GUDANG BESAR'!C:C,K:K,'GUDANG BESAR'!I:I)</f>
        <v>13180</v>
      </c>
      <c r="P589" s="153">
        <f>SUMIF('GUDANG BESAR'!C:C,K:K,'GUDANG BESAR'!K:K)</f>
        <v>14629.8</v>
      </c>
      <c r="Q589" s="150">
        <v>15</v>
      </c>
      <c r="R589" s="149">
        <v>15</v>
      </c>
      <c r="S589" s="149">
        <v>0</v>
      </c>
      <c r="T589" s="145">
        <f t="shared" si="27"/>
        <v>197700</v>
      </c>
      <c r="U589" s="145">
        <f t="shared" si="28"/>
        <v>219447</v>
      </c>
      <c r="V589" s="135" t="str">
        <f>VLOOKUP(K589,Sheet1!$B$5:$C$131,2,0)</f>
        <v>LIMBAH</v>
      </c>
      <c r="W589" s="181">
        <f t="shared" si="29"/>
        <v>1.4999999999999999E-2</v>
      </c>
    </row>
    <row r="590" spans="1:23" s="139" customFormat="1">
      <c r="A590" s="146" t="s">
        <v>518</v>
      </c>
      <c r="B590" s="147" t="s">
        <v>519</v>
      </c>
      <c r="C590" s="146" t="s">
        <v>137</v>
      </c>
      <c r="D590" s="146" t="s">
        <v>138</v>
      </c>
      <c r="E590" s="146" t="s">
        <v>139</v>
      </c>
      <c r="F590" s="146" t="s">
        <v>162</v>
      </c>
      <c r="G590" s="148" t="s">
        <v>214</v>
      </c>
      <c r="H590" s="146">
        <v>0</v>
      </c>
      <c r="I590" s="146">
        <v>24</v>
      </c>
      <c r="J590" s="146" t="s">
        <v>263</v>
      </c>
      <c r="K590" s="146" t="s">
        <v>259</v>
      </c>
      <c r="L590" s="148" t="s">
        <v>3</v>
      </c>
      <c r="M590" s="146" t="s">
        <v>142</v>
      </c>
      <c r="N590" s="149">
        <v>1000</v>
      </c>
      <c r="O590" s="152">
        <f>SUMIF('GUDANG BESAR'!C:C,K:K,'GUDANG BESAR'!I:I)</f>
        <v>47500</v>
      </c>
      <c r="P590" s="153">
        <f>SUMIF('GUDANG BESAR'!C:C,K:K,'GUDANG BESAR'!K:K)</f>
        <v>52725</v>
      </c>
      <c r="Q590" s="150">
        <v>5</v>
      </c>
      <c r="R590" s="149">
        <v>5</v>
      </c>
      <c r="S590" s="149">
        <v>0</v>
      </c>
      <c r="T590" s="145">
        <f t="shared" si="27"/>
        <v>237500</v>
      </c>
      <c r="U590" s="145">
        <f t="shared" si="28"/>
        <v>263625</v>
      </c>
      <c r="V590" s="135" t="str">
        <f>VLOOKUP(K590,Sheet1!$B$5:$C$131,2,0)</f>
        <v>LIMBAH</v>
      </c>
      <c r="W590" s="181">
        <f t="shared" si="29"/>
        <v>5.0000000000000001E-3</v>
      </c>
    </row>
    <row r="591" spans="1:23" s="139" customFormat="1">
      <c r="A591" s="146" t="s">
        <v>520</v>
      </c>
      <c r="B591" s="147" t="s">
        <v>521</v>
      </c>
      <c r="C591" s="146" t="s">
        <v>137</v>
      </c>
      <c r="D591" s="146" t="s">
        <v>138</v>
      </c>
      <c r="E591" s="146" t="s">
        <v>139</v>
      </c>
      <c r="F591" s="146" t="s">
        <v>166</v>
      </c>
      <c r="G591" s="148" t="s">
        <v>336</v>
      </c>
      <c r="H591" s="146">
        <v>0</v>
      </c>
      <c r="I591" s="146">
        <v>23</v>
      </c>
      <c r="J591" s="146" t="s">
        <v>157</v>
      </c>
      <c r="K591" s="146" t="s">
        <v>48</v>
      </c>
      <c r="L591" s="148" t="s">
        <v>93</v>
      </c>
      <c r="M591" s="146" t="s">
        <v>158</v>
      </c>
      <c r="N591" s="149">
        <v>1000</v>
      </c>
      <c r="O591" s="152">
        <f>SUMIF('GUDANG BESAR'!C:C,K:K,'GUDANG BESAR'!I:I)</f>
        <v>18500</v>
      </c>
      <c r="P591" s="153">
        <f>SUMIF('GUDANG BESAR'!C:C,K:K,'GUDANG BESAR'!K:K)</f>
        <v>20535</v>
      </c>
      <c r="Q591" s="150">
        <v>20</v>
      </c>
      <c r="R591" s="149">
        <v>20</v>
      </c>
      <c r="S591" s="149">
        <v>0</v>
      </c>
      <c r="T591" s="145">
        <f t="shared" si="27"/>
        <v>370000</v>
      </c>
      <c r="U591" s="145">
        <f t="shared" si="28"/>
        <v>410700</v>
      </c>
      <c r="V591" s="135" t="str">
        <f>VLOOKUP(K591,Sheet1!$B$5:$C$131,2,0)</f>
        <v>ENGGRAVING</v>
      </c>
      <c r="W591" s="181">
        <f t="shared" si="29"/>
        <v>0.02</v>
      </c>
    </row>
    <row r="592" spans="1:23" s="139" customFormat="1">
      <c r="A592" s="146" t="s">
        <v>520</v>
      </c>
      <c r="B592" s="147" t="s">
        <v>521</v>
      </c>
      <c r="C592" s="146" t="s">
        <v>137</v>
      </c>
      <c r="D592" s="146" t="s">
        <v>138</v>
      </c>
      <c r="E592" s="146" t="s">
        <v>139</v>
      </c>
      <c r="F592" s="146" t="s">
        <v>153</v>
      </c>
      <c r="G592" s="148" t="s">
        <v>299</v>
      </c>
      <c r="H592" s="146">
        <v>0</v>
      </c>
      <c r="I592" s="146">
        <v>19</v>
      </c>
      <c r="J592" s="146" t="s">
        <v>154</v>
      </c>
      <c r="K592" s="146" t="s">
        <v>23</v>
      </c>
      <c r="L592" s="148" t="s">
        <v>3</v>
      </c>
      <c r="M592" s="146" t="s">
        <v>142</v>
      </c>
      <c r="N592" s="149">
        <v>1000</v>
      </c>
      <c r="O592" s="152">
        <f>SUMIF('GUDANG BESAR'!C:C,K:K,'GUDANG BESAR'!I:I)</f>
        <v>28844</v>
      </c>
      <c r="P592" s="153">
        <f>SUMIF('GUDANG BESAR'!C:C,K:K,'GUDANG BESAR'!K:K)</f>
        <v>32016.84</v>
      </c>
      <c r="Q592" s="150">
        <v>250</v>
      </c>
      <c r="R592" s="149">
        <v>250</v>
      </c>
      <c r="S592" s="149">
        <v>0</v>
      </c>
      <c r="T592" s="145">
        <f t="shared" si="27"/>
        <v>7211000</v>
      </c>
      <c r="U592" s="145">
        <f t="shared" si="28"/>
        <v>8004210</v>
      </c>
      <c r="V592" s="135" t="str">
        <f>VLOOKUP(K592,Sheet1!$B$5:$C$131,2,0)</f>
        <v>RC</v>
      </c>
      <c r="W592" s="181">
        <f t="shared" si="29"/>
        <v>0.25</v>
      </c>
    </row>
    <row r="593" spans="1:23" s="139" customFormat="1">
      <c r="A593" s="146" t="s">
        <v>520</v>
      </c>
      <c r="B593" s="147" t="s">
        <v>521</v>
      </c>
      <c r="C593" s="146" t="s">
        <v>137</v>
      </c>
      <c r="D593" s="146" t="s">
        <v>138</v>
      </c>
      <c r="E593" s="146" t="s">
        <v>139</v>
      </c>
      <c r="F593" s="146" t="s">
        <v>162</v>
      </c>
      <c r="G593" s="148" t="s">
        <v>214</v>
      </c>
      <c r="H593" s="146">
        <v>0</v>
      </c>
      <c r="I593" s="146">
        <v>28</v>
      </c>
      <c r="J593" s="146" t="s">
        <v>240</v>
      </c>
      <c r="K593" s="146" t="s">
        <v>237</v>
      </c>
      <c r="L593" s="148" t="s">
        <v>3</v>
      </c>
      <c r="M593" s="146" t="s">
        <v>142</v>
      </c>
      <c r="N593" s="149">
        <v>1000</v>
      </c>
      <c r="O593" s="152">
        <f>SUMIF('GUDANG BESAR'!C:C,K:K,'GUDANG BESAR'!I:I)</f>
        <v>14750</v>
      </c>
      <c r="P593" s="153">
        <f>SUMIF('GUDANG BESAR'!C:C,K:K,'GUDANG BESAR'!K:K)</f>
        <v>16372.5</v>
      </c>
      <c r="Q593" s="150">
        <v>25</v>
      </c>
      <c r="R593" s="149">
        <v>25</v>
      </c>
      <c r="S593" s="149">
        <v>0</v>
      </c>
      <c r="T593" s="145">
        <f t="shared" si="27"/>
        <v>368750</v>
      </c>
      <c r="U593" s="145">
        <f t="shared" si="28"/>
        <v>409312.5</v>
      </c>
      <c r="V593" s="135" t="str">
        <f>VLOOKUP(K593,Sheet1!$B$5:$C$131,2,0)</f>
        <v>LIMBAH</v>
      </c>
      <c r="W593" s="181">
        <f t="shared" si="29"/>
        <v>2.5000000000000001E-2</v>
      </c>
    </row>
    <row r="594" spans="1:23" s="139" customFormat="1">
      <c r="A594" s="146" t="s">
        <v>520</v>
      </c>
      <c r="B594" s="147" t="s">
        <v>521</v>
      </c>
      <c r="C594" s="146" t="s">
        <v>137</v>
      </c>
      <c r="D594" s="146" t="s">
        <v>138</v>
      </c>
      <c r="E594" s="146" t="s">
        <v>139</v>
      </c>
      <c r="F594" s="146" t="s">
        <v>140</v>
      </c>
      <c r="G594" s="148" t="s">
        <v>300</v>
      </c>
      <c r="H594" s="146">
        <v>0</v>
      </c>
      <c r="I594" s="146">
        <v>18</v>
      </c>
      <c r="J594" s="146" t="s">
        <v>149</v>
      </c>
      <c r="K594" s="146" t="s">
        <v>24</v>
      </c>
      <c r="L594" s="148" t="s">
        <v>3</v>
      </c>
      <c r="M594" s="146" t="s">
        <v>142</v>
      </c>
      <c r="N594" s="149">
        <v>1000</v>
      </c>
      <c r="O594" s="152">
        <f>SUMIF('GUDANG BESAR'!C:C,K:K,'GUDANG BESAR'!I:I)</f>
        <v>12250</v>
      </c>
      <c r="P594" s="153">
        <f>SUMIF('GUDANG BESAR'!C:C,K:K,'GUDANG BESAR'!K:K)</f>
        <v>13597.5</v>
      </c>
      <c r="Q594" s="150">
        <v>4</v>
      </c>
      <c r="R594" s="149">
        <v>4</v>
      </c>
      <c r="S594" s="149">
        <v>0</v>
      </c>
      <c r="T594" s="145">
        <f t="shared" si="27"/>
        <v>49000</v>
      </c>
      <c r="U594" s="145">
        <f t="shared" si="28"/>
        <v>54390</v>
      </c>
      <c r="V594" s="135" t="str">
        <f>VLOOKUP(K594,Sheet1!$B$5:$C$131,2,0)</f>
        <v>CK</v>
      </c>
      <c r="W594" s="181">
        <f t="shared" si="29"/>
        <v>4.0000000000000001E-3</v>
      </c>
    </row>
    <row r="595" spans="1:23" s="139" customFormat="1">
      <c r="A595" s="146" t="s">
        <v>520</v>
      </c>
      <c r="B595" s="147" t="s">
        <v>521</v>
      </c>
      <c r="C595" s="146" t="s">
        <v>137</v>
      </c>
      <c r="D595" s="146" t="s">
        <v>138</v>
      </c>
      <c r="E595" s="146" t="s">
        <v>139</v>
      </c>
      <c r="F595" s="146" t="s">
        <v>153</v>
      </c>
      <c r="G595" s="148" t="s">
        <v>299</v>
      </c>
      <c r="H595" s="146">
        <v>0</v>
      </c>
      <c r="I595" s="146">
        <v>20</v>
      </c>
      <c r="J595" s="146" t="s">
        <v>155</v>
      </c>
      <c r="K595" s="146" t="s">
        <v>33</v>
      </c>
      <c r="L595" s="148" t="s">
        <v>3</v>
      </c>
      <c r="M595" s="146" t="s">
        <v>142</v>
      </c>
      <c r="N595" s="149">
        <v>1000</v>
      </c>
      <c r="O595" s="152">
        <f>SUMIF('GUDANG BESAR'!C:C,K:K,'GUDANG BESAR'!I:I)</f>
        <v>11087.5</v>
      </c>
      <c r="P595" s="153">
        <f>SUMIF('GUDANG BESAR'!C:C,K:K,'GUDANG BESAR'!K:K)</f>
        <v>12307.125</v>
      </c>
      <c r="Q595" s="150">
        <v>175</v>
      </c>
      <c r="R595" s="149">
        <v>175</v>
      </c>
      <c r="S595" s="149">
        <v>0</v>
      </c>
      <c r="T595" s="145">
        <f t="shared" si="27"/>
        <v>1940312.5</v>
      </c>
      <c r="U595" s="145">
        <f t="shared" si="28"/>
        <v>2153746.875</v>
      </c>
      <c r="V595" s="135" t="str">
        <f>VLOOKUP(K595,Sheet1!$B$5:$C$131,2,0)</f>
        <v>RC</v>
      </c>
      <c r="W595" s="181">
        <f t="shared" si="29"/>
        <v>0.17499999999999999</v>
      </c>
    </row>
    <row r="596" spans="1:23" s="139" customFormat="1">
      <c r="A596" s="146" t="s">
        <v>520</v>
      </c>
      <c r="B596" s="147" t="s">
        <v>521</v>
      </c>
      <c r="C596" s="146" t="s">
        <v>137</v>
      </c>
      <c r="D596" s="146" t="s">
        <v>138</v>
      </c>
      <c r="E596" s="146" t="s">
        <v>139</v>
      </c>
      <c r="F596" s="146" t="s">
        <v>140</v>
      </c>
      <c r="G596" s="148" t="s">
        <v>303</v>
      </c>
      <c r="H596" s="146">
        <v>0</v>
      </c>
      <c r="I596" s="146">
        <v>1</v>
      </c>
      <c r="J596" s="146" t="s">
        <v>141</v>
      </c>
      <c r="K596" s="146" t="s">
        <v>37</v>
      </c>
      <c r="L596" s="148" t="s">
        <v>3</v>
      </c>
      <c r="M596" s="146" t="s">
        <v>142</v>
      </c>
      <c r="N596" s="149">
        <v>1000</v>
      </c>
      <c r="O596" s="152">
        <f>SUMIF('GUDANG BESAR'!C:C,K:K,'GUDANG BESAR'!I:I)</f>
        <v>51276</v>
      </c>
      <c r="P596" s="153">
        <f>SUMIF('GUDANG BESAR'!C:C,K:K,'GUDANG BESAR'!K:K)</f>
        <v>56916.36</v>
      </c>
      <c r="Q596" s="150">
        <v>28.574999999999999</v>
      </c>
      <c r="R596" s="149">
        <v>28</v>
      </c>
      <c r="S596" s="149">
        <v>575</v>
      </c>
      <c r="T596" s="145">
        <f t="shared" si="27"/>
        <v>1465211.7</v>
      </c>
      <c r="U596" s="145">
        <f t="shared" si="28"/>
        <v>1626384.987</v>
      </c>
      <c r="V596" s="135" t="str">
        <f>VLOOKUP(K596,Sheet1!$B$5:$C$131,2,0)</f>
        <v>DYESTUFF</v>
      </c>
      <c r="W596" s="181">
        <f t="shared" si="29"/>
        <v>2.8575E-2</v>
      </c>
    </row>
    <row r="597" spans="1:23" s="139" customFormat="1">
      <c r="A597" s="146" t="s">
        <v>520</v>
      </c>
      <c r="B597" s="147" t="s">
        <v>521</v>
      </c>
      <c r="C597" s="146" t="s">
        <v>137</v>
      </c>
      <c r="D597" s="146" t="s">
        <v>138</v>
      </c>
      <c r="E597" s="146" t="s">
        <v>139</v>
      </c>
      <c r="F597" s="146" t="s">
        <v>140</v>
      </c>
      <c r="G597" s="148" t="s">
        <v>303</v>
      </c>
      <c r="H597" s="146">
        <v>0</v>
      </c>
      <c r="I597" s="146">
        <v>4</v>
      </c>
      <c r="J597" s="146" t="s">
        <v>143</v>
      </c>
      <c r="K597" s="146" t="s">
        <v>90</v>
      </c>
      <c r="L597" s="148" t="s">
        <v>3</v>
      </c>
      <c r="M597" s="146" t="s">
        <v>142</v>
      </c>
      <c r="N597" s="149">
        <v>1000</v>
      </c>
      <c r="O597" s="152">
        <f>SUMIF('GUDANG BESAR'!C:C,K:K,'GUDANG BESAR'!I:I)</f>
        <v>194556</v>
      </c>
      <c r="P597" s="153">
        <f>SUMIF('GUDANG BESAR'!C:C,K:K,'GUDANG BESAR'!K:K)</f>
        <v>215957.16</v>
      </c>
      <c r="Q597" s="150">
        <v>0.25900000000000001</v>
      </c>
      <c r="R597" s="149">
        <v>0</v>
      </c>
      <c r="S597" s="149">
        <v>259</v>
      </c>
      <c r="T597" s="145">
        <f t="shared" si="27"/>
        <v>50390.004000000001</v>
      </c>
      <c r="U597" s="145">
        <f t="shared" si="28"/>
        <v>55932.904440000006</v>
      </c>
      <c r="V597" s="135" t="str">
        <f>VLOOKUP(K597,Sheet1!$B$5:$C$131,2,0)</f>
        <v>DYESTUFF</v>
      </c>
      <c r="W597" s="181">
        <f t="shared" si="29"/>
        <v>2.5900000000000001E-4</v>
      </c>
    </row>
    <row r="598" spans="1:23" s="139" customFormat="1">
      <c r="A598" s="146" t="s">
        <v>520</v>
      </c>
      <c r="B598" s="147" t="s">
        <v>521</v>
      </c>
      <c r="C598" s="146" t="s">
        <v>137</v>
      </c>
      <c r="D598" s="146" t="s">
        <v>138</v>
      </c>
      <c r="E598" s="146" t="s">
        <v>139</v>
      </c>
      <c r="F598" s="146" t="s">
        <v>140</v>
      </c>
      <c r="G598" s="148" t="s">
        <v>303</v>
      </c>
      <c r="H598" s="146">
        <v>0</v>
      </c>
      <c r="I598" s="146">
        <v>2</v>
      </c>
      <c r="J598" s="146" t="s">
        <v>346</v>
      </c>
      <c r="K598" s="146" t="s">
        <v>343</v>
      </c>
      <c r="L598" s="148" t="s">
        <v>3</v>
      </c>
      <c r="M598" s="146" t="s">
        <v>142</v>
      </c>
      <c r="N598" s="149">
        <v>1000</v>
      </c>
      <c r="O598" s="152">
        <f>SUMIF('GUDANG BESAR'!C:C,K:K,'GUDANG BESAR'!I:I)</f>
        <v>60680</v>
      </c>
      <c r="P598" s="153">
        <f>SUMIF('GUDANG BESAR'!C:C,K:K,'GUDANG BESAR'!K:K)</f>
        <v>67354.8</v>
      </c>
      <c r="Q598" s="150">
        <v>15.680999999999999</v>
      </c>
      <c r="R598" s="149">
        <v>15</v>
      </c>
      <c r="S598" s="149">
        <v>681</v>
      </c>
      <c r="T598" s="145">
        <f t="shared" si="27"/>
        <v>951523.08</v>
      </c>
      <c r="U598" s="145">
        <f t="shared" si="28"/>
        <v>1056190.6188000001</v>
      </c>
      <c r="V598" s="135" t="str">
        <f>VLOOKUP(K598,Sheet1!$B$5:$C$131,2,0)</f>
        <v>DYESTUFF</v>
      </c>
      <c r="W598" s="181">
        <f t="shared" si="29"/>
        <v>1.5681E-2</v>
      </c>
    </row>
    <row r="599" spans="1:23" s="139" customFormat="1">
      <c r="A599" s="146" t="s">
        <v>520</v>
      </c>
      <c r="B599" s="147" t="s">
        <v>521</v>
      </c>
      <c r="C599" s="146" t="s">
        <v>137</v>
      </c>
      <c r="D599" s="146" t="s">
        <v>138</v>
      </c>
      <c r="E599" s="146" t="s">
        <v>139</v>
      </c>
      <c r="F599" s="146" t="s">
        <v>140</v>
      </c>
      <c r="G599" s="148" t="s">
        <v>303</v>
      </c>
      <c r="H599" s="146">
        <v>0</v>
      </c>
      <c r="I599" s="146">
        <v>13</v>
      </c>
      <c r="J599" s="146" t="s">
        <v>151</v>
      </c>
      <c r="K599" s="146" t="s">
        <v>28</v>
      </c>
      <c r="L599" s="148" t="s">
        <v>3</v>
      </c>
      <c r="M599" s="146" t="s">
        <v>142</v>
      </c>
      <c r="N599" s="149">
        <v>1000</v>
      </c>
      <c r="O599" s="152">
        <f>SUMIF('GUDANG BESAR'!C:C,K:K,'GUDANG BESAR'!I:I)</f>
        <v>413967</v>
      </c>
      <c r="P599" s="153">
        <f>SUMIF('GUDANG BESAR'!C:C,K:K,'GUDANG BESAR'!K:K)</f>
        <v>459503.37</v>
      </c>
      <c r="Q599" s="150">
        <v>0.16600000000000001</v>
      </c>
      <c r="R599" s="149">
        <v>0</v>
      </c>
      <c r="S599" s="149">
        <v>166</v>
      </c>
      <c r="T599" s="145">
        <f t="shared" si="27"/>
        <v>68718.521999999997</v>
      </c>
      <c r="U599" s="145">
        <f t="shared" si="28"/>
        <v>76277.559420000005</v>
      </c>
      <c r="V599" s="135" t="str">
        <f>VLOOKUP(K599,Sheet1!$B$5:$C$131,2,0)</f>
        <v>DYESTUFF</v>
      </c>
      <c r="W599" s="181">
        <f t="shared" si="29"/>
        <v>1.66E-4</v>
      </c>
    </row>
    <row r="600" spans="1:23" s="139" customFormat="1">
      <c r="A600" s="146" t="s">
        <v>520</v>
      </c>
      <c r="B600" s="147" t="s">
        <v>521</v>
      </c>
      <c r="C600" s="146" t="s">
        <v>137</v>
      </c>
      <c r="D600" s="146" t="s">
        <v>138</v>
      </c>
      <c r="E600" s="146" t="s">
        <v>139</v>
      </c>
      <c r="F600" s="146" t="s">
        <v>140</v>
      </c>
      <c r="G600" s="148" t="s">
        <v>303</v>
      </c>
      <c r="H600" s="146">
        <v>0</v>
      </c>
      <c r="I600" s="146">
        <v>3</v>
      </c>
      <c r="J600" s="146" t="s">
        <v>169</v>
      </c>
      <c r="K600" s="146" t="s">
        <v>64</v>
      </c>
      <c r="L600" s="148" t="s">
        <v>3</v>
      </c>
      <c r="M600" s="146" t="s">
        <v>142</v>
      </c>
      <c r="N600" s="149">
        <v>1000</v>
      </c>
      <c r="O600" s="152">
        <f>SUMIF('GUDANG BESAR'!C:C,K:K,'GUDANG BESAR'!I:I)</f>
        <v>506080</v>
      </c>
      <c r="P600" s="153">
        <f>SUMIF('GUDANG BESAR'!C:C,K:K,'GUDANG BESAR'!K:K)</f>
        <v>561748.80000000005</v>
      </c>
      <c r="Q600" s="150">
        <v>0.59699999999999998</v>
      </c>
      <c r="R600" s="149">
        <v>0</v>
      </c>
      <c r="S600" s="149">
        <v>597</v>
      </c>
      <c r="T600" s="145">
        <f t="shared" si="27"/>
        <v>302129.76</v>
      </c>
      <c r="U600" s="145">
        <f t="shared" si="28"/>
        <v>335364.03360000002</v>
      </c>
      <c r="V600" s="135" t="str">
        <f>VLOOKUP(K600,Sheet1!$B$5:$C$131,2,0)</f>
        <v>DYESTUFF</v>
      </c>
      <c r="W600" s="181">
        <f t="shared" si="29"/>
        <v>5.9699999999999998E-4</v>
      </c>
    </row>
    <row r="601" spans="1:23" s="139" customFormat="1">
      <c r="A601" s="146" t="s">
        <v>520</v>
      </c>
      <c r="B601" s="147" t="s">
        <v>521</v>
      </c>
      <c r="C601" s="146" t="s">
        <v>137</v>
      </c>
      <c r="D601" s="146" t="s">
        <v>138</v>
      </c>
      <c r="E601" s="146" t="s">
        <v>139</v>
      </c>
      <c r="F601" s="146" t="s">
        <v>140</v>
      </c>
      <c r="G601" s="148" t="s">
        <v>303</v>
      </c>
      <c r="H601" s="146">
        <v>0</v>
      </c>
      <c r="I601" s="146">
        <v>5</v>
      </c>
      <c r="J601" s="146" t="s">
        <v>250</v>
      </c>
      <c r="K601" s="146" t="s">
        <v>38</v>
      </c>
      <c r="L601" s="148" t="s">
        <v>3</v>
      </c>
      <c r="M601" s="146" t="s">
        <v>142</v>
      </c>
      <c r="N601" s="149">
        <v>1000</v>
      </c>
      <c r="O601" s="152">
        <f>SUMIF('GUDANG BESAR'!C:C,K:K,'GUDANG BESAR'!I:I)</f>
        <v>366255</v>
      </c>
      <c r="P601" s="153">
        <f>SUMIF('GUDANG BESAR'!C:C,K:K,'GUDANG BESAR'!K:K)</f>
        <v>406543.05</v>
      </c>
      <c r="Q601" s="150">
        <v>0.02</v>
      </c>
      <c r="R601" s="149">
        <v>0</v>
      </c>
      <c r="S601" s="149">
        <v>20</v>
      </c>
      <c r="T601" s="145">
        <f t="shared" si="27"/>
        <v>7325.1</v>
      </c>
      <c r="U601" s="145">
        <f t="shared" si="28"/>
        <v>8130.8609999999999</v>
      </c>
      <c r="V601" s="135" t="str">
        <f>VLOOKUP(K601,Sheet1!$B$5:$C$131,2,0)</f>
        <v>DYESTUFF</v>
      </c>
      <c r="W601" s="181">
        <f t="shared" si="29"/>
        <v>2.0000000000000002E-5</v>
      </c>
    </row>
    <row r="602" spans="1:23" s="139" customFormat="1">
      <c r="A602" s="146" t="s">
        <v>520</v>
      </c>
      <c r="B602" s="147" t="s">
        <v>521</v>
      </c>
      <c r="C602" s="146" t="s">
        <v>137</v>
      </c>
      <c r="D602" s="146" t="s">
        <v>138</v>
      </c>
      <c r="E602" s="146" t="s">
        <v>139</v>
      </c>
      <c r="F602" s="146" t="s">
        <v>140</v>
      </c>
      <c r="G602" s="148" t="s">
        <v>303</v>
      </c>
      <c r="H602" s="146">
        <v>0</v>
      </c>
      <c r="I602" s="146">
        <v>6</v>
      </c>
      <c r="J602" s="146" t="s">
        <v>144</v>
      </c>
      <c r="K602" s="146" t="s">
        <v>26</v>
      </c>
      <c r="L602" s="148" t="s">
        <v>3</v>
      </c>
      <c r="M602" s="146" t="s">
        <v>142</v>
      </c>
      <c r="N602" s="149">
        <v>1000</v>
      </c>
      <c r="O602" s="152">
        <f>SUMIF('GUDANG BESAR'!C:C,K:K,'GUDANG BESAR'!I:I)</f>
        <v>52016</v>
      </c>
      <c r="P602" s="153">
        <f>SUMIF('GUDANG BESAR'!C:C,K:K,'GUDANG BESAR'!K:K)</f>
        <v>57737.760000000002</v>
      </c>
      <c r="Q602" s="150">
        <v>17.97</v>
      </c>
      <c r="R602" s="149">
        <v>17</v>
      </c>
      <c r="S602" s="149">
        <v>970</v>
      </c>
      <c r="T602" s="145">
        <f t="shared" si="27"/>
        <v>934727.5199999999</v>
      </c>
      <c r="U602" s="145">
        <f t="shared" si="28"/>
        <v>1037547.5471999999</v>
      </c>
      <c r="V602" s="135" t="str">
        <f>VLOOKUP(K602,Sheet1!$B$5:$C$131,2,0)</f>
        <v>DYESTUFF</v>
      </c>
      <c r="W602" s="181">
        <f t="shared" si="29"/>
        <v>1.797E-2</v>
      </c>
    </row>
    <row r="603" spans="1:23" s="139" customFormat="1">
      <c r="A603" s="146" t="s">
        <v>520</v>
      </c>
      <c r="B603" s="147" t="s">
        <v>521</v>
      </c>
      <c r="C603" s="146" t="s">
        <v>137</v>
      </c>
      <c r="D603" s="146" t="s">
        <v>138</v>
      </c>
      <c r="E603" s="146" t="s">
        <v>139</v>
      </c>
      <c r="F603" s="146" t="s">
        <v>140</v>
      </c>
      <c r="G603" s="148" t="s">
        <v>303</v>
      </c>
      <c r="H603" s="146">
        <v>0</v>
      </c>
      <c r="I603" s="146">
        <v>7</v>
      </c>
      <c r="J603" s="146" t="s">
        <v>145</v>
      </c>
      <c r="K603" s="146" t="s">
        <v>27</v>
      </c>
      <c r="L603" s="148" t="s">
        <v>3</v>
      </c>
      <c r="M603" s="146" t="s">
        <v>142</v>
      </c>
      <c r="N603" s="149">
        <v>1000</v>
      </c>
      <c r="O603" s="152">
        <f>SUMIF('GUDANG BESAR'!C:C,K:K,'GUDANG BESAR'!I:I)</f>
        <v>71148</v>
      </c>
      <c r="P603" s="153">
        <f>SUMIF('GUDANG BESAR'!C:C,K:K,'GUDANG BESAR'!K:K)</f>
        <v>78974.28</v>
      </c>
      <c r="Q603" s="150">
        <v>2.82</v>
      </c>
      <c r="R603" s="149">
        <v>2</v>
      </c>
      <c r="S603" s="149">
        <v>820</v>
      </c>
      <c r="T603" s="145">
        <f t="shared" si="27"/>
        <v>200637.36</v>
      </c>
      <c r="U603" s="145">
        <f t="shared" si="28"/>
        <v>222707.46959999998</v>
      </c>
      <c r="V603" s="135" t="str">
        <f>VLOOKUP(K603,Sheet1!$B$5:$C$131,2,0)</f>
        <v>DYESTUFF</v>
      </c>
      <c r="W603" s="181">
        <f t="shared" si="29"/>
        <v>2.82E-3</v>
      </c>
    </row>
    <row r="604" spans="1:23" s="139" customFormat="1">
      <c r="A604" s="146" t="s">
        <v>520</v>
      </c>
      <c r="B604" s="147" t="s">
        <v>521</v>
      </c>
      <c r="C604" s="146" t="s">
        <v>137</v>
      </c>
      <c r="D604" s="146" t="s">
        <v>138</v>
      </c>
      <c r="E604" s="146" t="s">
        <v>139</v>
      </c>
      <c r="F604" s="146" t="s">
        <v>140</v>
      </c>
      <c r="G604" s="148" t="s">
        <v>303</v>
      </c>
      <c r="H604" s="146">
        <v>0</v>
      </c>
      <c r="I604" s="146">
        <v>8</v>
      </c>
      <c r="J604" s="146" t="s">
        <v>289</v>
      </c>
      <c r="K604" s="146" t="s">
        <v>255</v>
      </c>
      <c r="L604" s="148" t="s">
        <v>3</v>
      </c>
      <c r="M604" s="146" t="s">
        <v>142</v>
      </c>
      <c r="N604" s="149">
        <v>1000</v>
      </c>
      <c r="O604" s="152">
        <f>SUMIF('GUDANG BESAR'!C:C,K:K,'GUDANG BESAR'!I:I)</f>
        <v>195336</v>
      </c>
      <c r="P604" s="153">
        <f>SUMIF('GUDANG BESAR'!C:C,K:K,'GUDANG BESAR'!K:K)</f>
        <v>216822.96</v>
      </c>
      <c r="Q604" s="150">
        <v>5.5E-2</v>
      </c>
      <c r="R604" s="149">
        <v>0</v>
      </c>
      <c r="S604" s="149">
        <v>55</v>
      </c>
      <c r="T604" s="145">
        <f t="shared" si="27"/>
        <v>10743.48</v>
      </c>
      <c r="U604" s="145">
        <f t="shared" si="28"/>
        <v>11925.2628</v>
      </c>
      <c r="V604" s="135" t="str">
        <f>VLOOKUP(K604,Sheet1!$B$5:$C$131,2,0)</f>
        <v>DYESTUFF</v>
      </c>
      <c r="W604" s="181">
        <f t="shared" si="29"/>
        <v>5.5000000000000002E-5</v>
      </c>
    </row>
    <row r="605" spans="1:23" s="139" customFormat="1">
      <c r="A605" s="146" t="s">
        <v>520</v>
      </c>
      <c r="B605" s="147" t="s">
        <v>521</v>
      </c>
      <c r="C605" s="146" t="s">
        <v>137</v>
      </c>
      <c r="D605" s="146" t="s">
        <v>138</v>
      </c>
      <c r="E605" s="146" t="s">
        <v>139</v>
      </c>
      <c r="F605" s="146" t="s">
        <v>140</v>
      </c>
      <c r="G605" s="148" t="s">
        <v>303</v>
      </c>
      <c r="H605" s="146">
        <v>0</v>
      </c>
      <c r="I605" s="146">
        <v>9</v>
      </c>
      <c r="J605" s="146" t="s">
        <v>171</v>
      </c>
      <c r="K605" s="146" t="s">
        <v>102</v>
      </c>
      <c r="L605" s="148" t="s">
        <v>3</v>
      </c>
      <c r="M605" s="146" t="s">
        <v>142</v>
      </c>
      <c r="N605" s="149">
        <v>1000</v>
      </c>
      <c r="O605" s="152">
        <f>SUMIF('GUDANG BESAR'!C:C,K:K,'GUDANG BESAR'!I:I)</f>
        <v>385283</v>
      </c>
      <c r="P605" s="153">
        <f>SUMIF('GUDANG BESAR'!C:C,K:K,'GUDANG BESAR'!K:K)</f>
        <v>427664.13</v>
      </c>
      <c r="Q605" s="150">
        <v>3.5000000000000003E-2</v>
      </c>
      <c r="R605" s="149">
        <v>0</v>
      </c>
      <c r="S605" s="149">
        <v>35</v>
      </c>
      <c r="T605" s="145">
        <f t="shared" si="27"/>
        <v>13484.905000000001</v>
      </c>
      <c r="U605" s="145">
        <f t="shared" si="28"/>
        <v>14968.244550000001</v>
      </c>
      <c r="V605" s="135" t="str">
        <f>VLOOKUP(K605,Sheet1!$B$5:$C$131,2,0)</f>
        <v>DYESTUFF</v>
      </c>
      <c r="W605" s="181">
        <f t="shared" si="29"/>
        <v>3.5000000000000004E-5</v>
      </c>
    </row>
    <row r="606" spans="1:23" s="139" customFormat="1">
      <c r="A606" s="146" t="s">
        <v>520</v>
      </c>
      <c r="B606" s="147" t="s">
        <v>521</v>
      </c>
      <c r="C606" s="146" t="s">
        <v>137</v>
      </c>
      <c r="D606" s="146" t="s">
        <v>138</v>
      </c>
      <c r="E606" s="146" t="s">
        <v>139</v>
      </c>
      <c r="F606" s="146" t="s">
        <v>140</v>
      </c>
      <c r="G606" s="148" t="s">
        <v>303</v>
      </c>
      <c r="H606" s="146">
        <v>0</v>
      </c>
      <c r="I606" s="146">
        <v>10</v>
      </c>
      <c r="J606" s="146" t="s">
        <v>376</v>
      </c>
      <c r="K606" s="146" t="s">
        <v>11</v>
      </c>
      <c r="L606" s="148" t="s">
        <v>3</v>
      </c>
      <c r="M606" s="146" t="s">
        <v>142</v>
      </c>
      <c r="N606" s="149">
        <v>1000</v>
      </c>
      <c r="O606" s="152">
        <f>SUMIF('GUDANG BESAR'!C:C,K:K,'GUDANG BESAR'!I:I)</f>
        <v>270075</v>
      </c>
      <c r="P606" s="153">
        <f>SUMIF('GUDANG BESAR'!C:C,K:K,'GUDANG BESAR'!K:K)</f>
        <v>299783.25</v>
      </c>
      <c r="Q606" s="150">
        <v>2.5000000000000001E-2</v>
      </c>
      <c r="R606" s="149">
        <v>0</v>
      </c>
      <c r="S606" s="149">
        <v>25</v>
      </c>
      <c r="T606" s="145">
        <f t="shared" si="27"/>
        <v>6751.875</v>
      </c>
      <c r="U606" s="145">
        <f t="shared" si="28"/>
        <v>7494.5812500000002</v>
      </c>
      <c r="V606" s="135" t="str">
        <f>VLOOKUP(K606,Sheet1!$B$5:$C$131,2,0)</f>
        <v>DYESTUFF</v>
      </c>
      <c r="W606" s="181">
        <f t="shared" si="29"/>
        <v>2.5000000000000001E-5</v>
      </c>
    </row>
    <row r="607" spans="1:23" s="139" customFormat="1">
      <c r="A607" s="146" t="s">
        <v>520</v>
      </c>
      <c r="B607" s="147" t="s">
        <v>521</v>
      </c>
      <c r="C607" s="146" t="s">
        <v>137</v>
      </c>
      <c r="D607" s="146" t="s">
        <v>138</v>
      </c>
      <c r="E607" s="146" t="s">
        <v>139</v>
      </c>
      <c r="F607" s="146" t="s">
        <v>140</v>
      </c>
      <c r="G607" s="148" t="s">
        <v>303</v>
      </c>
      <c r="H607" s="146">
        <v>0</v>
      </c>
      <c r="I607" s="146">
        <v>11</v>
      </c>
      <c r="J607" s="146" t="s">
        <v>146</v>
      </c>
      <c r="K607" s="146" t="s">
        <v>46</v>
      </c>
      <c r="L607" s="148" t="s">
        <v>3</v>
      </c>
      <c r="M607" s="146" t="s">
        <v>142</v>
      </c>
      <c r="N607" s="149">
        <v>1000</v>
      </c>
      <c r="O607" s="152">
        <f>SUMIF('GUDANG BESAR'!C:C,K:K,'GUDANG BESAR'!I:I)</f>
        <v>100812</v>
      </c>
      <c r="P607" s="153">
        <f>SUMIF('GUDANG BESAR'!C:C,K:K,'GUDANG BESAR'!K:K)</f>
        <v>111901.32</v>
      </c>
      <c r="Q607" s="150">
        <v>0.68600000000000005</v>
      </c>
      <c r="R607" s="149">
        <v>0</v>
      </c>
      <c r="S607" s="149">
        <v>686</v>
      </c>
      <c r="T607" s="145">
        <f t="shared" si="27"/>
        <v>69157.032000000007</v>
      </c>
      <c r="U607" s="145">
        <f t="shared" si="28"/>
        <v>76764.305520000009</v>
      </c>
      <c r="V607" s="135" t="str">
        <f>VLOOKUP(K607,Sheet1!$B$5:$C$131,2,0)</f>
        <v>DYESTUFF</v>
      </c>
      <c r="W607" s="181">
        <f t="shared" si="29"/>
        <v>6.8600000000000009E-4</v>
      </c>
    </row>
    <row r="608" spans="1:23" s="139" customFormat="1">
      <c r="A608" s="146" t="s">
        <v>520</v>
      </c>
      <c r="B608" s="147" t="s">
        <v>521</v>
      </c>
      <c r="C608" s="146" t="s">
        <v>137</v>
      </c>
      <c r="D608" s="146" t="s">
        <v>138</v>
      </c>
      <c r="E608" s="146" t="s">
        <v>139</v>
      </c>
      <c r="F608" s="146" t="s">
        <v>140</v>
      </c>
      <c r="G608" s="148" t="s">
        <v>303</v>
      </c>
      <c r="H608" s="146">
        <v>0</v>
      </c>
      <c r="I608" s="146">
        <v>12</v>
      </c>
      <c r="J608" s="146" t="s">
        <v>147</v>
      </c>
      <c r="K608" s="146" t="s">
        <v>41</v>
      </c>
      <c r="L608" s="148" t="s">
        <v>3</v>
      </c>
      <c r="M608" s="146" t="s">
        <v>142</v>
      </c>
      <c r="N608" s="149">
        <v>1000</v>
      </c>
      <c r="O608" s="152">
        <f>SUMIF('GUDANG BESAR'!C:C,K:K,'GUDANG BESAR'!I:I)</f>
        <v>54071</v>
      </c>
      <c r="P608" s="153">
        <f>SUMIF('GUDANG BESAR'!C:C,K:K,'GUDANG BESAR'!K:K)</f>
        <v>60018.81</v>
      </c>
      <c r="Q608" s="150">
        <v>6.5529999999999999</v>
      </c>
      <c r="R608" s="149">
        <v>6</v>
      </c>
      <c r="S608" s="149">
        <v>553</v>
      </c>
      <c r="T608" s="145">
        <f t="shared" si="27"/>
        <v>354327.26299999998</v>
      </c>
      <c r="U608" s="145">
        <f t="shared" si="28"/>
        <v>393303.26192999998</v>
      </c>
      <c r="V608" s="135" t="str">
        <f>VLOOKUP(K608,Sheet1!$B$5:$C$131,2,0)</f>
        <v>DYESTUFF</v>
      </c>
      <c r="W608" s="181">
        <f t="shared" si="29"/>
        <v>6.5529999999999998E-3</v>
      </c>
    </row>
    <row r="609" spans="1:23" s="139" customFormat="1">
      <c r="A609" s="146" t="s">
        <v>520</v>
      </c>
      <c r="B609" s="147" t="s">
        <v>521</v>
      </c>
      <c r="C609" s="146" t="s">
        <v>137</v>
      </c>
      <c r="D609" s="146" t="s">
        <v>138</v>
      </c>
      <c r="E609" s="146" t="s">
        <v>139</v>
      </c>
      <c r="F609" s="146" t="s">
        <v>140</v>
      </c>
      <c r="G609" s="148" t="s">
        <v>303</v>
      </c>
      <c r="H609" s="146">
        <v>0</v>
      </c>
      <c r="I609" s="146">
        <v>14</v>
      </c>
      <c r="J609" s="146" t="s">
        <v>170</v>
      </c>
      <c r="K609" s="146" t="s">
        <v>29</v>
      </c>
      <c r="L609" s="148" t="s">
        <v>3</v>
      </c>
      <c r="M609" s="146" t="s">
        <v>142</v>
      </c>
      <c r="N609" s="149">
        <v>1000</v>
      </c>
      <c r="O609" s="152">
        <f>SUMIF('GUDANG BESAR'!C:C,K:K,'GUDANG BESAR'!I:I)</f>
        <v>100590</v>
      </c>
      <c r="P609" s="153">
        <f>SUMIF('GUDANG BESAR'!C:C,K:K,'GUDANG BESAR'!K:K)</f>
        <v>111654.9</v>
      </c>
      <c r="Q609" s="150">
        <v>1.4E-2</v>
      </c>
      <c r="R609" s="149">
        <v>0</v>
      </c>
      <c r="S609" s="149">
        <v>14</v>
      </c>
      <c r="T609" s="145">
        <f t="shared" si="27"/>
        <v>1408.26</v>
      </c>
      <c r="U609" s="145">
        <f t="shared" si="28"/>
        <v>1563.1686</v>
      </c>
      <c r="V609" s="135" t="str">
        <f>VLOOKUP(K609,Sheet1!$B$5:$C$131,2,0)</f>
        <v>DYESTUFF</v>
      </c>
      <c r="W609" s="181">
        <f t="shared" si="29"/>
        <v>1.4E-5</v>
      </c>
    </row>
    <row r="610" spans="1:23" s="139" customFormat="1">
      <c r="A610" s="146" t="s">
        <v>520</v>
      </c>
      <c r="B610" s="147" t="s">
        <v>521</v>
      </c>
      <c r="C610" s="146" t="s">
        <v>137</v>
      </c>
      <c r="D610" s="146" t="s">
        <v>138</v>
      </c>
      <c r="E610" s="146" t="s">
        <v>139</v>
      </c>
      <c r="F610" s="146" t="s">
        <v>140</v>
      </c>
      <c r="G610" s="148" t="s">
        <v>303</v>
      </c>
      <c r="H610" s="146">
        <v>0</v>
      </c>
      <c r="I610" s="146">
        <v>15</v>
      </c>
      <c r="J610" s="146" t="s">
        <v>148</v>
      </c>
      <c r="K610" s="146" t="s">
        <v>30</v>
      </c>
      <c r="L610" s="148" t="s">
        <v>3</v>
      </c>
      <c r="M610" s="146" t="s">
        <v>142</v>
      </c>
      <c r="N610" s="149">
        <v>1000</v>
      </c>
      <c r="O610" s="152">
        <f>SUMIF('GUDANG BESAR'!C:C,K:K,'GUDANG BESAR'!I:I)</f>
        <v>77089.399999999994</v>
      </c>
      <c r="P610" s="153">
        <f>SUMIF('GUDANG BESAR'!C:C,K:K,'GUDANG BESAR'!K:K)</f>
        <v>85569.233999999997</v>
      </c>
      <c r="Q610" s="150">
        <v>12.91</v>
      </c>
      <c r="R610" s="149">
        <v>12</v>
      </c>
      <c r="S610" s="149">
        <v>910</v>
      </c>
      <c r="T610" s="145">
        <f t="shared" si="27"/>
        <v>995224.15399999998</v>
      </c>
      <c r="U610" s="145">
        <f t="shared" si="28"/>
        <v>1104698.81094</v>
      </c>
      <c r="V610" s="135" t="str">
        <f>VLOOKUP(K610,Sheet1!$B$5:$C$131,2,0)</f>
        <v>DYESTUFF</v>
      </c>
      <c r="W610" s="181">
        <f t="shared" si="29"/>
        <v>1.291E-2</v>
      </c>
    </row>
    <row r="611" spans="1:23" s="139" customFormat="1">
      <c r="A611" s="146" t="s">
        <v>520</v>
      </c>
      <c r="B611" s="147" t="s">
        <v>521</v>
      </c>
      <c r="C611" s="146" t="s">
        <v>137</v>
      </c>
      <c r="D611" s="146" t="s">
        <v>138</v>
      </c>
      <c r="E611" s="146" t="s">
        <v>139</v>
      </c>
      <c r="F611" s="146" t="s">
        <v>162</v>
      </c>
      <c r="G611" s="148" t="s">
        <v>214</v>
      </c>
      <c r="H611" s="146">
        <v>0</v>
      </c>
      <c r="I611" s="146">
        <v>24</v>
      </c>
      <c r="J611" s="146" t="s">
        <v>234</v>
      </c>
      <c r="K611" s="146" t="s">
        <v>233</v>
      </c>
      <c r="L611" s="148" t="s">
        <v>3</v>
      </c>
      <c r="M611" s="146" t="s">
        <v>142</v>
      </c>
      <c r="N611" s="149">
        <v>1000</v>
      </c>
      <c r="O611" s="152">
        <f>SUMIF('GUDANG BESAR'!C:C,K:K,'GUDANG BESAR'!I:I)</f>
        <v>5500</v>
      </c>
      <c r="P611" s="153">
        <f>SUMIF('GUDANG BESAR'!C:C,K:K,'GUDANG BESAR'!K:K)</f>
        <v>6105</v>
      </c>
      <c r="Q611" s="150">
        <v>450</v>
      </c>
      <c r="R611" s="149">
        <v>450</v>
      </c>
      <c r="S611" s="149">
        <v>0</v>
      </c>
      <c r="T611" s="145">
        <f t="shared" si="27"/>
        <v>2475000</v>
      </c>
      <c r="U611" s="145">
        <f t="shared" si="28"/>
        <v>2747250</v>
      </c>
      <c r="V611" s="135" t="str">
        <f>VLOOKUP(K611,Sheet1!$B$5:$C$131,2,0)</f>
        <v>LIMBAH</v>
      </c>
      <c r="W611" s="181">
        <f t="shared" si="29"/>
        <v>0.45</v>
      </c>
    </row>
    <row r="612" spans="1:23" s="139" customFormat="1">
      <c r="A612" s="146" t="s">
        <v>520</v>
      </c>
      <c r="B612" s="147" t="s">
        <v>521</v>
      </c>
      <c r="C612" s="146" t="s">
        <v>137</v>
      </c>
      <c r="D612" s="146" t="s">
        <v>138</v>
      </c>
      <c r="E612" s="146" t="s">
        <v>139</v>
      </c>
      <c r="F612" s="146" t="s">
        <v>140</v>
      </c>
      <c r="G612" s="148" t="s">
        <v>300</v>
      </c>
      <c r="H612" s="146">
        <v>0</v>
      </c>
      <c r="I612" s="146">
        <v>17</v>
      </c>
      <c r="J612" s="146" t="s">
        <v>150</v>
      </c>
      <c r="K612" s="146" t="s">
        <v>32</v>
      </c>
      <c r="L612" s="148" t="s">
        <v>3</v>
      </c>
      <c r="M612" s="146" t="s">
        <v>142</v>
      </c>
      <c r="N612" s="149">
        <v>1000</v>
      </c>
      <c r="O612" s="152">
        <f>SUMIF('GUDANG BESAR'!C:C,K:K,'GUDANG BESAR'!I:I)</f>
        <v>15500</v>
      </c>
      <c r="P612" s="153">
        <f>SUMIF('GUDANG BESAR'!C:C,K:K,'GUDANG BESAR'!K:K)</f>
        <v>17205</v>
      </c>
      <c r="Q612" s="150">
        <v>1</v>
      </c>
      <c r="R612" s="149">
        <v>1</v>
      </c>
      <c r="S612" s="149">
        <v>0</v>
      </c>
      <c r="T612" s="145">
        <f t="shared" si="27"/>
        <v>15500</v>
      </c>
      <c r="U612" s="145">
        <f t="shared" si="28"/>
        <v>17205</v>
      </c>
      <c r="V612" s="135" t="str">
        <f>VLOOKUP(K612,Sheet1!$B$5:$C$131,2,0)</f>
        <v>CK</v>
      </c>
      <c r="W612" s="181">
        <f t="shared" si="29"/>
        <v>1E-3</v>
      </c>
    </row>
    <row r="613" spans="1:23" s="139" customFormat="1">
      <c r="A613" s="146" t="s">
        <v>520</v>
      </c>
      <c r="B613" s="147" t="s">
        <v>521</v>
      </c>
      <c r="C613" s="146" t="s">
        <v>137</v>
      </c>
      <c r="D613" s="146" t="s">
        <v>138</v>
      </c>
      <c r="E613" s="146" t="s">
        <v>139</v>
      </c>
      <c r="F613" s="146" t="s">
        <v>153</v>
      </c>
      <c r="G613" s="148" t="s">
        <v>301</v>
      </c>
      <c r="H613" s="146">
        <v>0</v>
      </c>
      <c r="I613" s="146">
        <v>21</v>
      </c>
      <c r="J613" s="146" t="s">
        <v>317</v>
      </c>
      <c r="K613" s="146" t="s">
        <v>17</v>
      </c>
      <c r="L613" s="148" t="s">
        <v>3</v>
      </c>
      <c r="M613" s="146" t="s">
        <v>142</v>
      </c>
      <c r="N613" s="149">
        <v>1000</v>
      </c>
      <c r="O613" s="152">
        <f>SUMIF('GUDANG BESAR'!C:C,K:K,'GUDANG BESAR'!I:I)</f>
        <v>25269.5</v>
      </c>
      <c r="P613" s="153">
        <f>SUMIF('GUDANG BESAR'!C:C,K:K,'GUDANG BESAR'!K:K)</f>
        <v>28049.145</v>
      </c>
      <c r="Q613" s="150">
        <v>55</v>
      </c>
      <c r="R613" s="149">
        <v>55</v>
      </c>
      <c r="S613" s="149">
        <v>0</v>
      </c>
      <c r="T613" s="145">
        <f t="shared" si="27"/>
        <v>1389822.5</v>
      </c>
      <c r="U613" s="145">
        <f t="shared" si="28"/>
        <v>1542702.9750000001</v>
      </c>
      <c r="V613" s="135" t="str">
        <f>VLOOKUP(K613,Sheet1!$B$5:$C$131,2,0)</f>
        <v>DYEING</v>
      </c>
      <c r="W613" s="181">
        <f t="shared" si="29"/>
        <v>5.5E-2</v>
      </c>
    </row>
    <row r="614" spans="1:23" s="139" customFormat="1">
      <c r="A614" s="146" t="s">
        <v>520</v>
      </c>
      <c r="B614" s="147" t="s">
        <v>521</v>
      </c>
      <c r="C614" s="146" t="s">
        <v>137</v>
      </c>
      <c r="D614" s="146" t="s">
        <v>138</v>
      </c>
      <c r="E614" s="146" t="s">
        <v>139</v>
      </c>
      <c r="F614" s="146" t="s">
        <v>153</v>
      </c>
      <c r="G614" s="148" t="s">
        <v>301</v>
      </c>
      <c r="H614" s="146">
        <v>0</v>
      </c>
      <c r="I614" s="146">
        <v>22</v>
      </c>
      <c r="J614" s="146" t="s">
        <v>251</v>
      </c>
      <c r="K614" s="146" t="s">
        <v>249</v>
      </c>
      <c r="L614" s="148" t="s">
        <v>3</v>
      </c>
      <c r="M614" s="146" t="s">
        <v>142</v>
      </c>
      <c r="N614" s="149">
        <v>1000</v>
      </c>
      <c r="O614" s="152">
        <f>SUMIF('GUDANG BESAR'!C:C,K:K,'GUDANG BESAR'!I:I)</f>
        <v>9119.6</v>
      </c>
      <c r="P614" s="153">
        <f>SUMIF('GUDANG BESAR'!C:C,K:K,'GUDANG BESAR'!K:K)</f>
        <v>10122.756000000001</v>
      </c>
      <c r="Q614" s="150">
        <v>30</v>
      </c>
      <c r="R614" s="149">
        <v>30</v>
      </c>
      <c r="S614" s="149">
        <v>0</v>
      </c>
      <c r="T614" s="145">
        <f t="shared" si="27"/>
        <v>273588</v>
      </c>
      <c r="U614" s="145">
        <f t="shared" si="28"/>
        <v>303682.68000000005</v>
      </c>
      <c r="V614" s="135" t="str">
        <f>VLOOKUP(K614,Sheet1!$B$5:$C$131,2,0)</f>
        <v>DYEING</v>
      </c>
      <c r="W614" s="181">
        <f t="shared" si="29"/>
        <v>0.03</v>
      </c>
    </row>
    <row r="615" spans="1:23" s="139" customFormat="1">
      <c r="A615" s="146" t="s">
        <v>520</v>
      </c>
      <c r="B615" s="147" t="s">
        <v>521</v>
      </c>
      <c r="C615" s="146" t="s">
        <v>137</v>
      </c>
      <c r="D615" s="146" t="s">
        <v>138</v>
      </c>
      <c r="E615" s="146" t="s">
        <v>139</v>
      </c>
      <c r="F615" s="146" t="s">
        <v>162</v>
      </c>
      <c r="G615" s="148" t="s">
        <v>214</v>
      </c>
      <c r="H615" s="146">
        <v>0</v>
      </c>
      <c r="I615" s="146">
        <v>30</v>
      </c>
      <c r="J615" s="146" t="s">
        <v>165</v>
      </c>
      <c r="K615" s="146" t="s">
        <v>80</v>
      </c>
      <c r="L615" s="148" t="s">
        <v>3</v>
      </c>
      <c r="M615" s="146" t="s">
        <v>142</v>
      </c>
      <c r="N615" s="149">
        <v>1000</v>
      </c>
      <c r="O615" s="152">
        <f>SUMIF('GUDANG BESAR'!C:C,K:K,'GUDANG BESAR'!I:I)</f>
        <v>1550000</v>
      </c>
      <c r="P615" s="153">
        <f>SUMIF('GUDANG BESAR'!C:C,K:K,'GUDANG BESAR'!K:K)</f>
        <v>1720500</v>
      </c>
      <c r="Q615" s="150">
        <v>0.05</v>
      </c>
      <c r="R615" s="149">
        <v>0</v>
      </c>
      <c r="S615" s="149">
        <v>50</v>
      </c>
      <c r="T615" s="145">
        <f t="shared" si="27"/>
        <v>77500</v>
      </c>
      <c r="U615" s="145">
        <f t="shared" si="28"/>
        <v>86025</v>
      </c>
      <c r="V615" s="135" t="str">
        <f>VLOOKUP(K615,Sheet1!$B$5:$C$131,2,0)</f>
        <v>LIMBAH</v>
      </c>
      <c r="W615" s="181">
        <f t="shared" si="29"/>
        <v>5.0000000000000002E-5</v>
      </c>
    </row>
    <row r="616" spans="1:23" s="139" customFormat="1">
      <c r="A616" s="146" t="s">
        <v>520</v>
      </c>
      <c r="B616" s="147" t="s">
        <v>521</v>
      </c>
      <c r="C616" s="146" t="s">
        <v>137</v>
      </c>
      <c r="D616" s="146" t="s">
        <v>138</v>
      </c>
      <c r="E616" s="146" t="s">
        <v>139</v>
      </c>
      <c r="F616" s="146" t="s">
        <v>162</v>
      </c>
      <c r="G616" s="148" t="s">
        <v>214</v>
      </c>
      <c r="H616" s="146">
        <v>0</v>
      </c>
      <c r="I616" s="146">
        <v>29</v>
      </c>
      <c r="J616" s="146" t="s">
        <v>164</v>
      </c>
      <c r="K616" s="146" t="s">
        <v>74</v>
      </c>
      <c r="L616" s="148" t="s">
        <v>5</v>
      </c>
      <c r="M616" s="146" t="s">
        <v>142</v>
      </c>
      <c r="N616" s="149">
        <v>1000</v>
      </c>
      <c r="O616" s="152">
        <f>SUMIF('GUDANG BESAR'!C:C,K:K,'GUDANG BESAR'!I:I)</f>
        <v>13180</v>
      </c>
      <c r="P616" s="153">
        <f>SUMIF('GUDANG BESAR'!C:C,K:K,'GUDANG BESAR'!K:K)</f>
        <v>14629.8</v>
      </c>
      <c r="Q616" s="150">
        <v>15</v>
      </c>
      <c r="R616" s="149">
        <v>15</v>
      </c>
      <c r="S616" s="149">
        <v>0</v>
      </c>
      <c r="T616" s="145">
        <f t="shared" si="27"/>
        <v>197700</v>
      </c>
      <c r="U616" s="145">
        <f t="shared" si="28"/>
        <v>219447</v>
      </c>
      <c r="V616" s="135" t="str">
        <f>VLOOKUP(K616,Sheet1!$B$5:$C$131,2,0)</f>
        <v>LIMBAH</v>
      </c>
      <c r="W616" s="181">
        <f t="shared" si="29"/>
        <v>1.4999999999999999E-2</v>
      </c>
    </row>
    <row r="617" spans="1:23" s="139" customFormat="1">
      <c r="A617" s="146" t="s">
        <v>520</v>
      </c>
      <c r="B617" s="147" t="s">
        <v>521</v>
      </c>
      <c r="C617" s="146" t="s">
        <v>137</v>
      </c>
      <c r="D617" s="146" t="s">
        <v>138</v>
      </c>
      <c r="E617" s="146" t="s">
        <v>139</v>
      </c>
      <c r="F617" s="146" t="s">
        <v>140</v>
      </c>
      <c r="G617" s="148" t="s">
        <v>300</v>
      </c>
      <c r="H617" s="146">
        <v>0</v>
      </c>
      <c r="I617" s="146">
        <v>16</v>
      </c>
      <c r="J617" s="146" t="s">
        <v>152</v>
      </c>
      <c r="K617" s="146" t="s">
        <v>57</v>
      </c>
      <c r="L617" s="148" t="s">
        <v>3</v>
      </c>
      <c r="M617" s="146" t="s">
        <v>142</v>
      </c>
      <c r="N617" s="149">
        <v>1000</v>
      </c>
      <c r="O617" s="152">
        <f>SUMIF('GUDANG BESAR'!C:C,K:K,'GUDANG BESAR'!I:I)</f>
        <v>21870</v>
      </c>
      <c r="P617" s="153">
        <f>SUMIF('GUDANG BESAR'!C:C,K:K,'GUDANG BESAR'!K:K)</f>
        <v>24275.7</v>
      </c>
      <c r="Q617" s="150">
        <v>50</v>
      </c>
      <c r="R617" s="149">
        <v>50</v>
      </c>
      <c r="S617" s="149">
        <v>0</v>
      </c>
      <c r="T617" s="145">
        <f t="shared" si="27"/>
        <v>1093500</v>
      </c>
      <c r="U617" s="145">
        <f t="shared" si="28"/>
        <v>1213785</v>
      </c>
      <c r="V617" s="135" t="str">
        <f>VLOOKUP(K617,Sheet1!$B$5:$C$131,2,0)</f>
        <v>CK</v>
      </c>
      <c r="W617" s="181">
        <f t="shared" si="29"/>
        <v>0.05</v>
      </c>
    </row>
    <row r="618" spans="1:23" s="139" customFormat="1">
      <c r="A618" s="146" t="s">
        <v>520</v>
      </c>
      <c r="B618" s="147" t="s">
        <v>521</v>
      </c>
      <c r="C618" s="146" t="s">
        <v>137</v>
      </c>
      <c r="D618" s="146" t="s">
        <v>138</v>
      </c>
      <c r="E618" s="146" t="s">
        <v>139</v>
      </c>
      <c r="F618" s="146" t="s">
        <v>162</v>
      </c>
      <c r="G618" s="148" t="s">
        <v>214</v>
      </c>
      <c r="H618" s="146">
        <v>0</v>
      </c>
      <c r="I618" s="146">
        <v>26</v>
      </c>
      <c r="J618" s="146" t="s">
        <v>263</v>
      </c>
      <c r="K618" s="146" t="s">
        <v>259</v>
      </c>
      <c r="L618" s="148" t="s">
        <v>3</v>
      </c>
      <c r="M618" s="146" t="s">
        <v>142</v>
      </c>
      <c r="N618" s="149">
        <v>1000</v>
      </c>
      <c r="O618" s="152">
        <f>SUMIF('GUDANG BESAR'!C:C,K:K,'GUDANG BESAR'!I:I)</f>
        <v>47500</v>
      </c>
      <c r="P618" s="153">
        <f>SUMIF('GUDANG BESAR'!C:C,K:K,'GUDANG BESAR'!K:K)</f>
        <v>52725</v>
      </c>
      <c r="Q618" s="150">
        <v>12</v>
      </c>
      <c r="R618" s="149">
        <v>12</v>
      </c>
      <c r="S618" s="149">
        <v>0</v>
      </c>
      <c r="T618" s="145">
        <f t="shared" si="27"/>
        <v>570000</v>
      </c>
      <c r="U618" s="145">
        <f t="shared" si="28"/>
        <v>632700</v>
      </c>
      <c r="V618" s="135" t="str">
        <f>VLOOKUP(K618,Sheet1!$B$5:$C$131,2,0)</f>
        <v>LIMBAH</v>
      </c>
      <c r="W618" s="181">
        <f t="shared" si="29"/>
        <v>1.2E-2</v>
      </c>
    </row>
    <row r="619" spans="1:23" s="139" customFormat="1">
      <c r="A619" s="146" t="s">
        <v>522</v>
      </c>
      <c r="B619" s="147" t="s">
        <v>523</v>
      </c>
      <c r="C619" s="146" t="s">
        <v>137</v>
      </c>
      <c r="D619" s="146" t="s">
        <v>138</v>
      </c>
      <c r="E619" s="146" t="s">
        <v>139</v>
      </c>
      <c r="F619" s="146" t="s">
        <v>166</v>
      </c>
      <c r="G619" s="148" t="s">
        <v>336</v>
      </c>
      <c r="H619" s="146">
        <v>0</v>
      </c>
      <c r="I619" s="146">
        <v>23</v>
      </c>
      <c r="J619" s="146" t="s">
        <v>157</v>
      </c>
      <c r="K619" s="146" t="s">
        <v>48</v>
      </c>
      <c r="L619" s="148" t="s">
        <v>93</v>
      </c>
      <c r="M619" s="146" t="s">
        <v>158</v>
      </c>
      <c r="N619" s="149">
        <v>1000</v>
      </c>
      <c r="O619" s="152">
        <f>SUMIF('GUDANG BESAR'!C:C,K:K,'GUDANG BESAR'!I:I)</f>
        <v>18500</v>
      </c>
      <c r="P619" s="153">
        <f>SUMIF('GUDANG BESAR'!C:C,K:K,'GUDANG BESAR'!K:K)</f>
        <v>20535</v>
      </c>
      <c r="Q619" s="150">
        <v>20</v>
      </c>
      <c r="R619" s="149">
        <v>20</v>
      </c>
      <c r="S619" s="149">
        <v>0</v>
      </c>
      <c r="T619" s="145">
        <f t="shared" si="27"/>
        <v>370000</v>
      </c>
      <c r="U619" s="145">
        <f t="shared" si="28"/>
        <v>410700</v>
      </c>
      <c r="V619" s="135" t="str">
        <f>VLOOKUP(K619,Sheet1!$B$5:$C$131,2,0)</f>
        <v>ENGGRAVING</v>
      </c>
      <c r="W619" s="181">
        <f t="shared" si="29"/>
        <v>0.02</v>
      </c>
    </row>
    <row r="620" spans="1:23" s="139" customFormat="1">
      <c r="A620" s="146" t="s">
        <v>522</v>
      </c>
      <c r="B620" s="147" t="s">
        <v>523</v>
      </c>
      <c r="C620" s="146" t="s">
        <v>137</v>
      </c>
      <c r="D620" s="146" t="s">
        <v>138</v>
      </c>
      <c r="E620" s="146" t="s">
        <v>139</v>
      </c>
      <c r="F620" s="146" t="s">
        <v>159</v>
      </c>
      <c r="G620" s="148" t="s">
        <v>302</v>
      </c>
      <c r="H620" s="146">
        <v>0</v>
      </c>
      <c r="I620" s="146">
        <v>21</v>
      </c>
      <c r="J620" s="146" t="s">
        <v>160</v>
      </c>
      <c r="K620" s="146" t="s">
        <v>62</v>
      </c>
      <c r="L620" s="148" t="s">
        <v>3</v>
      </c>
      <c r="M620" s="146" t="s">
        <v>142</v>
      </c>
      <c r="N620" s="149">
        <v>1000</v>
      </c>
      <c r="O620" s="152">
        <f>SUMIF('GUDANG BESAR'!C:C,K:K,'GUDANG BESAR'!I:I)</f>
        <v>24000</v>
      </c>
      <c r="P620" s="153">
        <f>SUMIF('GUDANG BESAR'!C:C,K:K,'GUDANG BESAR'!K:K)</f>
        <v>26640</v>
      </c>
      <c r="Q620" s="150">
        <v>60</v>
      </c>
      <c r="R620" s="149">
        <v>60</v>
      </c>
      <c r="S620" s="149">
        <v>0</v>
      </c>
      <c r="T620" s="145">
        <f t="shared" si="27"/>
        <v>1440000</v>
      </c>
      <c r="U620" s="145">
        <f t="shared" si="28"/>
        <v>1598400</v>
      </c>
      <c r="V620" s="135" t="str">
        <f>VLOOKUP(K620,Sheet1!$B$5:$C$131,2,0)</f>
        <v>BOILER</v>
      </c>
      <c r="W620" s="181">
        <f t="shared" si="29"/>
        <v>0.06</v>
      </c>
    </row>
    <row r="621" spans="1:23" s="139" customFormat="1">
      <c r="A621" s="146" t="s">
        <v>522</v>
      </c>
      <c r="B621" s="147" t="s">
        <v>523</v>
      </c>
      <c r="C621" s="146" t="s">
        <v>137</v>
      </c>
      <c r="D621" s="146" t="s">
        <v>138</v>
      </c>
      <c r="E621" s="146" t="s">
        <v>139</v>
      </c>
      <c r="F621" s="146" t="s">
        <v>159</v>
      </c>
      <c r="G621" s="148" t="s">
        <v>302</v>
      </c>
      <c r="H621" s="146">
        <v>0</v>
      </c>
      <c r="I621" s="146">
        <v>22</v>
      </c>
      <c r="J621" s="146" t="s">
        <v>161</v>
      </c>
      <c r="K621" s="146" t="s">
        <v>63</v>
      </c>
      <c r="L621" s="148" t="s">
        <v>3</v>
      </c>
      <c r="M621" s="146" t="s">
        <v>142</v>
      </c>
      <c r="N621" s="149">
        <v>1000</v>
      </c>
      <c r="O621" s="152">
        <f>SUMIF('GUDANG BESAR'!C:C,K:K,'GUDANG BESAR'!I:I)</f>
        <v>23000</v>
      </c>
      <c r="P621" s="153">
        <f>SUMIF('GUDANG BESAR'!C:C,K:K,'GUDANG BESAR'!K:K)</f>
        <v>25530</v>
      </c>
      <c r="Q621" s="150">
        <v>60</v>
      </c>
      <c r="R621" s="149">
        <v>60</v>
      </c>
      <c r="S621" s="149">
        <v>0</v>
      </c>
      <c r="T621" s="145">
        <f t="shared" si="27"/>
        <v>1380000</v>
      </c>
      <c r="U621" s="145">
        <f t="shared" si="28"/>
        <v>1531800</v>
      </c>
      <c r="V621" s="135" t="str">
        <f>VLOOKUP(K621,Sheet1!$B$5:$C$131,2,0)</f>
        <v>BOILER</v>
      </c>
      <c r="W621" s="181">
        <f t="shared" si="29"/>
        <v>0.06</v>
      </c>
    </row>
    <row r="622" spans="1:23" s="139" customFormat="1">
      <c r="A622" s="146" t="s">
        <v>522</v>
      </c>
      <c r="B622" s="147" t="s">
        <v>523</v>
      </c>
      <c r="C622" s="146" t="s">
        <v>137</v>
      </c>
      <c r="D622" s="146" t="s">
        <v>138</v>
      </c>
      <c r="E622" s="146" t="s">
        <v>139</v>
      </c>
      <c r="F622" s="146" t="s">
        <v>153</v>
      </c>
      <c r="G622" s="148" t="s">
        <v>299</v>
      </c>
      <c r="H622" s="146">
        <v>0</v>
      </c>
      <c r="I622" s="146">
        <v>18</v>
      </c>
      <c r="J622" s="146" t="s">
        <v>155</v>
      </c>
      <c r="K622" s="146" t="s">
        <v>33</v>
      </c>
      <c r="L622" s="148" t="s">
        <v>3</v>
      </c>
      <c r="M622" s="146" t="s">
        <v>142</v>
      </c>
      <c r="N622" s="149">
        <v>1000</v>
      </c>
      <c r="O622" s="152">
        <f>SUMIF('GUDANG BESAR'!C:C,K:K,'GUDANG BESAR'!I:I)</f>
        <v>11087.5</v>
      </c>
      <c r="P622" s="153">
        <f>SUMIF('GUDANG BESAR'!C:C,K:K,'GUDANG BESAR'!K:K)</f>
        <v>12307.125</v>
      </c>
      <c r="Q622" s="150">
        <v>160</v>
      </c>
      <c r="R622" s="149">
        <v>160</v>
      </c>
      <c r="S622" s="149">
        <v>0</v>
      </c>
      <c r="T622" s="145">
        <f t="shared" si="27"/>
        <v>1774000</v>
      </c>
      <c r="U622" s="145">
        <f t="shared" si="28"/>
        <v>1969140</v>
      </c>
      <c r="V622" s="135" t="str">
        <f>VLOOKUP(K622,Sheet1!$B$5:$C$131,2,0)</f>
        <v>RC</v>
      </c>
      <c r="W622" s="181">
        <f t="shared" si="29"/>
        <v>0.16</v>
      </c>
    </row>
    <row r="623" spans="1:23" s="139" customFormat="1">
      <c r="A623" s="146" t="s">
        <v>522</v>
      </c>
      <c r="B623" s="147" t="s">
        <v>523</v>
      </c>
      <c r="C623" s="146" t="s">
        <v>137</v>
      </c>
      <c r="D623" s="146" t="s">
        <v>138</v>
      </c>
      <c r="E623" s="146" t="s">
        <v>139</v>
      </c>
      <c r="F623" s="146" t="s">
        <v>140</v>
      </c>
      <c r="G623" s="148" t="s">
        <v>303</v>
      </c>
      <c r="H623" s="146">
        <v>0</v>
      </c>
      <c r="I623" s="146">
        <v>1</v>
      </c>
      <c r="J623" s="146" t="s">
        <v>141</v>
      </c>
      <c r="K623" s="146" t="s">
        <v>37</v>
      </c>
      <c r="L623" s="148" t="s">
        <v>3</v>
      </c>
      <c r="M623" s="146" t="s">
        <v>142</v>
      </c>
      <c r="N623" s="149">
        <v>1000</v>
      </c>
      <c r="O623" s="152">
        <f>SUMIF('GUDANG BESAR'!C:C,K:K,'GUDANG BESAR'!I:I)</f>
        <v>51276</v>
      </c>
      <c r="P623" s="153">
        <f>SUMIF('GUDANG BESAR'!C:C,K:K,'GUDANG BESAR'!K:K)</f>
        <v>56916.36</v>
      </c>
      <c r="Q623" s="150">
        <v>1.26</v>
      </c>
      <c r="R623" s="149">
        <v>1</v>
      </c>
      <c r="S623" s="149">
        <v>260</v>
      </c>
      <c r="T623" s="145">
        <f t="shared" si="27"/>
        <v>64607.76</v>
      </c>
      <c r="U623" s="145">
        <f t="shared" si="28"/>
        <v>71714.613599999997</v>
      </c>
      <c r="V623" s="135" t="str">
        <f>VLOOKUP(K623,Sheet1!$B$5:$C$131,2,0)</f>
        <v>DYESTUFF</v>
      </c>
      <c r="W623" s="181">
        <f t="shared" si="29"/>
        <v>1.2600000000000001E-3</v>
      </c>
    </row>
    <row r="624" spans="1:23" s="139" customFormat="1">
      <c r="A624" s="146" t="s">
        <v>522</v>
      </c>
      <c r="B624" s="147" t="s">
        <v>523</v>
      </c>
      <c r="C624" s="146" t="s">
        <v>137</v>
      </c>
      <c r="D624" s="146" t="s">
        <v>138</v>
      </c>
      <c r="E624" s="146" t="s">
        <v>139</v>
      </c>
      <c r="F624" s="146" t="s">
        <v>140</v>
      </c>
      <c r="G624" s="148" t="s">
        <v>303</v>
      </c>
      <c r="H624" s="146">
        <v>0</v>
      </c>
      <c r="I624" s="146">
        <v>4</v>
      </c>
      <c r="J624" s="146" t="s">
        <v>143</v>
      </c>
      <c r="K624" s="146" t="s">
        <v>90</v>
      </c>
      <c r="L624" s="148" t="s">
        <v>3</v>
      </c>
      <c r="M624" s="146" t="s">
        <v>142</v>
      </c>
      <c r="N624" s="149">
        <v>1000</v>
      </c>
      <c r="O624" s="152">
        <f>SUMIF('GUDANG BESAR'!C:C,K:K,'GUDANG BESAR'!I:I)</f>
        <v>194556</v>
      </c>
      <c r="P624" s="153">
        <f>SUMIF('GUDANG BESAR'!C:C,K:K,'GUDANG BESAR'!K:K)</f>
        <v>215957.16</v>
      </c>
      <c r="Q624" s="150">
        <v>2.512</v>
      </c>
      <c r="R624" s="149">
        <v>2</v>
      </c>
      <c r="S624" s="149">
        <v>512</v>
      </c>
      <c r="T624" s="145">
        <f t="shared" si="27"/>
        <v>488724.67200000002</v>
      </c>
      <c r="U624" s="145">
        <f t="shared" si="28"/>
        <v>542484.38592000003</v>
      </c>
      <c r="V624" s="135" t="str">
        <f>VLOOKUP(K624,Sheet1!$B$5:$C$131,2,0)</f>
        <v>DYESTUFF</v>
      </c>
      <c r="W624" s="181">
        <f t="shared" si="29"/>
        <v>2.5119999999999999E-3</v>
      </c>
    </row>
    <row r="625" spans="1:23" s="139" customFormat="1">
      <c r="A625" s="146" t="s">
        <v>522</v>
      </c>
      <c r="B625" s="147" t="s">
        <v>523</v>
      </c>
      <c r="C625" s="146" t="s">
        <v>137</v>
      </c>
      <c r="D625" s="146" t="s">
        <v>138</v>
      </c>
      <c r="E625" s="146" t="s">
        <v>139</v>
      </c>
      <c r="F625" s="146" t="s">
        <v>140</v>
      </c>
      <c r="G625" s="148" t="s">
        <v>303</v>
      </c>
      <c r="H625" s="146">
        <v>0</v>
      </c>
      <c r="I625" s="146">
        <v>2</v>
      </c>
      <c r="J625" s="146" t="s">
        <v>346</v>
      </c>
      <c r="K625" s="146" t="s">
        <v>343</v>
      </c>
      <c r="L625" s="148" t="s">
        <v>3</v>
      </c>
      <c r="M625" s="146" t="s">
        <v>142</v>
      </c>
      <c r="N625" s="149">
        <v>1000</v>
      </c>
      <c r="O625" s="152">
        <f>SUMIF('GUDANG BESAR'!C:C,K:K,'GUDANG BESAR'!I:I)</f>
        <v>60680</v>
      </c>
      <c r="P625" s="153">
        <f>SUMIF('GUDANG BESAR'!C:C,K:K,'GUDANG BESAR'!K:K)</f>
        <v>67354.8</v>
      </c>
      <c r="Q625" s="150">
        <v>9.9179999999999993</v>
      </c>
      <c r="R625" s="149">
        <v>9</v>
      </c>
      <c r="S625" s="149">
        <v>918</v>
      </c>
      <c r="T625" s="145">
        <f t="shared" si="27"/>
        <v>601824.24</v>
      </c>
      <c r="U625" s="145">
        <f t="shared" si="28"/>
        <v>668024.90639999998</v>
      </c>
      <c r="V625" s="135" t="str">
        <f>VLOOKUP(K625,Sheet1!$B$5:$C$131,2,0)</f>
        <v>DYESTUFF</v>
      </c>
      <c r="W625" s="181">
        <f t="shared" si="29"/>
        <v>9.9179999999999997E-3</v>
      </c>
    </row>
    <row r="626" spans="1:23" s="139" customFormat="1">
      <c r="A626" s="146" t="s">
        <v>522</v>
      </c>
      <c r="B626" s="147" t="s">
        <v>523</v>
      </c>
      <c r="C626" s="146" t="s">
        <v>137</v>
      </c>
      <c r="D626" s="146" t="s">
        <v>138</v>
      </c>
      <c r="E626" s="146" t="s">
        <v>139</v>
      </c>
      <c r="F626" s="146" t="s">
        <v>140</v>
      </c>
      <c r="G626" s="148" t="s">
        <v>303</v>
      </c>
      <c r="H626" s="146">
        <v>0</v>
      </c>
      <c r="I626" s="146">
        <v>12</v>
      </c>
      <c r="J626" s="146" t="s">
        <v>151</v>
      </c>
      <c r="K626" s="146" t="s">
        <v>28</v>
      </c>
      <c r="L626" s="148" t="s">
        <v>3</v>
      </c>
      <c r="M626" s="146" t="s">
        <v>142</v>
      </c>
      <c r="N626" s="149">
        <v>1000</v>
      </c>
      <c r="O626" s="152">
        <f>SUMIF('GUDANG BESAR'!C:C,K:K,'GUDANG BESAR'!I:I)</f>
        <v>413967</v>
      </c>
      <c r="P626" s="153">
        <f>SUMIF('GUDANG BESAR'!C:C,K:K,'GUDANG BESAR'!K:K)</f>
        <v>459503.37</v>
      </c>
      <c r="Q626" s="150">
        <v>0.215</v>
      </c>
      <c r="R626" s="149">
        <v>0</v>
      </c>
      <c r="S626" s="149">
        <v>215</v>
      </c>
      <c r="T626" s="145">
        <f t="shared" si="27"/>
        <v>89002.904999999999</v>
      </c>
      <c r="U626" s="145">
        <f t="shared" si="28"/>
        <v>98793.224549999999</v>
      </c>
      <c r="V626" s="135" t="str">
        <f>VLOOKUP(K626,Sheet1!$B$5:$C$131,2,0)</f>
        <v>DYESTUFF</v>
      </c>
      <c r="W626" s="181">
        <f t="shared" si="29"/>
        <v>2.1499999999999999E-4</v>
      </c>
    </row>
    <row r="627" spans="1:23" s="139" customFormat="1">
      <c r="A627" s="146" t="s">
        <v>522</v>
      </c>
      <c r="B627" s="147" t="s">
        <v>523</v>
      </c>
      <c r="C627" s="146" t="s">
        <v>137</v>
      </c>
      <c r="D627" s="146" t="s">
        <v>138</v>
      </c>
      <c r="E627" s="146" t="s">
        <v>139</v>
      </c>
      <c r="F627" s="146" t="s">
        <v>140</v>
      </c>
      <c r="G627" s="148" t="s">
        <v>303</v>
      </c>
      <c r="H627" s="146">
        <v>0</v>
      </c>
      <c r="I627" s="146">
        <v>3</v>
      </c>
      <c r="J627" s="146" t="s">
        <v>169</v>
      </c>
      <c r="K627" s="146" t="s">
        <v>64</v>
      </c>
      <c r="L627" s="148" t="s">
        <v>3</v>
      </c>
      <c r="M627" s="146" t="s">
        <v>142</v>
      </c>
      <c r="N627" s="149">
        <v>1000</v>
      </c>
      <c r="O627" s="152">
        <f>SUMIF('GUDANG BESAR'!C:C,K:K,'GUDANG BESAR'!I:I)</f>
        <v>506080</v>
      </c>
      <c r="P627" s="153">
        <f>SUMIF('GUDANG BESAR'!C:C,K:K,'GUDANG BESAR'!K:K)</f>
        <v>561748.80000000005</v>
      </c>
      <c r="Q627" s="150">
        <v>0.185</v>
      </c>
      <c r="R627" s="149">
        <v>0</v>
      </c>
      <c r="S627" s="149">
        <v>185</v>
      </c>
      <c r="T627" s="145">
        <f t="shared" si="27"/>
        <v>93624.8</v>
      </c>
      <c r="U627" s="145">
        <f t="shared" si="28"/>
        <v>103923.52800000001</v>
      </c>
      <c r="V627" s="135" t="str">
        <f>VLOOKUP(K627,Sheet1!$B$5:$C$131,2,0)</f>
        <v>DYESTUFF</v>
      </c>
      <c r="W627" s="181">
        <f t="shared" si="29"/>
        <v>1.85E-4</v>
      </c>
    </row>
    <row r="628" spans="1:23" s="139" customFormat="1">
      <c r="A628" s="146" t="s">
        <v>522</v>
      </c>
      <c r="B628" s="147" t="s">
        <v>523</v>
      </c>
      <c r="C628" s="146" t="s">
        <v>137</v>
      </c>
      <c r="D628" s="146" t="s">
        <v>138</v>
      </c>
      <c r="E628" s="146" t="s">
        <v>139</v>
      </c>
      <c r="F628" s="146" t="s">
        <v>140</v>
      </c>
      <c r="G628" s="148" t="s">
        <v>303</v>
      </c>
      <c r="H628" s="146">
        <v>0</v>
      </c>
      <c r="I628" s="146">
        <v>5</v>
      </c>
      <c r="J628" s="146" t="s">
        <v>250</v>
      </c>
      <c r="K628" s="146" t="s">
        <v>38</v>
      </c>
      <c r="L628" s="148" t="s">
        <v>3</v>
      </c>
      <c r="M628" s="146" t="s">
        <v>142</v>
      </c>
      <c r="N628" s="149">
        <v>1000</v>
      </c>
      <c r="O628" s="152">
        <f>SUMIF('GUDANG BESAR'!C:C,K:K,'GUDANG BESAR'!I:I)</f>
        <v>366255</v>
      </c>
      <c r="P628" s="153">
        <f>SUMIF('GUDANG BESAR'!C:C,K:K,'GUDANG BESAR'!K:K)</f>
        <v>406543.05</v>
      </c>
      <c r="Q628" s="150">
        <v>2.6509999999999998</v>
      </c>
      <c r="R628" s="149">
        <v>2</v>
      </c>
      <c r="S628" s="149">
        <v>651</v>
      </c>
      <c r="T628" s="145">
        <f t="shared" si="27"/>
        <v>970942.00499999989</v>
      </c>
      <c r="U628" s="145">
        <f t="shared" si="28"/>
        <v>1077745.62555</v>
      </c>
      <c r="V628" s="135" t="str">
        <f>VLOOKUP(K628,Sheet1!$B$5:$C$131,2,0)</f>
        <v>DYESTUFF</v>
      </c>
      <c r="W628" s="181">
        <f t="shared" si="29"/>
        <v>2.6509999999999997E-3</v>
      </c>
    </row>
    <row r="629" spans="1:23" s="139" customFormat="1">
      <c r="A629" s="146" t="s">
        <v>522</v>
      </c>
      <c r="B629" s="147" t="s">
        <v>523</v>
      </c>
      <c r="C629" s="146" t="s">
        <v>137</v>
      </c>
      <c r="D629" s="146" t="s">
        <v>138</v>
      </c>
      <c r="E629" s="146" t="s">
        <v>139</v>
      </c>
      <c r="F629" s="146" t="s">
        <v>140</v>
      </c>
      <c r="G629" s="148" t="s">
        <v>303</v>
      </c>
      <c r="H629" s="146">
        <v>0</v>
      </c>
      <c r="I629" s="146">
        <v>6</v>
      </c>
      <c r="J629" s="146" t="s">
        <v>144</v>
      </c>
      <c r="K629" s="146" t="s">
        <v>26</v>
      </c>
      <c r="L629" s="148" t="s">
        <v>3</v>
      </c>
      <c r="M629" s="146" t="s">
        <v>142</v>
      </c>
      <c r="N629" s="149">
        <v>1000</v>
      </c>
      <c r="O629" s="152">
        <f>SUMIF('GUDANG BESAR'!C:C,K:K,'GUDANG BESAR'!I:I)</f>
        <v>52016</v>
      </c>
      <c r="P629" s="153">
        <f>SUMIF('GUDANG BESAR'!C:C,K:K,'GUDANG BESAR'!K:K)</f>
        <v>57737.760000000002</v>
      </c>
      <c r="Q629" s="150">
        <v>2.1669999999999998</v>
      </c>
      <c r="R629" s="149">
        <v>2</v>
      </c>
      <c r="S629" s="149">
        <v>167</v>
      </c>
      <c r="T629" s="145">
        <f t="shared" si="27"/>
        <v>112718.67199999999</v>
      </c>
      <c r="U629" s="145">
        <f t="shared" si="28"/>
        <v>125117.72592</v>
      </c>
      <c r="V629" s="135" t="str">
        <f>VLOOKUP(K629,Sheet1!$B$5:$C$131,2,0)</f>
        <v>DYESTUFF</v>
      </c>
      <c r="W629" s="181">
        <f t="shared" si="29"/>
        <v>2.1669999999999997E-3</v>
      </c>
    </row>
    <row r="630" spans="1:23" s="139" customFormat="1">
      <c r="A630" s="146" t="s">
        <v>522</v>
      </c>
      <c r="B630" s="147" t="s">
        <v>523</v>
      </c>
      <c r="C630" s="146" t="s">
        <v>137</v>
      </c>
      <c r="D630" s="146" t="s">
        <v>138</v>
      </c>
      <c r="E630" s="146" t="s">
        <v>139</v>
      </c>
      <c r="F630" s="146" t="s">
        <v>140</v>
      </c>
      <c r="G630" s="148" t="s">
        <v>303</v>
      </c>
      <c r="H630" s="146">
        <v>0</v>
      </c>
      <c r="I630" s="146">
        <v>7</v>
      </c>
      <c r="J630" s="146" t="s">
        <v>145</v>
      </c>
      <c r="K630" s="146" t="s">
        <v>27</v>
      </c>
      <c r="L630" s="148" t="s">
        <v>3</v>
      </c>
      <c r="M630" s="146" t="s">
        <v>142</v>
      </c>
      <c r="N630" s="149">
        <v>1000</v>
      </c>
      <c r="O630" s="152">
        <f>SUMIF('GUDANG BESAR'!C:C,K:K,'GUDANG BESAR'!I:I)</f>
        <v>71148</v>
      </c>
      <c r="P630" s="153">
        <f>SUMIF('GUDANG BESAR'!C:C,K:K,'GUDANG BESAR'!K:K)</f>
        <v>78974.28</v>
      </c>
      <c r="Q630" s="150">
        <v>4.2359999999999998</v>
      </c>
      <c r="R630" s="149">
        <v>4</v>
      </c>
      <c r="S630" s="149">
        <v>236</v>
      </c>
      <c r="T630" s="145">
        <f t="shared" si="27"/>
        <v>301382.92799999996</v>
      </c>
      <c r="U630" s="145">
        <f t="shared" si="28"/>
        <v>334535.05007999996</v>
      </c>
      <c r="V630" s="135" t="str">
        <f>VLOOKUP(K630,Sheet1!$B$5:$C$131,2,0)</f>
        <v>DYESTUFF</v>
      </c>
      <c r="W630" s="181">
        <f t="shared" si="29"/>
        <v>4.2360000000000002E-3</v>
      </c>
    </row>
    <row r="631" spans="1:23" s="139" customFormat="1">
      <c r="A631" s="146" t="s">
        <v>522</v>
      </c>
      <c r="B631" s="147" t="s">
        <v>523</v>
      </c>
      <c r="C631" s="146" t="s">
        <v>137</v>
      </c>
      <c r="D631" s="146" t="s">
        <v>138</v>
      </c>
      <c r="E631" s="146" t="s">
        <v>139</v>
      </c>
      <c r="F631" s="146" t="s">
        <v>140</v>
      </c>
      <c r="G631" s="148" t="s">
        <v>303</v>
      </c>
      <c r="H631" s="146">
        <v>0</v>
      </c>
      <c r="I631" s="146">
        <v>8</v>
      </c>
      <c r="J631" s="146" t="s">
        <v>290</v>
      </c>
      <c r="K631" s="146" t="s">
        <v>238</v>
      </c>
      <c r="L631" s="148" t="s">
        <v>3</v>
      </c>
      <c r="M631" s="146" t="s">
        <v>142</v>
      </c>
      <c r="N631" s="149">
        <v>1000</v>
      </c>
      <c r="O631" s="152">
        <f>SUMIF('GUDANG BESAR'!C:C,K:K,'GUDANG BESAR'!I:I)</f>
        <v>227070</v>
      </c>
      <c r="P631" s="153">
        <f>SUMIF('GUDANG BESAR'!C:C,K:K,'GUDANG BESAR'!K:K)</f>
        <v>252047.7</v>
      </c>
      <c r="Q631" s="150">
        <v>0.223</v>
      </c>
      <c r="R631" s="149">
        <v>0</v>
      </c>
      <c r="S631" s="149">
        <v>223</v>
      </c>
      <c r="T631" s="145">
        <f t="shared" si="27"/>
        <v>50636.61</v>
      </c>
      <c r="U631" s="145">
        <f t="shared" si="28"/>
        <v>56206.6371</v>
      </c>
      <c r="V631" s="135" t="str">
        <f>VLOOKUP(K631,Sheet1!$B$5:$C$131,2,0)</f>
        <v>DYESTUFF</v>
      </c>
      <c r="W631" s="181">
        <f t="shared" si="29"/>
        <v>2.23E-4</v>
      </c>
    </row>
    <row r="632" spans="1:23" s="139" customFormat="1">
      <c r="A632" s="146" t="s">
        <v>522</v>
      </c>
      <c r="B632" s="147" t="s">
        <v>523</v>
      </c>
      <c r="C632" s="146" t="s">
        <v>137</v>
      </c>
      <c r="D632" s="146" t="s">
        <v>138</v>
      </c>
      <c r="E632" s="146" t="s">
        <v>139</v>
      </c>
      <c r="F632" s="146" t="s">
        <v>140</v>
      </c>
      <c r="G632" s="148" t="s">
        <v>303</v>
      </c>
      <c r="H632" s="146">
        <v>0</v>
      </c>
      <c r="I632" s="146">
        <v>9</v>
      </c>
      <c r="J632" s="146" t="s">
        <v>171</v>
      </c>
      <c r="K632" s="146" t="s">
        <v>102</v>
      </c>
      <c r="L632" s="148" t="s">
        <v>3</v>
      </c>
      <c r="M632" s="146" t="s">
        <v>142</v>
      </c>
      <c r="N632" s="149">
        <v>1000</v>
      </c>
      <c r="O632" s="152">
        <f>SUMIF('GUDANG BESAR'!C:C,K:K,'GUDANG BESAR'!I:I)</f>
        <v>385283</v>
      </c>
      <c r="P632" s="153">
        <f>SUMIF('GUDANG BESAR'!C:C,K:K,'GUDANG BESAR'!K:K)</f>
        <v>427664.13</v>
      </c>
      <c r="Q632" s="150">
        <v>3.5430000000000001</v>
      </c>
      <c r="R632" s="149">
        <v>3</v>
      </c>
      <c r="S632" s="149">
        <v>543</v>
      </c>
      <c r="T632" s="145">
        <f t="shared" si="27"/>
        <v>1365057.669</v>
      </c>
      <c r="U632" s="145">
        <f t="shared" si="28"/>
        <v>1515214.0125900002</v>
      </c>
      <c r="V632" s="135" t="str">
        <f>VLOOKUP(K632,Sheet1!$B$5:$C$131,2,0)</f>
        <v>DYESTUFF</v>
      </c>
      <c r="W632" s="181">
        <f t="shared" si="29"/>
        <v>3.5430000000000001E-3</v>
      </c>
    </row>
    <row r="633" spans="1:23" s="139" customFormat="1">
      <c r="A633" s="146" t="s">
        <v>522</v>
      </c>
      <c r="B633" s="147" t="s">
        <v>523</v>
      </c>
      <c r="C633" s="146" t="s">
        <v>137</v>
      </c>
      <c r="D633" s="146" t="s">
        <v>138</v>
      </c>
      <c r="E633" s="146" t="s">
        <v>139</v>
      </c>
      <c r="F633" s="146" t="s">
        <v>140</v>
      </c>
      <c r="G633" s="148" t="s">
        <v>303</v>
      </c>
      <c r="H633" s="146">
        <v>0</v>
      </c>
      <c r="I633" s="146">
        <v>10</v>
      </c>
      <c r="J633" s="146" t="s">
        <v>146</v>
      </c>
      <c r="K633" s="146" t="s">
        <v>46</v>
      </c>
      <c r="L633" s="148" t="s">
        <v>3</v>
      </c>
      <c r="M633" s="146" t="s">
        <v>142</v>
      </c>
      <c r="N633" s="149">
        <v>1000</v>
      </c>
      <c r="O633" s="152">
        <f>SUMIF('GUDANG BESAR'!C:C,K:K,'GUDANG BESAR'!I:I)</f>
        <v>100812</v>
      </c>
      <c r="P633" s="153">
        <f>SUMIF('GUDANG BESAR'!C:C,K:K,'GUDANG BESAR'!K:K)</f>
        <v>111901.32</v>
      </c>
      <c r="Q633" s="150">
        <v>3.0430000000000001</v>
      </c>
      <c r="R633" s="149">
        <v>3</v>
      </c>
      <c r="S633" s="149">
        <v>43</v>
      </c>
      <c r="T633" s="145">
        <f t="shared" si="27"/>
        <v>306770.91600000003</v>
      </c>
      <c r="U633" s="145">
        <f t="shared" si="28"/>
        <v>340515.71676000004</v>
      </c>
      <c r="V633" s="135" t="str">
        <f>VLOOKUP(K633,Sheet1!$B$5:$C$131,2,0)</f>
        <v>DYESTUFF</v>
      </c>
      <c r="W633" s="181">
        <f t="shared" si="29"/>
        <v>3.0430000000000001E-3</v>
      </c>
    </row>
    <row r="634" spans="1:23" s="139" customFormat="1">
      <c r="A634" s="146" t="s">
        <v>522</v>
      </c>
      <c r="B634" s="147" t="s">
        <v>523</v>
      </c>
      <c r="C634" s="146" t="s">
        <v>137</v>
      </c>
      <c r="D634" s="146" t="s">
        <v>138</v>
      </c>
      <c r="E634" s="146" t="s">
        <v>139</v>
      </c>
      <c r="F634" s="146" t="s">
        <v>140</v>
      </c>
      <c r="G634" s="148" t="s">
        <v>303</v>
      </c>
      <c r="H634" s="146">
        <v>0</v>
      </c>
      <c r="I634" s="146">
        <v>11</v>
      </c>
      <c r="J634" s="146" t="s">
        <v>147</v>
      </c>
      <c r="K634" s="146" t="s">
        <v>41</v>
      </c>
      <c r="L634" s="148" t="s">
        <v>3</v>
      </c>
      <c r="M634" s="146" t="s">
        <v>142</v>
      </c>
      <c r="N634" s="149">
        <v>1000</v>
      </c>
      <c r="O634" s="152">
        <f>SUMIF('GUDANG BESAR'!C:C,K:K,'GUDANG BESAR'!I:I)</f>
        <v>54071</v>
      </c>
      <c r="P634" s="153">
        <f>SUMIF('GUDANG BESAR'!C:C,K:K,'GUDANG BESAR'!K:K)</f>
        <v>60018.81</v>
      </c>
      <c r="Q634" s="150">
        <v>9.6609999999999996</v>
      </c>
      <c r="R634" s="149">
        <v>9</v>
      </c>
      <c r="S634" s="149">
        <v>661</v>
      </c>
      <c r="T634" s="145">
        <f t="shared" si="27"/>
        <v>522379.93099999998</v>
      </c>
      <c r="U634" s="145">
        <f t="shared" si="28"/>
        <v>579841.72340999998</v>
      </c>
      <c r="V634" s="135" t="str">
        <f>VLOOKUP(K634,Sheet1!$B$5:$C$131,2,0)</f>
        <v>DYESTUFF</v>
      </c>
      <c r="W634" s="181">
        <f t="shared" si="29"/>
        <v>9.6609999999999994E-3</v>
      </c>
    </row>
    <row r="635" spans="1:23" s="139" customFormat="1">
      <c r="A635" s="146" t="s">
        <v>522</v>
      </c>
      <c r="B635" s="147" t="s">
        <v>523</v>
      </c>
      <c r="C635" s="146" t="s">
        <v>137</v>
      </c>
      <c r="D635" s="146" t="s">
        <v>138</v>
      </c>
      <c r="E635" s="146" t="s">
        <v>139</v>
      </c>
      <c r="F635" s="146" t="s">
        <v>140</v>
      </c>
      <c r="G635" s="148" t="s">
        <v>303</v>
      </c>
      <c r="H635" s="146">
        <v>0</v>
      </c>
      <c r="I635" s="146">
        <v>13</v>
      </c>
      <c r="J635" s="146" t="s">
        <v>170</v>
      </c>
      <c r="K635" s="146" t="s">
        <v>29</v>
      </c>
      <c r="L635" s="148" t="s">
        <v>3</v>
      </c>
      <c r="M635" s="146" t="s">
        <v>142</v>
      </c>
      <c r="N635" s="149">
        <v>1000</v>
      </c>
      <c r="O635" s="152">
        <f>SUMIF('GUDANG BESAR'!C:C,K:K,'GUDANG BESAR'!I:I)</f>
        <v>100590</v>
      </c>
      <c r="P635" s="153">
        <f>SUMIF('GUDANG BESAR'!C:C,K:K,'GUDANG BESAR'!K:K)</f>
        <v>111654.9</v>
      </c>
      <c r="Q635" s="150">
        <v>3.22</v>
      </c>
      <c r="R635" s="149">
        <v>3</v>
      </c>
      <c r="S635" s="149">
        <v>220</v>
      </c>
      <c r="T635" s="145">
        <f t="shared" si="27"/>
        <v>323899.80000000005</v>
      </c>
      <c r="U635" s="145">
        <f t="shared" si="28"/>
        <v>359528.77799999999</v>
      </c>
      <c r="V635" s="135" t="str">
        <f>VLOOKUP(K635,Sheet1!$B$5:$C$131,2,0)</f>
        <v>DYESTUFF</v>
      </c>
      <c r="W635" s="181">
        <f t="shared" si="29"/>
        <v>3.2200000000000002E-3</v>
      </c>
    </row>
    <row r="636" spans="1:23" s="139" customFormat="1">
      <c r="A636" s="146" t="s">
        <v>522</v>
      </c>
      <c r="B636" s="147" t="s">
        <v>523</v>
      </c>
      <c r="C636" s="146" t="s">
        <v>137</v>
      </c>
      <c r="D636" s="146" t="s">
        <v>138</v>
      </c>
      <c r="E636" s="146" t="s">
        <v>139</v>
      </c>
      <c r="F636" s="146" t="s">
        <v>140</v>
      </c>
      <c r="G636" s="148" t="s">
        <v>303</v>
      </c>
      <c r="H636" s="146">
        <v>0</v>
      </c>
      <c r="I636" s="146">
        <v>14</v>
      </c>
      <c r="J636" s="146" t="s">
        <v>148</v>
      </c>
      <c r="K636" s="146" t="s">
        <v>30</v>
      </c>
      <c r="L636" s="148" t="s">
        <v>3</v>
      </c>
      <c r="M636" s="146" t="s">
        <v>142</v>
      </c>
      <c r="N636" s="149">
        <v>1000</v>
      </c>
      <c r="O636" s="152">
        <f>SUMIF('GUDANG BESAR'!C:C,K:K,'GUDANG BESAR'!I:I)</f>
        <v>77089.399999999994</v>
      </c>
      <c r="P636" s="153">
        <f>SUMIF('GUDANG BESAR'!C:C,K:K,'GUDANG BESAR'!K:K)</f>
        <v>85569.233999999997</v>
      </c>
      <c r="Q636" s="150">
        <v>39.866999999999997</v>
      </c>
      <c r="R636" s="149">
        <v>39</v>
      </c>
      <c r="S636" s="149">
        <v>867</v>
      </c>
      <c r="T636" s="145">
        <f t="shared" si="27"/>
        <v>3073323.1097999997</v>
      </c>
      <c r="U636" s="145">
        <f t="shared" si="28"/>
        <v>3411388.6518779998</v>
      </c>
      <c r="V636" s="135" t="str">
        <f>VLOOKUP(K636,Sheet1!$B$5:$C$131,2,0)</f>
        <v>DYESTUFF</v>
      </c>
      <c r="W636" s="181">
        <f t="shared" si="29"/>
        <v>3.9867E-2</v>
      </c>
    </row>
    <row r="637" spans="1:23" s="139" customFormat="1">
      <c r="A637" s="146" t="s">
        <v>522</v>
      </c>
      <c r="B637" s="147" t="s">
        <v>523</v>
      </c>
      <c r="C637" s="146" t="s">
        <v>137</v>
      </c>
      <c r="D637" s="146" t="s">
        <v>138</v>
      </c>
      <c r="E637" s="146" t="s">
        <v>139</v>
      </c>
      <c r="F637" s="146" t="s">
        <v>159</v>
      </c>
      <c r="G637" s="148" t="s">
        <v>302</v>
      </c>
      <c r="H637" s="146">
        <v>0</v>
      </c>
      <c r="I637" s="146">
        <v>33</v>
      </c>
      <c r="J637" s="146" t="s">
        <v>261</v>
      </c>
      <c r="K637" s="146" t="s">
        <v>49</v>
      </c>
      <c r="L637" s="148" t="s">
        <v>3</v>
      </c>
      <c r="M637" s="146" t="s">
        <v>142</v>
      </c>
      <c r="N637" s="149">
        <v>1000</v>
      </c>
      <c r="O637" s="152">
        <f>SUMIF('GUDANG BESAR'!C:C,K:K,'GUDANG BESAR'!I:I)</f>
        <v>1500</v>
      </c>
      <c r="P637" s="153">
        <f>SUMIF('GUDANG BESAR'!C:C,K:K,'GUDANG BESAR'!K:K)</f>
        <v>1500</v>
      </c>
      <c r="Q637" s="150">
        <v>400</v>
      </c>
      <c r="R637" s="149">
        <v>400</v>
      </c>
      <c r="S637" s="149">
        <v>0</v>
      </c>
      <c r="T637" s="145">
        <f t="shared" si="27"/>
        <v>600000</v>
      </c>
      <c r="U637" s="145">
        <f t="shared" si="28"/>
        <v>600000</v>
      </c>
      <c r="V637" s="135" t="str">
        <f>VLOOKUP(K637,Sheet1!$B$5:$C$131,2,0)</f>
        <v>BOILER</v>
      </c>
      <c r="W637" s="181">
        <f t="shared" si="29"/>
        <v>0.4</v>
      </c>
    </row>
    <row r="638" spans="1:23" s="139" customFormat="1">
      <c r="A638" s="146" t="s">
        <v>522</v>
      </c>
      <c r="B638" s="147" t="s">
        <v>523</v>
      </c>
      <c r="C638" s="146" t="s">
        <v>137</v>
      </c>
      <c r="D638" s="146" t="s">
        <v>138</v>
      </c>
      <c r="E638" s="146" t="s">
        <v>139</v>
      </c>
      <c r="F638" s="146" t="s">
        <v>167</v>
      </c>
      <c r="G638" s="148" t="s">
        <v>298</v>
      </c>
      <c r="H638" s="146">
        <v>0</v>
      </c>
      <c r="I638" s="146">
        <v>19</v>
      </c>
      <c r="J638" s="146" t="s">
        <v>278</v>
      </c>
      <c r="K638" s="146" t="s">
        <v>81</v>
      </c>
      <c r="L638" s="148" t="s">
        <v>3</v>
      </c>
      <c r="M638" s="146" t="s">
        <v>142</v>
      </c>
      <c r="N638" s="149">
        <v>1000</v>
      </c>
      <c r="O638" s="152">
        <f>SUMIF('GUDANG BESAR'!C:C,K:K,'GUDANG BESAR'!I:I)</f>
        <v>9741</v>
      </c>
      <c r="P638" s="153">
        <f>SUMIF('GUDANG BESAR'!C:C,K:K,'GUDANG BESAR'!K:K)</f>
        <v>10812.51</v>
      </c>
      <c r="Q638" s="150">
        <v>24</v>
      </c>
      <c r="R638" s="149">
        <v>24</v>
      </c>
      <c r="S638" s="149">
        <v>0</v>
      </c>
      <c r="T638" s="145">
        <f t="shared" si="27"/>
        <v>233784</v>
      </c>
      <c r="U638" s="145">
        <f t="shared" si="28"/>
        <v>259500.24</v>
      </c>
      <c r="V638" s="135" t="str">
        <f>VLOOKUP(K638,Sheet1!$B$5:$C$131,2,0)</f>
        <v>FINISHING</v>
      </c>
      <c r="W638" s="181">
        <f t="shared" si="29"/>
        <v>2.4E-2</v>
      </c>
    </row>
    <row r="639" spans="1:23" s="139" customFormat="1">
      <c r="A639" s="146" t="s">
        <v>522</v>
      </c>
      <c r="B639" s="147" t="s">
        <v>523</v>
      </c>
      <c r="C639" s="146" t="s">
        <v>137</v>
      </c>
      <c r="D639" s="146" t="s">
        <v>138</v>
      </c>
      <c r="E639" s="146" t="s">
        <v>139</v>
      </c>
      <c r="F639" s="146" t="s">
        <v>156</v>
      </c>
      <c r="G639" s="148" t="s">
        <v>337</v>
      </c>
      <c r="H639" s="146">
        <v>0</v>
      </c>
      <c r="I639" s="146">
        <v>25</v>
      </c>
      <c r="J639" s="146" t="s">
        <v>373</v>
      </c>
      <c r="K639" s="146" t="s">
        <v>35</v>
      </c>
      <c r="L639" s="148" t="s">
        <v>3</v>
      </c>
      <c r="M639" s="146" t="s">
        <v>142</v>
      </c>
      <c r="N639" s="149">
        <v>1000</v>
      </c>
      <c r="O639" s="152">
        <f>SUMIF('GUDANG BESAR'!C:C,K:K,'GUDANG BESAR'!I:I)</f>
        <v>115000</v>
      </c>
      <c r="P639" s="153">
        <f>SUMIF('GUDANG BESAR'!C:C,K:K,'GUDANG BESAR'!K:K)</f>
        <v>127650</v>
      </c>
      <c r="Q639" s="150">
        <v>4</v>
      </c>
      <c r="R639" s="149">
        <v>4</v>
      </c>
      <c r="S639" s="149">
        <v>0</v>
      </c>
      <c r="T639" s="145">
        <f t="shared" si="27"/>
        <v>460000</v>
      </c>
      <c r="U639" s="145">
        <f t="shared" si="28"/>
        <v>510600</v>
      </c>
      <c r="V639" s="135" t="str">
        <f>VLOOKUP(K639,Sheet1!$B$5:$C$131,2,0)</f>
        <v>CHEMICAL PRINTING</v>
      </c>
      <c r="W639" s="181">
        <f t="shared" si="29"/>
        <v>4.0000000000000001E-3</v>
      </c>
    </row>
    <row r="640" spans="1:23" s="139" customFormat="1">
      <c r="A640" s="146" t="s">
        <v>522</v>
      </c>
      <c r="B640" s="147" t="s">
        <v>523</v>
      </c>
      <c r="C640" s="146" t="s">
        <v>137</v>
      </c>
      <c r="D640" s="146" t="s">
        <v>138</v>
      </c>
      <c r="E640" s="146" t="s">
        <v>139</v>
      </c>
      <c r="F640" s="146" t="s">
        <v>140</v>
      </c>
      <c r="G640" s="148" t="s">
        <v>300</v>
      </c>
      <c r="H640" s="146">
        <v>0</v>
      </c>
      <c r="I640" s="146">
        <v>15</v>
      </c>
      <c r="J640" s="146" t="s">
        <v>314</v>
      </c>
      <c r="K640" s="146" t="s">
        <v>281</v>
      </c>
      <c r="L640" s="148" t="s">
        <v>3</v>
      </c>
      <c r="M640" s="146" t="s">
        <v>142</v>
      </c>
      <c r="N640" s="149">
        <v>1000</v>
      </c>
      <c r="O640" s="152">
        <f>SUMIF('GUDANG BESAR'!C:C,K:K,'GUDANG BESAR'!I:I)</f>
        <v>23590.51</v>
      </c>
      <c r="P640" s="153">
        <f>SUMIF('GUDANG BESAR'!C:C,K:K,'GUDANG BESAR'!K:K)</f>
        <v>26185.466099999998</v>
      </c>
      <c r="Q640" s="150">
        <v>300</v>
      </c>
      <c r="R640" s="149">
        <v>300</v>
      </c>
      <c r="S640" s="149">
        <v>0</v>
      </c>
      <c r="T640" s="145">
        <f t="shared" si="27"/>
        <v>7077152.9999999991</v>
      </c>
      <c r="U640" s="145">
        <f t="shared" si="28"/>
        <v>7855639.8299999991</v>
      </c>
      <c r="V640" s="135" t="str">
        <f>VLOOKUP(K640,Sheet1!$B$5:$C$131,2,0)</f>
        <v>CK</v>
      </c>
      <c r="W640" s="181">
        <f t="shared" si="29"/>
        <v>0.3</v>
      </c>
    </row>
    <row r="641" spans="1:23" s="139" customFormat="1">
      <c r="A641" s="146" t="s">
        <v>522</v>
      </c>
      <c r="B641" s="147" t="s">
        <v>523</v>
      </c>
      <c r="C641" s="146" t="s">
        <v>137</v>
      </c>
      <c r="D641" s="146" t="s">
        <v>138</v>
      </c>
      <c r="E641" s="146" t="s">
        <v>139</v>
      </c>
      <c r="F641" s="146" t="s">
        <v>162</v>
      </c>
      <c r="G641" s="148" t="s">
        <v>214</v>
      </c>
      <c r="H641" s="146">
        <v>0</v>
      </c>
      <c r="I641" s="146">
        <v>27</v>
      </c>
      <c r="J641" s="146" t="s">
        <v>234</v>
      </c>
      <c r="K641" s="146" t="s">
        <v>233</v>
      </c>
      <c r="L641" s="148" t="s">
        <v>3</v>
      </c>
      <c r="M641" s="146" t="s">
        <v>142</v>
      </c>
      <c r="N641" s="149">
        <v>1000</v>
      </c>
      <c r="O641" s="152">
        <f>SUMIF('GUDANG BESAR'!C:C,K:K,'GUDANG BESAR'!I:I)</f>
        <v>5500</v>
      </c>
      <c r="P641" s="153">
        <f>SUMIF('GUDANG BESAR'!C:C,K:K,'GUDANG BESAR'!K:K)</f>
        <v>6105</v>
      </c>
      <c r="Q641" s="150">
        <v>475</v>
      </c>
      <c r="R641" s="149">
        <v>475</v>
      </c>
      <c r="S641" s="149">
        <v>0</v>
      </c>
      <c r="T641" s="145">
        <f t="shared" si="27"/>
        <v>2612500</v>
      </c>
      <c r="U641" s="145">
        <f t="shared" si="28"/>
        <v>2899875</v>
      </c>
      <c r="V641" s="135" t="str">
        <f>VLOOKUP(K641,Sheet1!$B$5:$C$131,2,0)</f>
        <v>LIMBAH</v>
      </c>
      <c r="W641" s="181">
        <f t="shared" si="29"/>
        <v>0.47499999999999998</v>
      </c>
    </row>
    <row r="642" spans="1:23" s="139" customFormat="1">
      <c r="A642" s="146" t="s">
        <v>522</v>
      </c>
      <c r="B642" s="147" t="s">
        <v>523</v>
      </c>
      <c r="C642" s="146" t="s">
        <v>137</v>
      </c>
      <c r="D642" s="146" t="s">
        <v>138</v>
      </c>
      <c r="E642" s="146" t="s">
        <v>139</v>
      </c>
      <c r="F642" s="146" t="s">
        <v>166</v>
      </c>
      <c r="G642" s="148" t="s">
        <v>336</v>
      </c>
      <c r="H642" s="146">
        <v>0</v>
      </c>
      <c r="I642" s="146">
        <v>24</v>
      </c>
      <c r="J642" s="146" t="s">
        <v>306</v>
      </c>
      <c r="K642" s="146" t="s">
        <v>52</v>
      </c>
      <c r="L642" s="148" t="s">
        <v>3</v>
      </c>
      <c r="M642" s="146" t="s">
        <v>142</v>
      </c>
      <c r="N642" s="149">
        <v>1000</v>
      </c>
      <c r="O642" s="152">
        <f>SUMIF('GUDANG BESAR'!C:C,K:K,'GUDANG BESAR'!I:I)</f>
        <v>17000</v>
      </c>
      <c r="P642" s="153">
        <f>SUMIF('GUDANG BESAR'!C:C,K:K,'GUDANG BESAR'!K:K)</f>
        <v>18870</v>
      </c>
      <c r="Q642" s="150">
        <v>300</v>
      </c>
      <c r="R642" s="149">
        <v>300</v>
      </c>
      <c r="S642" s="149">
        <v>0</v>
      </c>
      <c r="T642" s="145">
        <f t="shared" si="27"/>
        <v>5100000</v>
      </c>
      <c r="U642" s="145">
        <f t="shared" si="28"/>
        <v>5661000</v>
      </c>
      <c r="V642" s="135" t="str">
        <f>VLOOKUP(K642,Sheet1!$B$5:$C$131,2,0)</f>
        <v>ENGGRAVING</v>
      </c>
      <c r="W642" s="181">
        <f t="shared" si="29"/>
        <v>0.3</v>
      </c>
    </row>
    <row r="643" spans="1:23" s="139" customFormat="1">
      <c r="A643" s="146" t="s">
        <v>522</v>
      </c>
      <c r="B643" s="147" t="s">
        <v>523</v>
      </c>
      <c r="C643" s="146" t="s">
        <v>137</v>
      </c>
      <c r="D643" s="146" t="s">
        <v>138</v>
      </c>
      <c r="E643" s="146" t="s">
        <v>139</v>
      </c>
      <c r="F643" s="146" t="s">
        <v>140</v>
      </c>
      <c r="G643" s="148" t="s">
        <v>300</v>
      </c>
      <c r="H643" s="146">
        <v>0</v>
      </c>
      <c r="I643" s="146">
        <v>17</v>
      </c>
      <c r="J643" s="146" t="s">
        <v>510</v>
      </c>
      <c r="K643" s="146" t="s">
        <v>257</v>
      </c>
      <c r="L643" s="148" t="s">
        <v>3</v>
      </c>
      <c r="M643" s="146" t="s">
        <v>142</v>
      </c>
      <c r="N643" s="149">
        <v>1000</v>
      </c>
      <c r="O643" s="152">
        <f>SUMIF('GUDANG BESAR'!C:C,K:K,'GUDANG BESAR'!I:I)</f>
        <v>28000</v>
      </c>
      <c r="P643" s="153">
        <f>SUMIF('GUDANG BESAR'!C:C,K:K,'GUDANG BESAR'!K:K)</f>
        <v>31080</v>
      </c>
      <c r="Q643" s="150">
        <v>20</v>
      </c>
      <c r="R643" s="149">
        <v>20</v>
      </c>
      <c r="S643" s="149">
        <v>0</v>
      </c>
      <c r="T643" s="145">
        <f t="shared" si="27"/>
        <v>560000</v>
      </c>
      <c r="U643" s="145">
        <f t="shared" si="28"/>
        <v>621600</v>
      </c>
      <c r="V643" s="135" t="str">
        <f>VLOOKUP(K643,Sheet1!$B$5:$C$131,2,0)</f>
        <v>CK</v>
      </c>
      <c r="W643" s="181">
        <f t="shared" si="29"/>
        <v>0.02</v>
      </c>
    </row>
    <row r="644" spans="1:23" s="139" customFormat="1">
      <c r="A644" s="146" t="s">
        <v>522</v>
      </c>
      <c r="B644" s="147" t="s">
        <v>523</v>
      </c>
      <c r="C644" s="146" t="s">
        <v>137</v>
      </c>
      <c r="D644" s="146" t="s">
        <v>138</v>
      </c>
      <c r="E644" s="146" t="s">
        <v>139</v>
      </c>
      <c r="F644" s="146" t="s">
        <v>156</v>
      </c>
      <c r="G644" s="148" t="s">
        <v>337</v>
      </c>
      <c r="H644" s="146">
        <v>0</v>
      </c>
      <c r="I644" s="146">
        <v>26</v>
      </c>
      <c r="J644" s="146" t="s">
        <v>374</v>
      </c>
      <c r="K644" s="146" t="s">
        <v>44</v>
      </c>
      <c r="L644" s="148" t="s">
        <v>3</v>
      </c>
      <c r="M644" s="146" t="s">
        <v>142</v>
      </c>
      <c r="N644" s="149">
        <v>1000</v>
      </c>
      <c r="O644" s="152">
        <f>SUMIF('GUDANG BESAR'!C:C,K:K,'GUDANG BESAR'!I:I)</f>
        <v>201876</v>
      </c>
      <c r="P644" s="153">
        <f>SUMIF('GUDANG BESAR'!C:C,K:K,'GUDANG BESAR'!K:K)</f>
        <v>224082.36</v>
      </c>
      <c r="Q644" s="150">
        <v>2</v>
      </c>
      <c r="R644" s="149">
        <v>2</v>
      </c>
      <c r="S644" s="149">
        <v>0</v>
      </c>
      <c r="T644" s="145">
        <f t="shared" si="27"/>
        <v>403752</v>
      </c>
      <c r="U644" s="145">
        <f t="shared" si="28"/>
        <v>448164.72</v>
      </c>
      <c r="V644" s="135" t="str">
        <f>VLOOKUP(K644,Sheet1!$B$5:$C$131,2,0)</f>
        <v>CHEMICAL PRINTING</v>
      </c>
      <c r="W644" s="181">
        <f t="shared" si="29"/>
        <v>2E-3</v>
      </c>
    </row>
    <row r="645" spans="1:23" s="139" customFormat="1">
      <c r="A645" s="146" t="s">
        <v>522</v>
      </c>
      <c r="B645" s="147" t="s">
        <v>523</v>
      </c>
      <c r="C645" s="146" t="s">
        <v>137</v>
      </c>
      <c r="D645" s="146" t="s">
        <v>138</v>
      </c>
      <c r="E645" s="146" t="s">
        <v>139</v>
      </c>
      <c r="F645" s="146" t="s">
        <v>140</v>
      </c>
      <c r="G645" s="148" t="s">
        <v>300</v>
      </c>
      <c r="H645" s="146">
        <v>0</v>
      </c>
      <c r="I645" s="146">
        <v>16</v>
      </c>
      <c r="J645" s="146" t="s">
        <v>500</v>
      </c>
      <c r="K645" s="146" t="s">
        <v>232</v>
      </c>
      <c r="L645" s="148" t="s">
        <v>3</v>
      </c>
      <c r="M645" s="146" t="s">
        <v>142</v>
      </c>
      <c r="N645" s="149">
        <v>1000</v>
      </c>
      <c r="O645" s="152">
        <f>SUMIF('GUDANG BESAR'!C:C,K:K,'GUDANG BESAR'!I:I)</f>
        <v>55284</v>
      </c>
      <c r="P645" s="153">
        <f>SUMIF('GUDANG BESAR'!C:C,K:K,'GUDANG BESAR'!K:K)</f>
        <v>61365.24</v>
      </c>
      <c r="Q645" s="150">
        <v>60</v>
      </c>
      <c r="R645" s="149">
        <v>60</v>
      </c>
      <c r="S645" s="149">
        <v>0</v>
      </c>
      <c r="T645" s="145">
        <f t="shared" si="27"/>
        <v>3317040</v>
      </c>
      <c r="U645" s="145">
        <f t="shared" si="28"/>
        <v>3681914.4</v>
      </c>
      <c r="V645" s="135" t="str">
        <f>VLOOKUP(K645,Sheet1!$B$5:$C$131,2,0)</f>
        <v>CK</v>
      </c>
      <c r="W645" s="181">
        <f t="shared" si="29"/>
        <v>0.06</v>
      </c>
    </row>
    <row r="646" spans="1:23" s="139" customFormat="1">
      <c r="A646" s="146" t="s">
        <v>522</v>
      </c>
      <c r="B646" s="147" t="s">
        <v>523</v>
      </c>
      <c r="C646" s="146" t="s">
        <v>137</v>
      </c>
      <c r="D646" s="146" t="s">
        <v>138</v>
      </c>
      <c r="E646" s="146" t="s">
        <v>139</v>
      </c>
      <c r="F646" s="146" t="s">
        <v>162</v>
      </c>
      <c r="G646" s="148" t="s">
        <v>214</v>
      </c>
      <c r="H646" s="146">
        <v>0</v>
      </c>
      <c r="I646" s="146">
        <v>32</v>
      </c>
      <c r="J646" s="146" t="s">
        <v>165</v>
      </c>
      <c r="K646" s="146" t="s">
        <v>80</v>
      </c>
      <c r="L646" s="148" t="s">
        <v>3</v>
      </c>
      <c r="M646" s="146" t="s">
        <v>142</v>
      </c>
      <c r="N646" s="149">
        <v>1000</v>
      </c>
      <c r="O646" s="152">
        <f>SUMIF('GUDANG BESAR'!C:C,K:K,'GUDANG BESAR'!I:I)</f>
        <v>1550000</v>
      </c>
      <c r="P646" s="153">
        <f>SUMIF('GUDANG BESAR'!C:C,K:K,'GUDANG BESAR'!K:K)</f>
        <v>1720500</v>
      </c>
      <c r="Q646" s="150">
        <v>0.05</v>
      </c>
      <c r="R646" s="149">
        <v>0</v>
      </c>
      <c r="S646" s="149">
        <v>50</v>
      </c>
      <c r="T646" s="145">
        <f t="shared" ref="T646:T709" si="30">O646*Q646</f>
        <v>77500</v>
      </c>
      <c r="U646" s="145">
        <f t="shared" ref="U646:U709" si="31">P646*Q646</f>
        <v>86025</v>
      </c>
      <c r="V646" s="135" t="str">
        <f>VLOOKUP(K646,Sheet1!$B$5:$C$131,2,0)</f>
        <v>LIMBAH</v>
      </c>
      <c r="W646" s="181">
        <f t="shared" ref="W646:W709" si="32">Q646/$W$5</f>
        <v>5.0000000000000002E-5</v>
      </c>
    </row>
    <row r="647" spans="1:23" s="139" customFormat="1">
      <c r="A647" s="146" t="s">
        <v>522</v>
      </c>
      <c r="B647" s="147" t="s">
        <v>523</v>
      </c>
      <c r="C647" s="146" t="s">
        <v>137</v>
      </c>
      <c r="D647" s="146" t="s">
        <v>138</v>
      </c>
      <c r="E647" s="146" t="s">
        <v>139</v>
      </c>
      <c r="F647" s="146" t="s">
        <v>162</v>
      </c>
      <c r="G647" s="148" t="s">
        <v>214</v>
      </c>
      <c r="H647" s="146">
        <v>0</v>
      </c>
      <c r="I647" s="146">
        <v>31</v>
      </c>
      <c r="J647" s="146" t="s">
        <v>164</v>
      </c>
      <c r="K647" s="146" t="s">
        <v>74</v>
      </c>
      <c r="L647" s="148" t="s">
        <v>5</v>
      </c>
      <c r="M647" s="146" t="s">
        <v>142</v>
      </c>
      <c r="N647" s="149">
        <v>1000</v>
      </c>
      <c r="O647" s="152">
        <f>SUMIF('GUDANG BESAR'!C:C,K:K,'GUDANG BESAR'!I:I)</f>
        <v>13180</v>
      </c>
      <c r="P647" s="153">
        <f>SUMIF('GUDANG BESAR'!C:C,K:K,'GUDANG BESAR'!K:K)</f>
        <v>14629.8</v>
      </c>
      <c r="Q647" s="150">
        <v>15</v>
      </c>
      <c r="R647" s="149">
        <v>15</v>
      </c>
      <c r="S647" s="149">
        <v>0</v>
      </c>
      <c r="T647" s="145">
        <f t="shared" si="30"/>
        <v>197700</v>
      </c>
      <c r="U647" s="145">
        <f t="shared" si="31"/>
        <v>219447</v>
      </c>
      <c r="V647" s="135" t="str">
        <f>VLOOKUP(K647,Sheet1!$B$5:$C$131,2,0)</f>
        <v>LIMBAH</v>
      </c>
      <c r="W647" s="181">
        <f t="shared" si="32"/>
        <v>1.4999999999999999E-2</v>
      </c>
    </row>
    <row r="648" spans="1:23" s="139" customFormat="1">
      <c r="A648" s="146" t="s">
        <v>522</v>
      </c>
      <c r="B648" s="147" t="s">
        <v>523</v>
      </c>
      <c r="C648" s="146" t="s">
        <v>137</v>
      </c>
      <c r="D648" s="146" t="s">
        <v>138</v>
      </c>
      <c r="E648" s="146" t="s">
        <v>139</v>
      </c>
      <c r="F648" s="146" t="s">
        <v>162</v>
      </c>
      <c r="G648" s="148" t="s">
        <v>214</v>
      </c>
      <c r="H648" s="146">
        <v>0</v>
      </c>
      <c r="I648" s="146">
        <v>29</v>
      </c>
      <c r="J648" s="146" t="s">
        <v>263</v>
      </c>
      <c r="K648" s="146" t="s">
        <v>259</v>
      </c>
      <c r="L648" s="148" t="s">
        <v>3</v>
      </c>
      <c r="M648" s="146" t="s">
        <v>142</v>
      </c>
      <c r="N648" s="149">
        <v>1000</v>
      </c>
      <c r="O648" s="152">
        <f>SUMIF('GUDANG BESAR'!C:C,K:K,'GUDANG BESAR'!I:I)</f>
        <v>47500</v>
      </c>
      <c r="P648" s="153">
        <f>SUMIF('GUDANG BESAR'!C:C,K:K,'GUDANG BESAR'!K:K)</f>
        <v>52725</v>
      </c>
      <c r="Q648" s="150">
        <v>9</v>
      </c>
      <c r="R648" s="149">
        <v>9</v>
      </c>
      <c r="S648" s="149">
        <v>0</v>
      </c>
      <c r="T648" s="145">
        <f t="shared" si="30"/>
        <v>427500</v>
      </c>
      <c r="U648" s="145">
        <f t="shared" si="31"/>
        <v>474525</v>
      </c>
      <c r="V648" s="135" t="str">
        <f>VLOOKUP(K648,Sheet1!$B$5:$C$131,2,0)</f>
        <v>LIMBAH</v>
      </c>
      <c r="W648" s="181">
        <f t="shared" si="32"/>
        <v>8.9999999999999993E-3</v>
      </c>
    </row>
    <row r="649" spans="1:23" s="139" customFormat="1">
      <c r="A649" s="146" t="s">
        <v>524</v>
      </c>
      <c r="B649" s="147" t="s">
        <v>525</v>
      </c>
      <c r="C649" s="146" t="s">
        <v>137</v>
      </c>
      <c r="D649" s="146" t="s">
        <v>138</v>
      </c>
      <c r="E649" s="146" t="s">
        <v>139</v>
      </c>
      <c r="F649" s="146" t="s">
        <v>166</v>
      </c>
      <c r="G649" s="148" t="s">
        <v>336</v>
      </c>
      <c r="H649" s="146">
        <v>0</v>
      </c>
      <c r="I649" s="146">
        <v>18</v>
      </c>
      <c r="J649" s="146" t="s">
        <v>319</v>
      </c>
      <c r="K649" s="146" t="s">
        <v>72</v>
      </c>
      <c r="L649" s="148" t="s">
        <v>3</v>
      </c>
      <c r="M649" s="146" t="s">
        <v>142</v>
      </c>
      <c r="N649" s="149">
        <v>1000</v>
      </c>
      <c r="O649" s="152">
        <f>SUMIF('GUDANG BESAR'!C:C,K:K,'GUDANG BESAR'!I:I)</f>
        <v>113890</v>
      </c>
      <c r="P649" s="153">
        <f>SUMIF('GUDANG BESAR'!C:C,K:K,'GUDANG BESAR'!K:K)</f>
        <v>126417.9</v>
      </c>
      <c r="Q649" s="150">
        <v>25</v>
      </c>
      <c r="R649" s="149">
        <v>25</v>
      </c>
      <c r="S649" s="149">
        <v>0</v>
      </c>
      <c r="T649" s="145">
        <f t="shared" si="30"/>
        <v>2847250</v>
      </c>
      <c r="U649" s="145">
        <f t="shared" si="31"/>
        <v>3160447.5</v>
      </c>
      <c r="V649" s="135" t="str">
        <f>VLOOKUP(K649,Sheet1!$B$5:$C$131,2,0)</f>
        <v>ENGGRAVING</v>
      </c>
      <c r="W649" s="181">
        <f t="shared" si="32"/>
        <v>2.5000000000000001E-2</v>
      </c>
    </row>
    <row r="650" spans="1:23" s="139" customFormat="1">
      <c r="A650" s="146" t="s">
        <v>524</v>
      </c>
      <c r="B650" s="147" t="s">
        <v>525</v>
      </c>
      <c r="C650" s="146" t="s">
        <v>137</v>
      </c>
      <c r="D650" s="146" t="s">
        <v>138</v>
      </c>
      <c r="E650" s="146" t="s">
        <v>139</v>
      </c>
      <c r="F650" s="146" t="s">
        <v>140</v>
      </c>
      <c r="G650" s="148" t="s">
        <v>303</v>
      </c>
      <c r="H650" s="146">
        <v>0</v>
      </c>
      <c r="I650" s="146">
        <v>1</v>
      </c>
      <c r="J650" s="146" t="s">
        <v>141</v>
      </c>
      <c r="K650" s="146" t="s">
        <v>37</v>
      </c>
      <c r="L650" s="148" t="s">
        <v>3</v>
      </c>
      <c r="M650" s="146" t="s">
        <v>142</v>
      </c>
      <c r="N650" s="149">
        <v>1000</v>
      </c>
      <c r="O650" s="152">
        <f>SUMIF('GUDANG BESAR'!C:C,K:K,'GUDANG BESAR'!I:I)</f>
        <v>51276</v>
      </c>
      <c r="P650" s="153">
        <f>SUMIF('GUDANG BESAR'!C:C,K:K,'GUDANG BESAR'!K:K)</f>
        <v>56916.36</v>
      </c>
      <c r="Q650" s="150">
        <v>29.54</v>
      </c>
      <c r="R650" s="149">
        <v>29</v>
      </c>
      <c r="S650" s="149">
        <v>540</v>
      </c>
      <c r="T650" s="145">
        <f t="shared" si="30"/>
        <v>1514693.04</v>
      </c>
      <c r="U650" s="145">
        <f t="shared" si="31"/>
        <v>1681309.2744</v>
      </c>
      <c r="V650" s="135" t="str">
        <f>VLOOKUP(K650,Sheet1!$B$5:$C$131,2,0)</f>
        <v>DYESTUFF</v>
      </c>
      <c r="W650" s="181">
        <f t="shared" si="32"/>
        <v>2.954E-2</v>
      </c>
    </row>
    <row r="651" spans="1:23" s="139" customFormat="1">
      <c r="A651" s="146" t="s">
        <v>524</v>
      </c>
      <c r="B651" s="147" t="s">
        <v>525</v>
      </c>
      <c r="C651" s="146" t="s">
        <v>137</v>
      </c>
      <c r="D651" s="146" t="s">
        <v>138</v>
      </c>
      <c r="E651" s="146" t="s">
        <v>139</v>
      </c>
      <c r="F651" s="146" t="s">
        <v>140</v>
      </c>
      <c r="G651" s="148" t="s">
        <v>303</v>
      </c>
      <c r="H651" s="146">
        <v>0</v>
      </c>
      <c r="I651" s="146">
        <v>4</v>
      </c>
      <c r="J651" s="146" t="s">
        <v>143</v>
      </c>
      <c r="K651" s="146" t="s">
        <v>90</v>
      </c>
      <c r="L651" s="148" t="s">
        <v>3</v>
      </c>
      <c r="M651" s="146" t="s">
        <v>142</v>
      </c>
      <c r="N651" s="149">
        <v>1000</v>
      </c>
      <c r="O651" s="152">
        <f>SUMIF('GUDANG BESAR'!C:C,K:K,'GUDANG BESAR'!I:I)</f>
        <v>194556</v>
      </c>
      <c r="P651" s="153">
        <f>SUMIF('GUDANG BESAR'!C:C,K:K,'GUDANG BESAR'!K:K)</f>
        <v>215957.16</v>
      </c>
      <c r="Q651" s="150">
        <v>2.2410000000000001</v>
      </c>
      <c r="R651" s="149">
        <v>2</v>
      </c>
      <c r="S651" s="149">
        <v>241</v>
      </c>
      <c r="T651" s="145">
        <f t="shared" si="30"/>
        <v>435999.99600000004</v>
      </c>
      <c r="U651" s="145">
        <f t="shared" si="31"/>
        <v>483959.99556000001</v>
      </c>
      <c r="V651" s="135" t="str">
        <f>VLOOKUP(K651,Sheet1!$B$5:$C$131,2,0)</f>
        <v>DYESTUFF</v>
      </c>
      <c r="W651" s="181">
        <f t="shared" si="32"/>
        <v>2.2409999999999999E-3</v>
      </c>
    </row>
    <row r="652" spans="1:23" s="139" customFormat="1">
      <c r="A652" s="146" t="s">
        <v>524</v>
      </c>
      <c r="B652" s="147" t="s">
        <v>525</v>
      </c>
      <c r="C652" s="146" t="s">
        <v>137</v>
      </c>
      <c r="D652" s="146" t="s">
        <v>138</v>
      </c>
      <c r="E652" s="146" t="s">
        <v>139</v>
      </c>
      <c r="F652" s="146" t="s">
        <v>140</v>
      </c>
      <c r="G652" s="148" t="s">
        <v>303</v>
      </c>
      <c r="H652" s="146">
        <v>0</v>
      </c>
      <c r="I652" s="146">
        <v>2</v>
      </c>
      <c r="J652" s="146" t="s">
        <v>346</v>
      </c>
      <c r="K652" s="146" t="s">
        <v>343</v>
      </c>
      <c r="L652" s="148" t="s">
        <v>3</v>
      </c>
      <c r="M652" s="146" t="s">
        <v>142</v>
      </c>
      <c r="N652" s="149">
        <v>1000</v>
      </c>
      <c r="O652" s="152">
        <f>SUMIF('GUDANG BESAR'!C:C,K:K,'GUDANG BESAR'!I:I)</f>
        <v>60680</v>
      </c>
      <c r="P652" s="153">
        <f>SUMIF('GUDANG BESAR'!C:C,K:K,'GUDANG BESAR'!K:K)</f>
        <v>67354.8</v>
      </c>
      <c r="Q652" s="150">
        <v>38.225999999999999</v>
      </c>
      <c r="R652" s="149">
        <v>38</v>
      </c>
      <c r="S652" s="149">
        <v>226</v>
      </c>
      <c r="T652" s="145">
        <f t="shared" si="30"/>
        <v>2319553.6800000002</v>
      </c>
      <c r="U652" s="145">
        <f t="shared" si="31"/>
        <v>2574704.5847999998</v>
      </c>
      <c r="V652" s="135" t="str">
        <f>VLOOKUP(K652,Sheet1!$B$5:$C$131,2,0)</f>
        <v>DYESTUFF</v>
      </c>
      <c r="W652" s="181">
        <f t="shared" si="32"/>
        <v>3.8225999999999996E-2</v>
      </c>
    </row>
    <row r="653" spans="1:23" s="139" customFormat="1">
      <c r="A653" s="146" t="s">
        <v>524</v>
      </c>
      <c r="B653" s="147" t="s">
        <v>525</v>
      </c>
      <c r="C653" s="146" t="s">
        <v>137</v>
      </c>
      <c r="D653" s="146" t="s">
        <v>138</v>
      </c>
      <c r="E653" s="146" t="s">
        <v>139</v>
      </c>
      <c r="F653" s="146" t="s">
        <v>140</v>
      </c>
      <c r="G653" s="148" t="s">
        <v>303</v>
      </c>
      <c r="H653" s="146">
        <v>0</v>
      </c>
      <c r="I653" s="146">
        <v>13</v>
      </c>
      <c r="J653" s="146" t="s">
        <v>151</v>
      </c>
      <c r="K653" s="146" t="s">
        <v>28</v>
      </c>
      <c r="L653" s="148" t="s">
        <v>3</v>
      </c>
      <c r="M653" s="146" t="s">
        <v>142</v>
      </c>
      <c r="N653" s="149">
        <v>1000</v>
      </c>
      <c r="O653" s="152">
        <f>SUMIF('GUDANG BESAR'!C:C,K:K,'GUDANG BESAR'!I:I)</f>
        <v>413967</v>
      </c>
      <c r="P653" s="153">
        <f>SUMIF('GUDANG BESAR'!C:C,K:K,'GUDANG BESAR'!K:K)</f>
        <v>459503.37</v>
      </c>
      <c r="Q653" s="150">
        <v>0.29199999999999998</v>
      </c>
      <c r="R653" s="149">
        <v>0</v>
      </c>
      <c r="S653" s="149">
        <v>292</v>
      </c>
      <c r="T653" s="145">
        <f t="shared" si="30"/>
        <v>120878.36399999999</v>
      </c>
      <c r="U653" s="145">
        <f t="shared" si="31"/>
        <v>134174.98403999998</v>
      </c>
      <c r="V653" s="135" t="str">
        <f>VLOOKUP(K653,Sheet1!$B$5:$C$131,2,0)</f>
        <v>DYESTUFF</v>
      </c>
      <c r="W653" s="181">
        <f t="shared" si="32"/>
        <v>2.92E-4</v>
      </c>
    </row>
    <row r="654" spans="1:23" s="139" customFormat="1">
      <c r="A654" s="146" t="s">
        <v>524</v>
      </c>
      <c r="B654" s="147" t="s">
        <v>525</v>
      </c>
      <c r="C654" s="146" t="s">
        <v>137</v>
      </c>
      <c r="D654" s="146" t="s">
        <v>138</v>
      </c>
      <c r="E654" s="146" t="s">
        <v>139</v>
      </c>
      <c r="F654" s="146" t="s">
        <v>140</v>
      </c>
      <c r="G654" s="148" t="s">
        <v>303</v>
      </c>
      <c r="H654" s="146">
        <v>0</v>
      </c>
      <c r="I654" s="146">
        <v>3</v>
      </c>
      <c r="J654" s="146" t="s">
        <v>169</v>
      </c>
      <c r="K654" s="146" t="s">
        <v>64</v>
      </c>
      <c r="L654" s="148" t="s">
        <v>3</v>
      </c>
      <c r="M654" s="146" t="s">
        <v>142</v>
      </c>
      <c r="N654" s="149">
        <v>1000</v>
      </c>
      <c r="O654" s="152">
        <f>SUMIF('GUDANG BESAR'!C:C,K:K,'GUDANG BESAR'!I:I)</f>
        <v>506080</v>
      </c>
      <c r="P654" s="153">
        <f>SUMIF('GUDANG BESAR'!C:C,K:K,'GUDANG BESAR'!K:K)</f>
        <v>561748.80000000005</v>
      </c>
      <c r="Q654" s="150">
        <v>0.76</v>
      </c>
      <c r="R654" s="149">
        <v>0</v>
      </c>
      <c r="S654" s="149">
        <v>760</v>
      </c>
      <c r="T654" s="145">
        <f t="shared" si="30"/>
        <v>384620.79999999999</v>
      </c>
      <c r="U654" s="145">
        <f t="shared" si="31"/>
        <v>426929.08800000005</v>
      </c>
      <c r="V654" s="135" t="str">
        <f>VLOOKUP(K654,Sheet1!$B$5:$C$131,2,0)</f>
        <v>DYESTUFF</v>
      </c>
      <c r="W654" s="181">
        <f t="shared" si="32"/>
        <v>7.6000000000000004E-4</v>
      </c>
    </row>
    <row r="655" spans="1:23" s="139" customFormat="1">
      <c r="A655" s="146" t="s">
        <v>524</v>
      </c>
      <c r="B655" s="147" t="s">
        <v>525</v>
      </c>
      <c r="C655" s="146" t="s">
        <v>137</v>
      </c>
      <c r="D655" s="146" t="s">
        <v>138</v>
      </c>
      <c r="E655" s="146" t="s">
        <v>139</v>
      </c>
      <c r="F655" s="146" t="s">
        <v>140</v>
      </c>
      <c r="G655" s="148" t="s">
        <v>303</v>
      </c>
      <c r="H655" s="146">
        <v>0</v>
      </c>
      <c r="I655" s="146">
        <v>5</v>
      </c>
      <c r="J655" s="146" t="s">
        <v>250</v>
      </c>
      <c r="K655" s="146" t="s">
        <v>38</v>
      </c>
      <c r="L655" s="148" t="s">
        <v>3</v>
      </c>
      <c r="M655" s="146" t="s">
        <v>142</v>
      </c>
      <c r="N655" s="149">
        <v>1000</v>
      </c>
      <c r="O655" s="152">
        <f>SUMIF('GUDANG BESAR'!C:C,K:K,'GUDANG BESAR'!I:I)</f>
        <v>366255</v>
      </c>
      <c r="P655" s="153">
        <f>SUMIF('GUDANG BESAR'!C:C,K:K,'GUDANG BESAR'!K:K)</f>
        <v>406543.05</v>
      </c>
      <c r="Q655" s="150">
        <v>1.1060000000000001</v>
      </c>
      <c r="R655" s="149">
        <v>1</v>
      </c>
      <c r="S655" s="149">
        <v>106</v>
      </c>
      <c r="T655" s="145">
        <f t="shared" si="30"/>
        <v>405078.03</v>
      </c>
      <c r="U655" s="145">
        <f t="shared" si="31"/>
        <v>449636.61330000003</v>
      </c>
      <c r="V655" s="135" t="str">
        <f>VLOOKUP(K655,Sheet1!$B$5:$C$131,2,0)</f>
        <v>DYESTUFF</v>
      </c>
      <c r="W655" s="181">
        <f t="shared" si="32"/>
        <v>1.106E-3</v>
      </c>
    </row>
    <row r="656" spans="1:23" s="139" customFormat="1">
      <c r="A656" s="146" t="s">
        <v>524</v>
      </c>
      <c r="B656" s="147" t="s">
        <v>525</v>
      </c>
      <c r="C656" s="146" t="s">
        <v>137</v>
      </c>
      <c r="D656" s="146" t="s">
        <v>138</v>
      </c>
      <c r="E656" s="146" t="s">
        <v>139</v>
      </c>
      <c r="F656" s="146" t="s">
        <v>140</v>
      </c>
      <c r="G656" s="148" t="s">
        <v>303</v>
      </c>
      <c r="H656" s="146">
        <v>0</v>
      </c>
      <c r="I656" s="146">
        <v>6</v>
      </c>
      <c r="J656" s="146" t="s">
        <v>144</v>
      </c>
      <c r="K656" s="146" t="s">
        <v>26</v>
      </c>
      <c r="L656" s="148" t="s">
        <v>3</v>
      </c>
      <c r="M656" s="146" t="s">
        <v>142</v>
      </c>
      <c r="N656" s="149">
        <v>1000</v>
      </c>
      <c r="O656" s="152">
        <f>SUMIF('GUDANG BESAR'!C:C,K:K,'GUDANG BESAR'!I:I)</f>
        <v>52016</v>
      </c>
      <c r="P656" s="153">
        <f>SUMIF('GUDANG BESAR'!C:C,K:K,'GUDANG BESAR'!K:K)</f>
        <v>57737.760000000002</v>
      </c>
      <c r="Q656" s="150">
        <v>9.2899999999999991</v>
      </c>
      <c r="R656" s="149">
        <v>9</v>
      </c>
      <c r="S656" s="149">
        <v>290</v>
      </c>
      <c r="T656" s="145">
        <f t="shared" si="30"/>
        <v>483228.63999999996</v>
      </c>
      <c r="U656" s="145">
        <f t="shared" si="31"/>
        <v>536383.79039999994</v>
      </c>
      <c r="V656" s="135" t="str">
        <f>VLOOKUP(K656,Sheet1!$B$5:$C$131,2,0)</f>
        <v>DYESTUFF</v>
      </c>
      <c r="W656" s="181">
        <f t="shared" si="32"/>
        <v>9.2899999999999996E-3</v>
      </c>
    </row>
    <row r="657" spans="1:23" s="139" customFormat="1">
      <c r="A657" s="146" t="s">
        <v>524</v>
      </c>
      <c r="B657" s="147" t="s">
        <v>525</v>
      </c>
      <c r="C657" s="146" t="s">
        <v>137</v>
      </c>
      <c r="D657" s="146" t="s">
        <v>138</v>
      </c>
      <c r="E657" s="146" t="s">
        <v>139</v>
      </c>
      <c r="F657" s="146" t="s">
        <v>140</v>
      </c>
      <c r="G657" s="148" t="s">
        <v>303</v>
      </c>
      <c r="H657" s="146">
        <v>0</v>
      </c>
      <c r="I657" s="146">
        <v>7</v>
      </c>
      <c r="J657" s="146" t="s">
        <v>145</v>
      </c>
      <c r="K657" s="146" t="s">
        <v>27</v>
      </c>
      <c r="L657" s="148" t="s">
        <v>3</v>
      </c>
      <c r="M657" s="146" t="s">
        <v>142</v>
      </c>
      <c r="N657" s="149">
        <v>1000</v>
      </c>
      <c r="O657" s="152">
        <f>SUMIF('GUDANG BESAR'!C:C,K:K,'GUDANG BESAR'!I:I)</f>
        <v>71148</v>
      </c>
      <c r="P657" s="153">
        <f>SUMIF('GUDANG BESAR'!C:C,K:K,'GUDANG BESAR'!K:K)</f>
        <v>78974.28</v>
      </c>
      <c r="Q657" s="150">
        <v>13.917</v>
      </c>
      <c r="R657" s="149">
        <v>13</v>
      </c>
      <c r="S657" s="149">
        <v>917</v>
      </c>
      <c r="T657" s="145">
        <f t="shared" si="30"/>
        <v>990166.71600000001</v>
      </c>
      <c r="U657" s="145">
        <f t="shared" si="31"/>
        <v>1099085.05476</v>
      </c>
      <c r="V657" s="135" t="str">
        <f>VLOOKUP(K657,Sheet1!$B$5:$C$131,2,0)</f>
        <v>DYESTUFF</v>
      </c>
      <c r="W657" s="181">
        <f t="shared" si="32"/>
        <v>1.3917000000000001E-2</v>
      </c>
    </row>
    <row r="658" spans="1:23" s="139" customFormat="1">
      <c r="A658" s="146" t="s">
        <v>524</v>
      </c>
      <c r="B658" s="147" t="s">
        <v>525</v>
      </c>
      <c r="C658" s="146" t="s">
        <v>137</v>
      </c>
      <c r="D658" s="146" t="s">
        <v>138</v>
      </c>
      <c r="E658" s="146" t="s">
        <v>139</v>
      </c>
      <c r="F658" s="146" t="s">
        <v>140</v>
      </c>
      <c r="G658" s="148" t="s">
        <v>303</v>
      </c>
      <c r="H658" s="146">
        <v>0</v>
      </c>
      <c r="I658" s="146">
        <v>9</v>
      </c>
      <c r="J658" s="146" t="s">
        <v>290</v>
      </c>
      <c r="K658" s="146" t="s">
        <v>238</v>
      </c>
      <c r="L658" s="148" t="s">
        <v>3</v>
      </c>
      <c r="M658" s="146" t="s">
        <v>142</v>
      </c>
      <c r="N658" s="149">
        <v>1000</v>
      </c>
      <c r="O658" s="152">
        <f>SUMIF('GUDANG BESAR'!C:C,K:K,'GUDANG BESAR'!I:I)</f>
        <v>227070</v>
      </c>
      <c r="P658" s="153">
        <f>SUMIF('GUDANG BESAR'!C:C,K:K,'GUDANG BESAR'!K:K)</f>
        <v>252047.7</v>
      </c>
      <c r="Q658" s="150">
        <v>0.45800000000000002</v>
      </c>
      <c r="R658" s="149">
        <v>0</v>
      </c>
      <c r="S658" s="149">
        <v>458</v>
      </c>
      <c r="T658" s="145">
        <f t="shared" si="30"/>
        <v>103998.06</v>
      </c>
      <c r="U658" s="145">
        <f t="shared" si="31"/>
        <v>115437.8466</v>
      </c>
      <c r="V658" s="135" t="str">
        <f>VLOOKUP(K658,Sheet1!$B$5:$C$131,2,0)</f>
        <v>DYESTUFF</v>
      </c>
      <c r="W658" s="181">
        <f t="shared" si="32"/>
        <v>4.5800000000000002E-4</v>
      </c>
    </row>
    <row r="659" spans="1:23" s="139" customFormat="1">
      <c r="A659" s="146" t="s">
        <v>524</v>
      </c>
      <c r="B659" s="147" t="s">
        <v>525</v>
      </c>
      <c r="C659" s="146" t="s">
        <v>137</v>
      </c>
      <c r="D659" s="146" t="s">
        <v>138</v>
      </c>
      <c r="E659" s="146" t="s">
        <v>139</v>
      </c>
      <c r="F659" s="146" t="s">
        <v>140</v>
      </c>
      <c r="G659" s="148" t="s">
        <v>303</v>
      </c>
      <c r="H659" s="146">
        <v>0</v>
      </c>
      <c r="I659" s="146">
        <v>8</v>
      </c>
      <c r="J659" s="146" t="s">
        <v>289</v>
      </c>
      <c r="K659" s="146" t="s">
        <v>255</v>
      </c>
      <c r="L659" s="148" t="s">
        <v>3</v>
      </c>
      <c r="M659" s="146" t="s">
        <v>142</v>
      </c>
      <c r="N659" s="149">
        <v>1000</v>
      </c>
      <c r="O659" s="152">
        <f>SUMIF('GUDANG BESAR'!C:C,K:K,'GUDANG BESAR'!I:I)</f>
        <v>195336</v>
      </c>
      <c r="P659" s="153">
        <f>SUMIF('GUDANG BESAR'!C:C,K:K,'GUDANG BESAR'!K:K)</f>
        <v>216822.96</v>
      </c>
      <c r="Q659" s="150">
        <v>9.2999999999999999E-2</v>
      </c>
      <c r="R659" s="149">
        <v>0</v>
      </c>
      <c r="S659" s="149">
        <v>93</v>
      </c>
      <c r="T659" s="145">
        <f t="shared" si="30"/>
        <v>18166.248</v>
      </c>
      <c r="U659" s="145">
        <f t="shared" si="31"/>
        <v>20164.53528</v>
      </c>
      <c r="V659" s="135" t="str">
        <f>VLOOKUP(K659,Sheet1!$B$5:$C$131,2,0)</f>
        <v>DYESTUFF</v>
      </c>
      <c r="W659" s="181">
        <f t="shared" si="32"/>
        <v>9.2999999999999997E-5</v>
      </c>
    </row>
    <row r="660" spans="1:23" s="139" customFormat="1">
      <c r="A660" s="146" t="s">
        <v>524</v>
      </c>
      <c r="B660" s="147" t="s">
        <v>525</v>
      </c>
      <c r="C660" s="146" t="s">
        <v>137</v>
      </c>
      <c r="D660" s="146" t="s">
        <v>138</v>
      </c>
      <c r="E660" s="146" t="s">
        <v>139</v>
      </c>
      <c r="F660" s="146" t="s">
        <v>140</v>
      </c>
      <c r="G660" s="148" t="s">
        <v>303</v>
      </c>
      <c r="H660" s="146">
        <v>0</v>
      </c>
      <c r="I660" s="146">
        <v>10</v>
      </c>
      <c r="J660" s="146" t="s">
        <v>171</v>
      </c>
      <c r="K660" s="146" t="s">
        <v>102</v>
      </c>
      <c r="L660" s="148" t="s">
        <v>3</v>
      </c>
      <c r="M660" s="146" t="s">
        <v>142</v>
      </c>
      <c r="N660" s="149">
        <v>1000</v>
      </c>
      <c r="O660" s="152">
        <f>SUMIF('GUDANG BESAR'!C:C,K:K,'GUDANG BESAR'!I:I)</f>
        <v>385283</v>
      </c>
      <c r="P660" s="153">
        <f>SUMIF('GUDANG BESAR'!C:C,K:K,'GUDANG BESAR'!K:K)</f>
        <v>427664.13</v>
      </c>
      <c r="Q660" s="150">
        <v>2.3330000000000002</v>
      </c>
      <c r="R660" s="149">
        <v>2</v>
      </c>
      <c r="S660" s="149">
        <v>333</v>
      </c>
      <c r="T660" s="145">
        <f t="shared" si="30"/>
        <v>898865.23900000006</v>
      </c>
      <c r="U660" s="145">
        <f t="shared" si="31"/>
        <v>997740.41529000003</v>
      </c>
      <c r="V660" s="135" t="str">
        <f>VLOOKUP(K660,Sheet1!$B$5:$C$131,2,0)</f>
        <v>DYESTUFF</v>
      </c>
      <c r="W660" s="181">
        <f t="shared" si="32"/>
        <v>2.333E-3</v>
      </c>
    </row>
    <row r="661" spans="1:23" s="139" customFormat="1">
      <c r="A661" s="146" t="s">
        <v>524</v>
      </c>
      <c r="B661" s="147" t="s">
        <v>525</v>
      </c>
      <c r="C661" s="146" t="s">
        <v>137</v>
      </c>
      <c r="D661" s="146" t="s">
        <v>138</v>
      </c>
      <c r="E661" s="146" t="s">
        <v>139</v>
      </c>
      <c r="F661" s="146" t="s">
        <v>140</v>
      </c>
      <c r="G661" s="148" t="s">
        <v>303</v>
      </c>
      <c r="H661" s="146">
        <v>0</v>
      </c>
      <c r="I661" s="146">
        <v>11</v>
      </c>
      <c r="J661" s="146" t="s">
        <v>146</v>
      </c>
      <c r="K661" s="146" t="s">
        <v>46</v>
      </c>
      <c r="L661" s="148" t="s">
        <v>3</v>
      </c>
      <c r="M661" s="146" t="s">
        <v>142</v>
      </c>
      <c r="N661" s="149">
        <v>1000</v>
      </c>
      <c r="O661" s="152">
        <f>SUMIF('GUDANG BESAR'!C:C,K:K,'GUDANG BESAR'!I:I)</f>
        <v>100812</v>
      </c>
      <c r="P661" s="153">
        <f>SUMIF('GUDANG BESAR'!C:C,K:K,'GUDANG BESAR'!K:K)</f>
        <v>111901.32</v>
      </c>
      <c r="Q661" s="150">
        <v>9.83</v>
      </c>
      <c r="R661" s="149">
        <v>9</v>
      </c>
      <c r="S661" s="149">
        <v>830</v>
      </c>
      <c r="T661" s="145">
        <f t="shared" si="30"/>
        <v>990981.96</v>
      </c>
      <c r="U661" s="145">
        <f t="shared" si="31"/>
        <v>1099989.9756</v>
      </c>
      <c r="V661" s="135" t="str">
        <f>VLOOKUP(K661,Sheet1!$B$5:$C$131,2,0)</f>
        <v>DYESTUFF</v>
      </c>
      <c r="W661" s="181">
        <f t="shared" si="32"/>
        <v>9.8300000000000002E-3</v>
      </c>
    </row>
    <row r="662" spans="1:23" s="139" customFormat="1">
      <c r="A662" s="146" t="s">
        <v>524</v>
      </c>
      <c r="B662" s="147" t="s">
        <v>525</v>
      </c>
      <c r="C662" s="146" t="s">
        <v>137</v>
      </c>
      <c r="D662" s="146" t="s">
        <v>138</v>
      </c>
      <c r="E662" s="146" t="s">
        <v>139</v>
      </c>
      <c r="F662" s="146" t="s">
        <v>140</v>
      </c>
      <c r="G662" s="148" t="s">
        <v>303</v>
      </c>
      <c r="H662" s="146">
        <v>0</v>
      </c>
      <c r="I662" s="146">
        <v>12</v>
      </c>
      <c r="J662" s="146" t="s">
        <v>147</v>
      </c>
      <c r="K662" s="146" t="s">
        <v>41</v>
      </c>
      <c r="L662" s="148" t="s">
        <v>3</v>
      </c>
      <c r="M662" s="146" t="s">
        <v>142</v>
      </c>
      <c r="N662" s="149">
        <v>1000</v>
      </c>
      <c r="O662" s="152">
        <f>SUMIF('GUDANG BESAR'!C:C,K:K,'GUDANG BESAR'!I:I)</f>
        <v>54071</v>
      </c>
      <c r="P662" s="153">
        <f>SUMIF('GUDANG BESAR'!C:C,K:K,'GUDANG BESAR'!K:K)</f>
        <v>60018.81</v>
      </c>
      <c r="Q662" s="150">
        <v>8.0190000000000001</v>
      </c>
      <c r="R662" s="149">
        <v>8</v>
      </c>
      <c r="S662" s="149">
        <v>19</v>
      </c>
      <c r="T662" s="145">
        <f t="shared" si="30"/>
        <v>433595.34899999999</v>
      </c>
      <c r="U662" s="145">
        <f t="shared" si="31"/>
        <v>481290.83739</v>
      </c>
      <c r="V662" s="135" t="str">
        <f>VLOOKUP(K662,Sheet1!$B$5:$C$131,2,0)</f>
        <v>DYESTUFF</v>
      </c>
      <c r="W662" s="181">
        <f t="shared" si="32"/>
        <v>8.0190000000000001E-3</v>
      </c>
    </row>
    <row r="663" spans="1:23" s="139" customFormat="1">
      <c r="A663" s="146" t="s">
        <v>524</v>
      </c>
      <c r="B663" s="147" t="s">
        <v>525</v>
      </c>
      <c r="C663" s="146" t="s">
        <v>137</v>
      </c>
      <c r="D663" s="146" t="s">
        <v>138</v>
      </c>
      <c r="E663" s="146" t="s">
        <v>139</v>
      </c>
      <c r="F663" s="146" t="s">
        <v>140</v>
      </c>
      <c r="G663" s="148" t="s">
        <v>303</v>
      </c>
      <c r="H663" s="146">
        <v>0</v>
      </c>
      <c r="I663" s="146">
        <v>14</v>
      </c>
      <c r="J663" s="146" t="s">
        <v>170</v>
      </c>
      <c r="K663" s="146" t="s">
        <v>29</v>
      </c>
      <c r="L663" s="148" t="s">
        <v>3</v>
      </c>
      <c r="M663" s="146" t="s">
        <v>142</v>
      </c>
      <c r="N663" s="149">
        <v>1000</v>
      </c>
      <c r="O663" s="152">
        <f>SUMIF('GUDANG BESAR'!C:C,K:K,'GUDANG BESAR'!I:I)</f>
        <v>100590</v>
      </c>
      <c r="P663" s="153">
        <f>SUMIF('GUDANG BESAR'!C:C,K:K,'GUDANG BESAR'!K:K)</f>
        <v>111654.9</v>
      </c>
      <c r="Q663" s="150">
        <v>1.218</v>
      </c>
      <c r="R663" s="149">
        <v>1</v>
      </c>
      <c r="S663" s="149">
        <v>218</v>
      </c>
      <c r="T663" s="145">
        <f t="shared" si="30"/>
        <v>122518.62</v>
      </c>
      <c r="U663" s="145">
        <f t="shared" si="31"/>
        <v>135995.66819999999</v>
      </c>
      <c r="V663" s="135" t="str">
        <f>VLOOKUP(K663,Sheet1!$B$5:$C$131,2,0)</f>
        <v>DYESTUFF</v>
      </c>
      <c r="W663" s="181">
        <f t="shared" si="32"/>
        <v>1.2179999999999999E-3</v>
      </c>
    </row>
    <row r="664" spans="1:23" s="139" customFormat="1">
      <c r="A664" s="146" t="s">
        <v>524</v>
      </c>
      <c r="B664" s="147" t="s">
        <v>525</v>
      </c>
      <c r="C664" s="146" t="s">
        <v>137</v>
      </c>
      <c r="D664" s="146" t="s">
        <v>138</v>
      </c>
      <c r="E664" s="146" t="s">
        <v>139</v>
      </c>
      <c r="F664" s="146" t="s">
        <v>140</v>
      </c>
      <c r="G664" s="148" t="s">
        <v>303</v>
      </c>
      <c r="H664" s="146">
        <v>0</v>
      </c>
      <c r="I664" s="146">
        <v>15</v>
      </c>
      <c r="J664" s="146" t="s">
        <v>148</v>
      </c>
      <c r="K664" s="146" t="s">
        <v>30</v>
      </c>
      <c r="L664" s="148" t="s">
        <v>3</v>
      </c>
      <c r="M664" s="146" t="s">
        <v>142</v>
      </c>
      <c r="N664" s="149">
        <v>1000</v>
      </c>
      <c r="O664" s="152">
        <f>SUMIF('GUDANG BESAR'!C:C,K:K,'GUDANG BESAR'!I:I)</f>
        <v>77089.399999999994</v>
      </c>
      <c r="P664" s="153">
        <f>SUMIF('GUDANG BESAR'!C:C,K:K,'GUDANG BESAR'!K:K)</f>
        <v>85569.233999999997</v>
      </c>
      <c r="Q664" s="150">
        <v>13.21</v>
      </c>
      <c r="R664" s="149">
        <v>13</v>
      </c>
      <c r="S664" s="149">
        <v>210</v>
      </c>
      <c r="T664" s="145">
        <f t="shared" si="30"/>
        <v>1018350.974</v>
      </c>
      <c r="U664" s="145">
        <f t="shared" si="31"/>
        <v>1130369.5811400001</v>
      </c>
      <c r="V664" s="135" t="str">
        <f>VLOOKUP(K664,Sheet1!$B$5:$C$131,2,0)</f>
        <v>DYESTUFF</v>
      </c>
      <c r="W664" s="181">
        <f t="shared" si="32"/>
        <v>1.3210000000000001E-2</v>
      </c>
    </row>
    <row r="665" spans="1:23" s="139" customFormat="1">
      <c r="A665" s="146" t="s">
        <v>524</v>
      </c>
      <c r="B665" s="147" t="s">
        <v>525</v>
      </c>
      <c r="C665" s="146" t="s">
        <v>137</v>
      </c>
      <c r="D665" s="146" t="s">
        <v>138</v>
      </c>
      <c r="E665" s="146" t="s">
        <v>139</v>
      </c>
      <c r="F665" s="146" t="s">
        <v>166</v>
      </c>
      <c r="G665" s="148" t="s">
        <v>336</v>
      </c>
      <c r="H665" s="146">
        <v>0</v>
      </c>
      <c r="I665" s="146">
        <v>17</v>
      </c>
      <c r="J665" s="146" t="s">
        <v>462</v>
      </c>
      <c r="K665" s="146" t="s">
        <v>54</v>
      </c>
      <c r="L665" s="148" t="s">
        <v>3</v>
      </c>
      <c r="M665" s="146" t="s">
        <v>142</v>
      </c>
      <c r="N665" s="149">
        <v>1000</v>
      </c>
      <c r="O665" s="152">
        <f>SUMIF('GUDANG BESAR'!C:C,K:K,'GUDANG BESAR'!I:I)</f>
        <v>35000</v>
      </c>
      <c r="P665" s="153">
        <f>SUMIF('GUDANG BESAR'!C:C,K:K,'GUDANG BESAR'!K:K)</f>
        <v>38850</v>
      </c>
      <c r="Q665" s="150">
        <v>105</v>
      </c>
      <c r="R665" s="149">
        <v>105</v>
      </c>
      <c r="S665" s="149">
        <v>0</v>
      </c>
      <c r="T665" s="145">
        <f t="shared" si="30"/>
        <v>3675000</v>
      </c>
      <c r="U665" s="145">
        <f t="shared" si="31"/>
        <v>4079250</v>
      </c>
      <c r="V665" s="135" t="str">
        <f>VLOOKUP(K665,Sheet1!$B$5:$C$131,2,0)</f>
        <v>ENGGRAVING</v>
      </c>
      <c r="W665" s="181">
        <f t="shared" si="32"/>
        <v>0.105</v>
      </c>
    </row>
    <row r="666" spans="1:23" s="139" customFormat="1">
      <c r="A666" s="146" t="s">
        <v>524</v>
      </c>
      <c r="B666" s="147" t="s">
        <v>525</v>
      </c>
      <c r="C666" s="146" t="s">
        <v>137</v>
      </c>
      <c r="D666" s="146" t="s">
        <v>138</v>
      </c>
      <c r="E666" s="146" t="s">
        <v>139</v>
      </c>
      <c r="F666" s="146" t="s">
        <v>140</v>
      </c>
      <c r="G666" s="148" t="s">
        <v>300</v>
      </c>
      <c r="H666" s="146">
        <v>0</v>
      </c>
      <c r="I666" s="146">
        <v>16</v>
      </c>
      <c r="J666" s="146" t="s">
        <v>314</v>
      </c>
      <c r="K666" s="146" t="s">
        <v>281</v>
      </c>
      <c r="L666" s="148" t="s">
        <v>3</v>
      </c>
      <c r="M666" s="146" t="s">
        <v>142</v>
      </c>
      <c r="N666" s="149">
        <v>1000</v>
      </c>
      <c r="O666" s="152">
        <f>SUMIF('GUDANG BESAR'!C:C,K:K,'GUDANG BESAR'!I:I)</f>
        <v>23590.51</v>
      </c>
      <c r="P666" s="153">
        <f>SUMIF('GUDANG BESAR'!C:C,K:K,'GUDANG BESAR'!K:K)</f>
        <v>26185.466099999998</v>
      </c>
      <c r="Q666" s="150">
        <v>420</v>
      </c>
      <c r="R666" s="149">
        <v>420</v>
      </c>
      <c r="S666" s="149">
        <v>0</v>
      </c>
      <c r="T666" s="145">
        <f t="shared" si="30"/>
        <v>9908014.1999999993</v>
      </c>
      <c r="U666" s="145">
        <f t="shared" si="31"/>
        <v>10997895.761999998</v>
      </c>
      <c r="V666" s="135" t="str">
        <f>VLOOKUP(K666,Sheet1!$B$5:$C$131,2,0)</f>
        <v>CK</v>
      </c>
      <c r="W666" s="181">
        <f t="shared" si="32"/>
        <v>0.42</v>
      </c>
    </row>
    <row r="667" spans="1:23" s="139" customFormat="1">
      <c r="A667" s="146" t="s">
        <v>524</v>
      </c>
      <c r="B667" s="147" t="s">
        <v>525</v>
      </c>
      <c r="C667" s="146" t="s">
        <v>137</v>
      </c>
      <c r="D667" s="146" t="s">
        <v>138</v>
      </c>
      <c r="E667" s="146" t="s">
        <v>139</v>
      </c>
      <c r="F667" s="146" t="s">
        <v>162</v>
      </c>
      <c r="G667" s="148" t="s">
        <v>214</v>
      </c>
      <c r="H667" s="146">
        <v>0</v>
      </c>
      <c r="I667" s="146">
        <v>20</v>
      </c>
      <c r="J667" s="146" t="s">
        <v>234</v>
      </c>
      <c r="K667" s="146" t="s">
        <v>233</v>
      </c>
      <c r="L667" s="148" t="s">
        <v>3</v>
      </c>
      <c r="M667" s="146" t="s">
        <v>142</v>
      </c>
      <c r="N667" s="149">
        <v>1000</v>
      </c>
      <c r="O667" s="152">
        <f>SUMIF('GUDANG BESAR'!C:C,K:K,'GUDANG BESAR'!I:I)</f>
        <v>5500</v>
      </c>
      <c r="P667" s="153">
        <f>SUMIF('GUDANG BESAR'!C:C,K:K,'GUDANG BESAR'!K:K)</f>
        <v>6105</v>
      </c>
      <c r="Q667" s="150">
        <v>200</v>
      </c>
      <c r="R667" s="149">
        <v>200</v>
      </c>
      <c r="S667" s="149">
        <v>0</v>
      </c>
      <c r="T667" s="145">
        <f t="shared" si="30"/>
        <v>1100000</v>
      </c>
      <c r="U667" s="145">
        <f t="shared" si="31"/>
        <v>1221000</v>
      </c>
      <c r="V667" s="135" t="str">
        <f>VLOOKUP(K667,Sheet1!$B$5:$C$131,2,0)</f>
        <v>LIMBAH</v>
      </c>
      <c r="W667" s="181">
        <f t="shared" si="32"/>
        <v>0.2</v>
      </c>
    </row>
    <row r="668" spans="1:23" s="139" customFormat="1">
      <c r="A668" s="146" t="s">
        <v>524</v>
      </c>
      <c r="B668" s="147" t="s">
        <v>525</v>
      </c>
      <c r="C668" s="146" t="s">
        <v>137</v>
      </c>
      <c r="D668" s="146" t="s">
        <v>138</v>
      </c>
      <c r="E668" s="146" t="s">
        <v>139</v>
      </c>
      <c r="F668" s="146" t="s">
        <v>166</v>
      </c>
      <c r="G668" s="148" t="s">
        <v>336</v>
      </c>
      <c r="H668" s="146">
        <v>0</v>
      </c>
      <c r="I668" s="146">
        <v>19</v>
      </c>
      <c r="J668" s="146" t="s">
        <v>306</v>
      </c>
      <c r="K668" s="146" t="s">
        <v>52</v>
      </c>
      <c r="L668" s="148" t="s">
        <v>3</v>
      </c>
      <c r="M668" s="146" t="s">
        <v>142</v>
      </c>
      <c r="N668" s="149">
        <v>1000</v>
      </c>
      <c r="O668" s="152">
        <f>SUMIF('GUDANG BESAR'!C:C,K:K,'GUDANG BESAR'!I:I)</f>
        <v>17000</v>
      </c>
      <c r="P668" s="153">
        <f>SUMIF('GUDANG BESAR'!C:C,K:K,'GUDANG BESAR'!K:K)</f>
        <v>18870</v>
      </c>
      <c r="Q668" s="150">
        <v>600</v>
      </c>
      <c r="R668" s="149">
        <v>600</v>
      </c>
      <c r="S668" s="149">
        <v>0</v>
      </c>
      <c r="T668" s="145">
        <f t="shared" si="30"/>
        <v>10200000</v>
      </c>
      <c r="U668" s="145">
        <f t="shared" si="31"/>
        <v>11322000</v>
      </c>
      <c r="V668" s="135" t="str">
        <f>VLOOKUP(K668,Sheet1!$B$5:$C$131,2,0)</f>
        <v>ENGGRAVING</v>
      </c>
      <c r="W668" s="181">
        <f t="shared" si="32"/>
        <v>0.6</v>
      </c>
    </row>
    <row r="669" spans="1:23" s="139" customFormat="1">
      <c r="A669" s="146" t="s">
        <v>524</v>
      </c>
      <c r="B669" s="147" t="s">
        <v>525</v>
      </c>
      <c r="C669" s="146" t="s">
        <v>137</v>
      </c>
      <c r="D669" s="146" t="s">
        <v>138</v>
      </c>
      <c r="E669" s="146" t="s">
        <v>139</v>
      </c>
      <c r="F669" s="146" t="s">
        <v>162</v>
      </c>
      <c r="G669" s="148" t="s">
        <v>214</v>
      </c>
      <c r="H669" s="146">
        <v>0</v>
      </c>
      <c r="I669" s="146">
        <v>23</v>
      </c>
      <c r="J669" s="146" t="s">
        <v>164</v>
      </c>
      <c r="K669" s="146" t="s">
        <v>74</v>
      </c>
      <c r="L669" s="148" t="s">
        <v>5</v>
      </c>
      <c r="M669" s="146" t="s">
        <v>142</v>
      </c>
      <c r="N669" s="149">
        <v>1000</v>
      </c>
      <c r="O669" s="152">
        <f>SUMIF('GUDANG BESAR'!C:C,K:K,'GUDANG BESAR'!I:I)</f>
        <v>13180</v>
      </c>
      <c r="P669" s="153">
        <f>SUMIF('GUDANG BESAR'!C:C,K:K,'GUDANG BESAR'!K:K)</f>
        <v>14629.8</v>
      </c>
      <c r="Q669" s="150">
        <v>5</v>
      </c>
      <c r="R669" s="149">
        <v>5</v>
      </c>
      <c r="S669" s="149">
        <v>0</v>
      </c>
      <c r="T669" s="145">
        <f t="shared" si="30"/>
        <v>65900</v>
      </c>
      <c r="U669" s="145">
        <f t="shared" si="31"/>
        <v>73149</v>
      </c>
      <c r="V669" s="135" t="str">
        <f>VLOOKUP(K669,Sheet1!$B$5:$C$131,2,0)</f>
        <v>LIMBAH</v>
      </c>
      <c r="W669" s="181">
        <f t="shared" si="32"/>
        <v>5.0000000000000001E-3</v>
      </c>
    </row>
    <row r="670" spans="1:23" s="139" customFormat="1">
      <c r="A670" s="146" t="s">
        <v>526</v>
      </c>
      <c r="B670" s="147" t="s">
        <v>527</v>
      </c>
      <c r="C670" s="146" t="s">
        <v>137</v>
      </c>
      <c r="D670" s="146" t="s">
        <v>138</v>
      </c>
      <c r="E670" s="146" t="s">
        <v>139</v>
      </c>
      <c r="F670" s="146" t="s">
        <v>153</v>
      </c>
      <c r="G670" s="148" t="s">
        <v>298</v>
      </c>
      <c r="H670" s="146">
        <v>0</v>
      </c>
      <c r="I670" s="146">
        <v>19</v>
      </c>
      <c r="J670" s="146" t="s">
        <v>315</v>
      </c>
      <c r="K670" s="146" t="s">
        <v>47</v>
      </c>
      <c r="L670" s="148" t="s">
        <v>3</v>
      </c>
      <c r="M670" s="146" t="s">
        <v>142</v>
      </c>
      <c r="N670" s="149">
        <v>1000</v>
      </c>
      <c r="O670" s="152">
        <f>SUMIF('GUDANG BESAR'!C:C,K:K,'GUDANG BESAR'!I:I)</f>
        <v>13000</v>
      </c>
      <c r="P670" s="153">
        <f>SUMIF('GUDANG BESAR'!C:C,K:K,'GUDANG BESAR'!K:K)</f>
        <v>14430</v>
      </c>
      <c r="Q670" s="150">
        <v>4</v>
      </c>
      <c r="R670" s="149">
        <v>4</v>
      </c>
      <c r="S670" s="149">
        <v>0</v>
      </c>
      <c r="T670" s="145">
        <f t="shared" si="30"/>
        <v>52000</v>
      </c>
      <c r="U670" s="145">
        <f t="shared" si="31"/>
        <v>57720</v>
      </c>
      <c r="V670" s="135" t="str">
        <f>VLOOKUP(K670,Sheet1!$B$5:$C$131,2,0)</f>
        <v>FINISHING</v>
      </c>
      <c r="W670" s="181">
        <f t="shared" si="32"/>
        <v>4.0000000000000001E-3</v>
      </c>
    </row>
    <row r="671" spans="1:23" s="139" customFormat="1">
      <c r="A671" s="146" t="s">
        <v>526</v>
      </c>
      <c r="B671" s="147" t="s">
        <v>527</v>
      </c>
      <c r="C671" s="146" t="s">
        <v>137</v>
      </c>
      <c r="D671" s="146" t="s">
        <v>138</v>
      </c>
      <c r="E671" s="146" t="s">
        <v>139</v>
      </c>
      <c r="F671" s="146" t="s">
        <v>153</v>
      </c>
      <c r="G671" s="148" t="s">
        <v>299</v>
      </c>
      <c r="H671" s="146">
        <v>0</v>
      </c>
      <c r="I671" s="146">
        <v>14</v>
      </c>
      <c r="J671" s="146" t="s">
        <v>154</v>
      </c>
      <c r="K671" s="146" t="s">
        <v>23</v>
      </c>
      <c r="L671" s="148" t="s">
        <v>3</v>
      </c>
      <c r="M671" s="146" t="s">
        <v>142</v>
      </c>
      <c r="N671" s="149">
        <v>1000</v>
      </c>
      <c r="O671" s="152">
        <f>SUMIF('GUDANG BESAR'!C:C,K:K,'GUDANG BESAR'!I:I)</f>
        <v>28844</v>
      </c>
      <c r="P671" s="153">
        <f>SUMIF('GUDANG BESAR'!C:C,K:K,'GUDANG BESAR'!K:K)</f>
        <v>32016.84</v>
      </c>
      <c r="Q671" s="150">
        <v>100</v>
      </c>
      <c r="R671" s="149">
        <v>100</v>
      </c>
      <c r="S671" s="149">
        <v>0</v>
      </c>
      <c r="T671" s="145">
        <f t="shared" si="30"/>
        <v>2884400</v>
      </c>
      <c r="U671" s="145">
        <f t="shared" si="31"/>
        <v>3201684</v>
      </c>
      <c r="V671" s="135" t="str">
        <f>VLOOKUP(K671,Sheet1!$B$5:$C$131,2,0)</f>
        <v>RC</v>
      </c>
      <c r="W671" s="181">
        <f t="shared" si="32"/>
        <v>0.1</v>
      </c>
    </row>
    <row r="672" spans="1:23" s="139" customFormat="1">
      <c r="A672" s="146" t="s">
        <v>526</v>
      </c>
      <c r="B672" s="147" t="s">
        <v>527</v>
      </c>
      <c r="C672" s="146" t="s">
        <v>137</v>
      </c>
      <c r="D672" s="146" t="s">
        <v>138</v>
      </c>
      <c r="E672" s="146" t="s">
        <v>139</v>
      </c>
      <c r="F672" s="146" t="s">
        <v>162</v>
      </c>
      <c r="G672" s="148" t="s">
        <v>214</v>
      </c>
      <c r="H672" s="146">
        <v>0</v>
      </c>
      <c r="I672" s="146">
        <v>25</v>
      </c>
      <c r="J672" s="146" t="s">
        <v>240</v>
      </c>
      <c r="K672" s="146" t="s">
        <v>237</v>
      </c>
      <c r="L672" s="148" t="s">
        <v>3</v>
      </c>
      <c r="M672" s="146" t="s">
        <v>142</v>
      </c>
      <c r="N672" s="149">
        <v>1000</v>
      </c>
      <c r="O672" s="152">
        <f>SUMIF('GUDANG BESAR'!C:C,K:K,'GUDANG BESAR'!I:I)</f>
        <v>14750</v>
      </c>
      <c r="P672" s="153">
        <f>SUMIF('GUDANG BESAR'!C:C,K:K,'GUDANG BESAR'!K:K)</f>
        <v>16372.5</v>
      </c>
      <c r="Q672" s="150">
        <v>20</v>
      </c>
      <c r="R672" s="149">
        <v>20</v>
      </c>
      <c r="S672" s="149">
        <v>0</v>
      </c>
      <c r="T672" s="145">
        <f t="shared" si="30"/>
        <v>295000</v>
      </c>
      <c r="U672" s="145">
        <f t="shared" si="31"/>
        <v>327450</v>
      </c>
      <c r="V672" s="135" t="str">
        <f>VLOOKUP(K672,Sheet1!$B$5:$C$131,2,0)</f>
        <v>LIMBAH</v>
      </c>
      <c r="W672" s="181">
        <f t="shared" si="32"/>
        <v>0.02</v>
      </c>
    </row>
    <row r="673" spans="1:23" s="139" customFormat="1">
      <c r="A673" s="146" t="s">
        <v>526</v>
      </c>
      <c r="B673" s="147" t="s">
        <v>527</v>
      </c>
      <c r="C673" s="146" t="s">
        <v>137</v>
      </c>
      <c r="D673" s="146" t="s">
        <v>138</v>
      </c>
      <c r="E673" s="146" t="s">
        <v>139</v>
      </c>
      <c r="F673" s="146" t="s">
        <v>153</v>
      </c>
      <c r="G673" s="148" t="s">
        <v>299</v>
      </c>
      <c r="H673" s="146">
        <v>0</v>
      </c>
      <c r="I673" s="146">
        <v>15</v>
      </c>
      <c r="J673" s="146" t="s">
        <v>155</v>
      </c>
      <c r="K673" s="146" t="s">
        <v>33</v>
      </c>
      <c r="L673" s="148" t="s">
        <v>3</v>
      </c>
      <c r="M673" s="146" t="s">
        <v>142</v>
      </c>
      <c r="N673" s="149">
        <v>1000</v>
      </c>
      <c r="O673" s="152">
        <f>SUMIF('GUDANG BESAR'!C:C,K:K,'GUDANG BESAR'!I:I)</f>
        <v>11087.5</v>
      </c>
      <c r="P673" s="153">
        <f>SUMIF('GUDANG BESAR'!C:C,K:K,'GUDANG BESAR'!K:K)</f>
        <v>12307.125</v>
      </c>
      <c r="Q673" s="150">
        <v>75</v>
      </c>
      <c r="R673" s="149">
        <v>75</v>
      </c>
      <c r="S673" s="149">
        <v>0</v>
      </c>
      <c r="T673" s="145">
        <f t="shared" si="30"/>
        <v>831562.5</v>
      </c>
      <c r="U673" s="145">
        <f t="shared" si="31"/>
        <v>923034.375</v>
      </c>
      <c r="V673" s="135" t="str">
        <f>VLOOKUP(K673,Sheet1!$B$5:$C$131,2,0)</f>
        <v>RC</v>
      </c>
      <c r="W673" s="181">
        <f t="shared" si="32"/>
        <v>7.4999999999999997E-2</v>
      </c>
    </row>
    <row r="674" spans="1:23" s="139" customFormat="1">
      <c r="A674" s="146" t="s">
        <v>526</v>
      </c>
      <c r="B674" s="147" t="s">
        <v>527</v>
      </c>
      <c r="C674" s="146" t="s">
        <v>137</v>
      </c>
      <c r="D674" s="146" t="s">
        <v>138</v>
      </c>
      <c r="E674" s="146" t="s">
        <v>139</v>
      </c>
      <c r="F674" s="146" t="s">
        <v>140</v>
      </c>
      <c r="G674" s="148" t="s">
        <v>303</v>
      </c>
      <c r="H674" s="146">
        <v>0</v>
      </c>
      <c r="I674" s="146">
        <v>1</v>
      </c>
      <c r="J674" s="146" t="s">
        <v>141</v>
      </c>
      <c r="K674" s="146" t="s">
        <v>37</v>
      </c>
      <c r="L674" s="148" t="s">
        <v>3</v>
      </c>
      <c r="M674" s="146" t="s">
        <v>142</v>
      </c>
      <c r="N674" s="149">
        <v>1000</v>
      </c>
      <c r="O674" s="152">
        <f>SUMIF('GUDANG BESAR'!C:C,K:K,'GUDANG BESAR'!I:I)</f>
        <v>51276</v>
      </c>
      <c r="P674" s="153">
        <f>SUMIF('GUDANG BESAR'!C:C,K:K,'GUDANG BESAR'!K:K)</f>
        <v>56916.36</v>
      </c>
      <c r="Q674" s="150">
        <v>2.456</v>
      </c>
      <c r="R674" s="149">
        <v>2</v>
      </c>
      <c r="S674" s="149">
        <v>456</v>
      </c>
      <c r="T674" s="145">
        <f t="shared" si="30"/>
        <v>125933.856</v>
      </c>
      <c r="U674" s="145">
        <f t="shared" si="31"/>
        <v>139786.58016000001</v>
      </c>
      <c r="V674" s="135" t="str">
        <f>VLOOKUP(K674,Sheet1!$B$5:$C$131,2,0)</f>
        <v>DYESTUFF</v>
      </c>
      <c r="W674" s="181">
        <f t="shared" si="32"/>
        <v>2.4559999999999998E-3</v>
      </c>
    </row>
    <row r="675" spans="1:23" s="139" customFormat="1">
      <c r="A675" s="146" t="s">
        <v>526</v>
      </c>
      <c r="B675" s="147" t="s">
        <v>527</v>
      </c>
      <c r="C675" s="146" t="s">
        <v>137</v>
      </c>
      <c r="D675" s="146" t="s">
        <v>138</v>
      </c>
      <c r="E675" s="146" t="s">
        <v>139</v>
      </c>
      <c r="F675" s="146" t="s">
        <v>153</v>
      </c>
      <c r="G675" s="148" t="s">
        <v>301</v>
      </c>
      <c r="H675" s="146">
        <v>0</v>
      </c>
      <c r="I675" s="146">
        <v>20</v>
      </c>
      <c r="J675" s="146" t="s">
        <v>172</v>
      </c>
      <c r="K675" s="146" t="s">
        <v>8</v>
      </c>
      <c r="L675" s="148" t="s">
        <v>3</v>
      </c>
      <c r="M675" s="146" t="s">
        <v>142</v>
      </c>
      <c r="N675" s="149">
        <v>1000</v>
      </c>
      <c r="O675" s="152">
        <f>SUMIF('GUDANG BESAR'!C:C,K:K,'GUDANG BESAR'!I:I)</f>
        <v>441045</v>
      </c>
      <c r="P675" s="153">
        <f>SUMIF('GUDANG BESAR'!C:C,K:K,'GUDANG BESAR'!K:K)</f>
        <v>489559.95</v>
      </c>
      <c r="Q675" s="150">
        <v>1.569</v>
      </c>
      <c r="R675" s="149">
        <v>1</v>
      </c>
      <c r="S675" s="149">
        <v>569</v>
      </c>
      <c r="T675" s="145">
        <f t="shared" si="30"/>
        <v>691999.60499999998</v>
      </c>
      <c r="U675" s="145">
        <f t="shared" si="31"/>
        <v>768119.56154999998</v>
      </c>
      <c r="V675" s="135" t="str">
        <f>VLOOKUP(K675,Sheet1!$B$5:$C$131,2,0)</f>
        <v>DYEING</v>
      </c>
      <c r="W675" s="181">
        <f t="shared" si="32"/>
        <v>1.5689999999999999E-3</v>
      </c>
    </row>
    <row r="676" spans="1:23" s="139" customFormat="1">
      <c r="A676" s="146" t="s">
        <v>526</v>
      </c>
      <c r="B676" s="147" t="s">
        <v>527</v>
      </c>
      <c r="C676" s="146" t="s">
        <v>137</v>
      </c>
      <c r="D676" s="146" t="s">
        <v>138</v>
      </c>
      <c r="E676" s="146" t="s">
        <v>139</v>
      </c>
      <c r="F676" s="146" t="s">
        <v>140</v>
      </c>
      <c r="G676" s="148" t="s">
        <v>303</v>
      </c>
      <c r="H676" s="146">
        <v>0</v>
      </c>
      <c r="I676" s="146">
        <v>4</v>
      </c>
      <c r="J676" s="146" t="s">
        <v>143</v>
      </c>
      <c r="K676" s="146" t="s">
        <v>90</v>
      </c>
      <c r="L676" s="148" t="s">
        <v>3</v>
      </c>
      <c r="M676" s="146" t="s">
        <v>142</v>
      </c>
      <c r="N676" s="149">
        <v>1000</v>
      </c>
      <c r="O676" s="152">
        <f>SUMIF('GUDANG BESAR'!C:C,K:K,'GUDANG BESAR'!I:I)</f>
        <v>194556</v>
      </c>
      <c r="P676" s="153">
        <f>SUMIF('GUDANG BESAR'!C:C,K:K,'GUDANG BESAR'!K:K)</f>
        <v>215957.16</v>
      </c>
      <c r="Q676" s="150">
        <v>2.637</v>
      </c>
      <c r="R676" s="149">
        <v>2</v>
      </c>
      <c r="S676" s="149">
        <v>637</v>
      </c>
      <c r="T676" s="145">
        <f t="shared" si="30"/>
        <v>513044.17200000002</v>
      </c>
      <c r="U676" s="145">
        <f t="shared" si="31"/>
        <v>569479.03092000005</v>
      </c>
      <c r="V676" s="135" t="str">
        <f>VLOOKUP(K676,Sheet1!$B$5:$C$131,2,0)</f>
        <v>DYESTUFF</v>
      </c>
      <c r="W676" s="181">
        <f t="shared" si="32"/>
        <v>2.637E-3</v>
      </c>
    </row>
    <row r="677" spans="1:23" s="139" customFormat="1">
      <c r="A677" s="146" t="s">
        <v>526</v>
      </c>
      <c r="B677" s="147" t="s">
        <v>527</v>
      </c>
      <c r="C677" s="146" t="s">
        <v>137</v>
      </c>
      <c r="D677" s="146" t="s">
        <v>138</v>
      </c>
      <c r="E677" s="146" t="s">
        <v>139</v>
      </c>
      <c r="F677" s="146" t="s">
        <v>140</v>
      </c>
      <c r="G677" s="148" t="s">
        <v>303</v>
      </c>
      <c r="H677" s="146">
        <v>0</v>
      </c>
      <c r="I677" s="146">
        <v>2</v>
      </c>
      <c r="J677" s="146" t="s">
        <v>346</v>
      </c>
      <c r="K677" s="146" t="s">
        <v>343</v>
      </c>
      <c r="L677" s="148" t="s">
        <v>3</v>
      </c>
      <c r="M677" s="146" t="s">
        <v>142</v>
      </c>
      <c r="N677" s="149">
        <v>1000</v>
      </c>
      <c r="O677" s="152">
        <f>SUMIF('GUDANG BESAR'!C:C,K:K,'GUDANG BESAR'!I:I)</f>
        <v>60680</v>
      </c>
      <c r="P677" s="153">
        <f>SUMIF('GUDANG BESAR'!C:C,K:K,'GUDANG BESAR'!K:K)</f>
        <v>67354.8</v>
      </c>
      <c r="Q677" s="150">
        <v>7.125</v>
      </c>
      <c r="R677" s="149">
        <v>7</v>
      </c>
      <c r="S677" s="149">
        <v>125</v>
      </c>
      <c r="T677" s="145">
        <f t="shared" si="30"/>
        <v>432345</v>
      </c>
      <c r="U677" s="145">
        <f t="shared" si="31"/>
        <v>479902.95</v>
      </c>
      <c r="V677" s="135" t="str">
        <f>VLOOKUP(K677,Sheet1!$B$5:$C$131,2,0)</f>
        <v>DYESTUFF</v>
      </c>
      <c r="W677" s="181">
        <f t="shared" si="32"/>
        <v>7.1250000000000003E-3</v>
      </c>
    </row>
    <row r="678" spans="1:23" s="139" customFormat="1">
      <c r="A678" s="146" t="s">
        <v>526</v>
      </c>
      <c r="B678" s="147" t="s">
        <v>527</v>
      </c>
      <c r="C678" s="146" t="s">
        <v>137</v>
      </c>
      <c r="D678" s="146" t="s">
        <v>138</v>
      </c>
      <c r="E678" s="146" t="s">
        <v>139</v>
      </c>
      <c r="F678" s="146" t="s">
        <v>140</v>
      </c>
      <c r="G678" s="148" t="s">
        <v>303</v>
      </c>
      <c r="H678" s="146">
        <v>0</v>
      </c>
      <c r="I678" s="146">
        <v>10</v>
      </c>
      <c r="J678" s="146" t="s">
        <v>151</v>
      </c>
      <c r="K678" s="146" t="s">
        <v>28</v>
      </c>
      <c r="L678" s="148" t="s">
        <v>3</v>
      </c>
      <c r="M678" s="146" t="s">
        <v>142</v>
      </c>
      <c r="N678" s="149">
        <v>1000</v>
      </c>
      <c r="O678" s="152">
        <f>SUMIF('GUDANG BESAR'!C:C,K:K,'GUDANG BESAR'!I:I)</f>
        <v>413967</v>
      </c>
      <c r="P678" s="153">
        <f>SUMIF('GUDANG BESAR'!C:C,K:K,'GUDANG BESAR'!K:K)</f>
        <v>459503.37</v>
      </c>
      <c r="Q678" s="150">
        <v>0.08</v>
      </c>
      <c r="R678" s="149">
        <v>0</v>
      </c>
      <c r="S678" s="149">
        <v>80</v>
      </c>
      <c r="T678" s="145">
        <f t="shared" si="30"/>
        <v>33117.360000000001</v>
      </c>
      <c r="U678" s="145">
        <f t="shared" si="31"/>
        <v>36760.2696</v>
      </c>
      <c r="V678" s="135" t="str">
        <f>VLOOKUP(K678,Sheet1!$B$5:$C$131,2,0)</f>
        <v>DYESTUFF</v>
      </c>
      <c r="W678" s="181">
        <f t="shared" si="32"/>
        <v>8.0000000000000007E-5</v>
      </c>
    </row>
    <row r="679" spans="1:23" s="139" customFormat="1">
      <c r="A679" s="146" t="s">
        <v>526</v>
      </c>
      <c r="B679" s="147" t="s">
        <v>527</v>
      </c>
      <c r="C679" s="146" t="s">
        <v>137</v>
      </c>
      <c r="D679" s="146" t="s">
        <v>138</v>
      </c>
      <c r="E679" s="146" t="s">
        <v>139</v>
      </c>
      <c r="F679" s="146" t="s">
        <v>140</v>
      </c>
      <c r="G679" s="148" t="s">
        <v>303</v>
      </c>
      <c r="H679" s="146">
        <v>0</v>
      </c>
      <c r="I679" s="146">
        <v>3</v>
      </c>
      <c r="J679" s="146" t="s">
        <v>169</v>
      </c>
      <c r="K679" s="146" t="s">
        <v>64</v>
      </c>
      <c r="L679" s="148" t="s">
        <v>3</v>
      </c>
      <c r="M679" s="146" t="s">
        <v>142</v>
      </c>
      <c r="N679" s="149">
        <v>1000</v>
      </c>
      <c r="O679" s="152">
        <f>SUMIF('GUDANG BESAR'!C:C,K:K,'GUDANG BESAR'!I:I)</f>
        <v>506080</v>
      </c>
      <c r="P679" s="153">
        <f>SUMIF('GUDANG BESAR'!C:C,K:K,'GUDANG BESAR'!K:K)</f>
        <v>561748.80000000005</v>
      </c>
      <c r="Q679" s="150">
        <v>0.13800000000000001</v>
      </c>
      <c r="R679" s="149">
        <v>0</v>
      </c>
      <c r="S679" s="149">
        <v>138</v>
      </c>
      <c r="T679" s="145">
        <f t="shared" si="30"/>
        <v>69839.040000000008</v>
      </c>
      <c r="U679" s="145">
        <f t="shared" si="31"/>
        <v>77521.334400000007</v>
      </c>
      <c r="V679" s="135" t="str">
        <f>VLOOKUP(K679,Sheet1!$B$5:$C$131,2,0)</f>
        <v>DYESTUFF</v>
      </c>
      <c r="W679" s="181">
        <f t="shared" si="32"/>
        <v>1.3800000000000002E-4</v>
      </c>
    </row>
    <row r="680" spans="1:23" s="139" customFormat="1">
      <c r="A680" s="146" t="s">
        <v>526</v>
      </c>
      <c r="B680" s="147" t="s">
        <v>527</v>
      </c>
      <c r="C680" s="146" t="s">
        <v>137</v>
      </c>
      <c r="D680" s="146" t="s">
        <v>138</v>
      </c>
      <c r="E680" s="146" t="s">
        <v>139</v>
      </c>
      <c r="F680" s="146" t="s">
        <v>140</v>
      </c>
      <c r="G680" s="148" t="s">
        <v>303</v>
      </c>
      <c r="H680" s="146">
        <v>0</v>
      </c>
      <c r="I680" s="146">
        <v>5</v>
      </c>
      <c r="J680" s="146" t="s">
        <v>250</v>
      </c>
      <c r="K680" s="146" t="s">
        <v>38</v>
      </c>
      <c r="L680" s="148" t="s">
        <v>3</v>
      </c>
      <c r="M680" s="146" t="s">
        <v>142</v>
      </c>
      <c r="N680" s="149">
        <v>1000</v>
      </c>
      <c r="O680" s="152">
        <f>SUMIF('GUDANG BESAR'!C:C,K:K,'GUDANG BESAR'!I:I)</f>
        <v>366255</v>
      </c>
      <c r="P680" s="153">
        <f>SUMIF('GUDANG BESAR'!C:C,K:K,'GUDANG BESAR'!K:K)</f>
        <v>406543.05</v>
      </c>
      <c r="Q680" s="150">
        <v>3.1469999999999998</v>
      </c>
      <c r="R680" s="149">
        <v>3</v>
      </c>
      <c r="S680" s="149">
        <v>147</v>
      </c>
      <c r="T680" s="145">
        <f t="shared" si="30"/>
        <v>1152604.4849999999</v>
      </c>
      <c r="U680" s="145">
        <f t="shared" si="31"/>
        <v>1279390.97835</v>
      </c>
      <c r="V680" s="135" t="str">
        <f>VLOOKUP(K680,Sheet1!$B$5:$C$131,2,0)</f>
        <v>DYESTUFF</v>
      </c>
      <c r="W680" s="181">
        <f t="shared" si="32"/>
        <v>3.1469999999999996E-3</v>
      </c>
    </row>
    <row r="681" spans="1:23" s="139" customFormat="1">
      <c r="A681" s="146" t="s">
        <v>526</v>
      </c>
      <c r="B681" s="147" t="s">
        <v>527</v>
      </c>
      <c r="C681" s="146" t="s">
        <v>137</v>
      </c>
      <c r="D681" s="146" t="s">
        <v>138</v>
      </c>
      <c r="E681" s="146" t="s">
        <v>139</v>
      </c>
      <c r="F681" s="146" t="s">
        <v>140</v>
      </c>
      <c r="G681" s="148" t="s">
        <v>303</v>
      </c>
      <c r="H681" s="146">
        <v>0</v>
      </c>
      <c r="I681" s="146">
        <v>6</v>
      </c>
      <c r="J681" s="146" t="s">
        <v>144</v>
      </c>
      <c r="K681" s="146" t="s">
        <v>26</v>
      </c>
      <c r="L681" s="148" t="s">
        <v>3</v>
      </c>
      <c r="M681" s="146" t="s">
        <v>142</v>
      </c>
      <c r="N681" s="149">
        <v>1000</v>
      </c>
      <c r="O681" s="152">
        <f>SUMIF('GUDANG BESAR'!C:C,K:K,'GUDANG BESAR'!I:I)</f>
        <v>52016</v>
      </c>
      <c r="P681" s="153">
        <f>SUMIF('GUDANG BESAR'!C:C,K:K,'GUDANG BESAR'!K:K)</f>
        <v>57737.760000000002</v>
      </c>
      <c r="Q681" s="150">
        <v>4.5670000000000002</v>
      </c>
      <c r="R681" s="149">
        <v>4</v>
      </c>
      <c r="S681" s="149">
        <v>567</v>
      </c>
      <c r="T681" s="145">
        <f t="shared" si="30"/>
        <v>237557.07200000001</v>
      </c>
      <c r="U681" s="145">
        <f t="shared" si="31"/>
        <v>263688.34992000001</v>
      </c>
      <c r="V681" s="135" t="str">
        <f>VLOOKUP(K681,Sheet1!$B$5:$C$131,2,0)</f>
        <v>DYESTUFF</v>
      </c>
      <c r="W681" s="181">
        <f t="shared" si="32"/>
        <v>4.5669999999999999E-3</v>
      </c>
    </row>
    <row r="682" spans="1:23" s="139" customFormat="1">
      <c r="A682" s="146" t="s">
        <v>526</v>
      </c>
      <c r="B682" s="147" t="s">
        <v>527</v>
      </c>
      <c r="C682" s="146" t="s">
        <v>137</v>
      </c>
      <c r="D682" s="146" t="s">
        <v>138</v>
      </c>
      <c r="E682" s="146" t="s">
        <v>139</v>
      </c>
      <c r="F682" s="146" t="s">
        <v>140</v>
      </c>
      <c r="G682" s="148" t="s">
        <v>303</v>
      </c>
      <c r="H682" s="146">
        <v>0</v>
      </c>
      <c r="I682" s="146">
        <v>7</v>
      </c>
      <c r="J682" s="146" t="s">
        <v>145</v>
      </c>
      <c r="K682" s="146" t="s">
        <v>27</v>
      </c>
      <c r="L682" s="148" t="s">
        <v>3</v>
      </c>
      <c r="M682" s="146" t="s">
        <v>142</v>
      </c>
      <c r="N682" s="149">
        <v>1000</v>
      </c>
      <c r="O682" s="152">
        <f>SUMIF('GUDANG BESAR'!C:C,K:K,'GUDANG BESAR'!I:I)</f>
        <v>71148</v>
      </c>
      <c r="P682" s="153">
        <f>SUMIF('GUDANG BESAR'!C:C,K:K,'GUDANG BESAR'!K:K)</f>
        <v>78974.28</v>
      </c>
      <c r="Q682" s="150">
        <v>2.4969999999999999</v>
      </c>
      <c r="R682" s="149">
        <v>2</v>
      </c>
      <c r="S682" s="149">
        <v>497</v>
      </c>
      <c r="T682" s="145">
        <f t="shared" si="30"/>
        <v>177656.55599999998</v>
      </c>
      <c r="U682" s="145">
        <f t="shared" si="31"/>
        <v>197198.77716</v>
      </c>
      <c r="V682" s="135" t="str">
        <f>VLOOKUP(K682,Sheet1!$B$5:$C$131,2,0)</f>
        <v>DYESTUFF</v>
      </c>
      <c r="W682" s="181">
        <f t="shared" si="32"/>
        <v>2.4970000000000001E-3</v>
      </c>
    </row>
    <row r="683" spans="1:23" s="139" customFormat="1">
      <c r="A683" s="146" t="s">
        <v>526</v>
      </c>
      <c r="B683" s="147" t="s">
        <v>527</v>
      </c>
      <c r="C683" s="146" t="s">
        <v>137</v>
      </c>
      <c r="D683" s="146" t="s">
        <v>138</v>
      </c>
      <c r="E683" s="146" t="s">
        <v>139</v>
      </c>
      <c r="F683" s="146" t="s">
        <v>153</v>
      </c>
      <c r="G683" s="148" t="s">
        <v>301</v>
      </c>
      <c r="H683" s="146">
        <v>0</v>
      </c>
      <c r="I683" s="146">
        <v>21</v>
      </c>
      <c r="J683" s="146" t="s">
        <v>173</v>
      </c>
      <c r="K683" s="146" t="s">
        <v>9</v>
      </c>
      <c r="L683" s="148" t="s">
        <v>3</v>
      </c>
      <c r="M683" s="146" t="s">
        <v>142</v>
      </c>
      <c r="N683" s="149">
        <v>1000</v>
      </c>
      <c r="O683" s="152">
        <f>SUMIF('GUDANG BESAR'!C:C,K:K,'GUDANG BESAR'!I:I)</f>
        <v>294030</v>
      </c>
      <c r="P683" s="153">
        <f>SUMIF('GUDANG BESAR'!C:C,K:K,'GUDANG BESAR'!K:K)</f>
        <v>326373.3</v>
      </c>
      <c r="Q683" s="150">
        <v>1.05</v>
      </c>
      <c r="R683" s="149">
        <v>1</v>
      </c>
      <c r="S683" s="149">
        <v>50</v>
      </c>
      <c r="T683" s="145">
        <f t="shared" si="30"/>
        <v>308731.5</v>
      </c>
      <c r="U683" s="145">
        <f t="shared" si="31"/>
        <v>342691.96500000003</v>
      </c>
      <c r="V683" s="135" t="str">
        <f>VLOOKUP(K683,Sheet1!$B$5:$C$131,2,0)</f>
        <v>DYEING</v>
      </c>
      <c r="W683" s="181">
        <f t="shared" si="32"/>
        <v>1.0500000000000002E-3</v>
      </c>
    </row>
    <row r="684" spans="1:23" s="139" customFormat="1">
      <c r="A684" s="146" t="s">
        <v>526</v>
      </c>
      <c r="B684" s="147" t="s">
        <v>527</v>
      </c>
      <c r="C684" s="146" t="s">
        <v>137</v>
      </c>
      <c r="D684" s="146" t="s">
        <v>138</v>
      </c>
      <c r="E684" s="146" t="s">
        <v>139</v>
      </c>
      <c r="F684" s="146" t="s">
        <v>140</v>
      </c>
      <c r="G684" s="148" t="s">
        <v>303</v>
      </c>
      <c r="H684" s="146">
        <v>0</v>
      </c>
      <c r="I684" s="146">
        <v>8</v>
      </c>
      <c r="J684" s="146" t="s">
        <v>146</v>
      </c>
      <c r="K684" s="146" t="s">
        <v>46</v>
      </c>
      <c r="L684" s="148" t="s">
        <v>3</v>
      </c>
      <c r="M684" s="146" t="s">
        <v>142</v>
      </c>
      <c r="N684" s="149">
        <v>1000</v>
      </c>
      <c r="O684" s="152">
        <f>SUMIF('GUDANG BESAR'!C:C,K:K,'GUDANG BESAR'!I:I)</f>
        <v>100812</v>
      </c>
      <c r="P684" s="153">
        <f>SUMIF('GUDANG BESAR'!C:C,K:K,'GUDANG BESAR'!K:K)</f>
        <v>111901.32</v>
      </c>
      <c r="Q684" s="150">
        <v>2.4129999999999998</v>
      </c>
      <c r="R684" s="149">
        <v>2</v>
      </c>
      <c r="S684" s="149">
        <v>413</v>
      </c>
      <c r="T684" s="145">
        <f t="shared" si="30"/>
        <v>243259.35599999997</v>
      </c>
      <c r="U684" s="145">
        <f t="shared" si="31"/>
        <v>270017.88516000001</v>
      </c>
      <c r="V684" s="135" t="str">
        <f>VLOOKUP(K684,Sheet1!$B$5:$C$131,2,0)</f>
        <v>DYESTUFF</v>
      </c>
      <c r="W684" s="181">
        <f t="shared" si="32"/>
        <v>2.4129999999999998E-3</v>
      </c>
    </row>
    <row r="685" spans="1:23" s="139" customFormat="1">
      <c r="A685" s="146" t="s">
        <v>526</v>
      </c>
      <c r="B685" s="147" t="s">
        <v>527</v>
      </c>
      <c r="C685" s="146" t="s">
        <v>137</v>
      </c>
      <c r="D685" s="146" t="s">
        <v>138</v>
      </c>
      <c r="E685" s="146" t="s">
        <v>139</v>
      </c>
      <c r="F685" s="146" t="s">
        <v>140</v>
      </c>
      <c r="G685" s="148" t="s">
        <v>303</v>
      </c>
      <c r="H685" s="146">
        <v>0</v>
      </c>
      <c r="I685" s="146">
        <v>9</v>
      </c>
      <c r="J685" s="146" t="s">
        <v>147</v>
      </c>
      <c r="K685" s="146" t="s">
        <v>41</v>
      </c>
      <c r="L685" s="148" t="s">
        <v>3</v>
      </c>
      <c r="M685" s="146" t="s">
        <v>142</v>
      </c>
      <c r="N685" s="149">
        <v>1000</v>
      </c>
      <c r="O685" s="152">
        <f>SUMIF('GUDANG BESAR'!C:C,K:K,'GUDANG BESAR'!I:I)</f>
        <v>54071</v>
      </c>
      <c r="P685" s="153">
        <f>SUMIF('GUDANG BESAR'!C:C,K:K,'GUDANG BESAR'!K:K)</f>
        <v>60018.81</v>
      </c>
      <c r="Q685" s="150">
        <v>3.5630000000000002</v>
      </c>
      <c r="R685" s="149">
        <v>3</v>
      </c>
      <c r="S685" s="149">
        <v>563</v>
      </c>
      <c r="T685" s="145">
        <f t="shared" si="30"/>
        <v>192654.973</v>
      </c>
      <c r="U685" s="145">
        <f t="shared" si="31"/>
        <v>213847.02003000001</v>
      </c>
      <c r="V685" s="135" t="str">
        <f>VLOOKUP(K685,Sheet1!$B$5:$C$131,2,0)</f>
        <v>DYESTUFF</v>
      </c>
      <c r="W685" s="181">
        <f t="shared" si="32"/>
        <v>3.5630000000000002E-3</v>
      </c>
    </row>
    <row r="686" spans="1:23" s="139" customFormat="1">
      <c r="A686" s="146" t="s">
        <v>526</v>
      </c>
      <c r="B686" s="147" t="s">
        <v>527</v>
      </c>
      <c r="C686" s="146" t="s">
        <v>137</v>
      </c>
      <c r="D686" s="146" t="s">
        <v>138</v>
      </c>
      <c r="E686" s="146" t="s">
        <v>139</v>
      </c>
      <c r="F686" s="146" t="s">
        <v>140</v>
      </c>
      <c r="G686" s="148" t="s">
        <v>303</v>
      </c>
      <c r="H686" s="146">
        <v>0</v>
      </c>
      <c r="I686" s="146">
        <v>11</v>
      </c>
      <c r="J686" s="146" t="s">
        <v>170</v>
      </c>
      <c r="K686" s="146" t="s">
        <v>29</v>
      </c>
      <c r="L686" s="148" t="s">
        <v>3</v>
      </c>
      <c r="M686" s="146" t="s">
        <v>142</v>
      </c>
      <c r="N686" s="149">
        <v>1000</v>
      </c>
      <c r="O686" s="152">
        <f>SUMIF('GUDANG BESAR'!C:C,K:K,'GUDANG BESAR'!I:I)</f>
        <v>100590</v>
      </c>
      <c r="P686" s="153">
        <f>SUMIF('GUDANG BESAR'!C:C,K:K,'GUDANG BESAR'!K:K)</f>
        <v>111654.9</v>
      </c>
      <c r="Q686" s="150">
        <v>0.32</v>
      </c>
      <c r="R686" s="149">
        <v>0</v>
      </c>
      <c r="S686" s="149">
        <v>320</v>
      </c>
      <c r="T686" s="145">
        <f t="shared" si="30"/>
        <v>32188.799999999999</v>
      </c>
      <c r="U686" s="145">
        <f t="shared" si="31"/>
        <v>35729.567999999999</v>
      </c>
      <c r="V686" s="135" t="str">
        <f>VLOOKUP(K686,Sheet1!$B$5:$C$131,2,0)</f>
        <v>DYESTUFF</v>
      </c>
      <c r="W686" s="181">
        <f t="shared" si="32"/>
        <v>3.2000000000000003E-4</v>
      </c>
    </row>
    <row r="687" spans="1:23" s="139" customFormat="1">
      <c r="A687" s="146" t="s">
        <v>526</v>
      </c>
      <c r="B687" s="147" t="s">
        <v>527</v>
      </c>
      <c r="C687" s="146" t="s">
        <v>137</v>
      </c>
      <c r="D687" s="146" t="s">
        <v>138</v>
      </c>
      <c r="E687" s="146" t="s">
        <v>139</v>
      </c>
      <c r="F687" s="146" t="s">
        <v>140</v>
      </c>
      <c r="G687" s="148" t="s">
        <v>303</v>
      </c>
      <c r="H687" s="146">
        <v>0</v>
      </c>
      <c r="I687" s="146">
        <v>12</v>
      </c>
      <c r="J687" s="146" t="s">
        <v>148</v>
      </c>
      <c r="K687" s="146" t="s">
        <v>30</v>
      </c>
      <c r="L687" s="148" t="s">
        <v>3</v>
      </c>
      <c r="M687" s="146" t="s">
        <v>142</v>
      </c>
      <c r="N687" s="149">
        <v>1000</v>
      </c>
      <c r="O687" s="152">
        <f>SUMIF('GUDANG BESAR'!C:C,K:K,'GUDANG BESAR'!I:I)</f>
        <v>77089.399999999994</v>
      </c>
      <c r="P687" s="153">
        <f>SUMIF('GUDANG BESAR'!C:C,K:K,'GUDANG BESAR'!K:K)</f>
        <v>85569.233999999997</v>
      </c>
      <c r="Q687" s="150">
        <v>13.506</v>
      </c>
      <c r="R687" s="149">
        <v>13</v>
      </c>
      <c r="S687" s="149">
        <v>506</v>
      </c>
      <c r="T687" s="145">
        <f t="shared" si="30"/>
        <v>1041169.4363999999</v>
      </c>
      <c r="U687" s="145">
        <f t="shared" si="31"/>
        <v>1155698.0744040001</v>
      </c>
      <c r="V687" s="135" t="str">
        <f>VLOOKUP(K687,Sheet1!$B$5:$C$131,2,0)</f>
        <v>DYESTUFF</v>
      </c>
      <c r="W687" s="181">
        <f t="shared" si="32"/>
        <v>1.3506000000000001E-2</v>
      </c>
    </row>
    <row r="688" spans="1:23" s="139" customFormat="1">
      <c r="A688" s="146" t="s">
        <v>526</v>
      </c>
      <c r="B688" s="147" t="s">
        <v>527</v>
      </c>
      <c r="C688" s="146" t="s">
        <v>137</v>
      </c>
      <c r="D688" s="146" t="s">
        <v>138</v>
      </c>
      <c r="E688" s="146" t="s">
        <v>139</v>
      </c>
      <c r="F688" s="146" t="s">
        <v>153</v>
      </c>
      <c r="G688" s="148" t="s">
        <v>301</v>
      </c>
      <c r="H688" s="146">
        <v>0</v>
      </c>
      <c r="I688" s="146">
        <v>22</v>
      </c>
      <c r="J688" s="146" t="s">
        <v>174</v>
      </c>
      <c r="K688" s="146" t="s">
        <v>13</v>
      </c>
      <c r="L688" s="148" t="s">
        <v>3</v>
      </c>
      <c r="M688" s="146" t="s">
        <v>142</v>
      </c>
      <c r="N688" s="149">
        <v>1000</v>
      </c>
      <c r="O688" s="152">
        <f>SUMIF('GUDANG BESAR'!C:C,K:K,'GUDANG BESAR'!I:I)</f>
        <v>262320</v>
      </c>
      <c r="P688" s="153">
        <f>SUMIF('GUDANG BESAR'!C:C,K:K,'GUDANG BESAR'!K:K)</f>
        <v>291175.2</v>
      </c>
      <c r="Q688" s="150">
        <v>1.81</v>
      </c>
      <c r="R688" s="149">
        <v>1</v>
      </c>
      <c r="S688" s="149">
        <v>810</v>
      </c>
      <c r="T688" s="145">
        <f t="shared" si="30"/>
        <v>474799.2</v>
      </c>
      <c r="U688" s="145">
        <f t="shared" si="31"/>
        <v>527027.11200000008</v>
      </c>
      <c r="V688" s="135" t="str">
        <f>VLOOKUP(K688,Sheet1!$B$5:$C$131,2,0)</f>
        <v>DYEING</v>
      </c>
      <c r="W688" s="181">
        <f t="shared" si="32"/>
        <v>1.81E-3</v>
      </c>
    </row>
    <row r="689" spans="1:23" s="139" customFormat="1">
      <c r="A689" s="146" t="s">
        <v>526</v>
      </c>
      <c r="B689" s="147" t="s">
        <v>527</v>
      </c>
      <c r="C689" s="146" t="s">
        <v>137</v>
      </c>
      <c r="D689" s="146" t="s">
        <v>138</v>
      </c>
      <c r="E689" s="146" t="s">
        <v>139</v>
      </c>
      <c r="F689" s="146" t="s">
        <v>167</v>
      </c>
      <c r="G689" s="148" t="s">
        <v>298</v>
      </c>
      <c r="H689" s="146">
        <v>0</v>
      </c>
      <c r="I689" s="146">
        <v>23</v>
      </c>
      <c r="J689" s="146" t="s">
        <v>270</v>
      </c>
      <c r="K689" s="146" t="s">
        <v>31</v>
      </c>
      <c r="L689" s="148" t="s">
        <v>3</v>
      </c>
      <c r="M689" s="146" t="s">
        <v>142</v>
      </c>
      <c r="N689" s="149">
        <v>1000</v>
      </c>
      <c r="O689" s="152">
        <f>SUMIF('GUDANG BESAR'!C:C,K:K,'GUDANG BESAR'!I:I)</f>
        <v>12160</v>
      </c>
      <c r="P689" s="153">
        <f>SUMIF('GUDANG BESAR'!C:C,K:K,'GUDANG BESAR'!K:K)</f>
        <v>13497.6</v>
      </c>
      <c r="Q689" s="150">
        <v>13</v>
      </c>
      <c r="R689" s="149">
        <v>13</v>
      </c>
      <c r="S689" s="149">
        <v>0</v>
      </c>
      <c r="T689" s="145">
        <f t="shared" si="30"/>
        <v>158080</v>
      </c>
      <c r="U689" s="145">
        <f t="shared" si="31"/>
        <v>175468.80000000002</v>
      </c>
      <c r="V689" s="135" t="str">
        <f>VLOOKUP(K689,Sheet1!$B$5:$C$131,2,0)</f>
        <v>FINISHING</v>
      </c>
      <c r="W689" s="181">
        <f t="shared" si="32"/>
        <v>1.2999999999999999E-2</v>
      </c>
    </row>
    <row r="690" spans="1:23" s="139" customFormat="1">
      <c r="A690" s="146" t="s">
        <v>526</v>
      </c>
      <c r="B690" s="147" t="s">
        <v>527</v>
      </c>
      <c r="C690" s="146" t="s">
        <v>137</v>
      </c>
      <c r="D690" s="146" t="s">
        <v>138</v>
      </c>
      <c r="E690" s="146" t="s">
        <v>139</v>
      </c>
      <c r="F690" s="146" t="s">
        <v>140</v>
      </c>
      <c r="G690" s="148" t="s">
        <v>300</v>
      </c>
      <c r="H690" s="146">
        <v>0</v>
      </c>
      <c r="I690" s="146">
        <v>13</v>
      </c>
      <c r="J690" s="146" t="s">
        <v>314</v>
      </c>
      <c r="K690" s="146" t="s">
        <v>281</v>
      </c>
      <c r="L690" s="148" t="s">
        <v>3</v>
      </c>
      <c r="M690" s="146" t="s">
        <v>142</v>
      </c>
      <c r="N690" s="149">
        <v>1000</v>
      </c>
      <c r="O690" s="152">
        <f>SUMIF('GUDANG BESAR'!C:C,K:K,'GUDANG BESAR'!I:I)</f>
        <v>23590.51</v>
      </c>
      <c r="P690" s="153">
        <f>SUMIF('GUDANG BESAR'!C:C,K:K,'GUDANG BESAR'!K:K)</f>
        <v>26185.466099999998</v>
      </c>
      <c r="Q690" s="150">
        <v>120</v>
      </c>
      <c r="R690" s="149">
        <v>120</v>
      </c>
      <c r="S690" s="149">
        <v>0</v>
      </c>
      <c r="T690" s="145">
        <f t="shared" si="30"/>
        <v>2830861.1999999997</v>
      </c>
      <c r="U690" s="145">
        <f t="shared" si="31"/>
        <v>3142255.9319999996</v>
      </c>
      <c r="V690" s="135" t="str">
        <f>VLOOKUP(K690,Sheet1!$B$5:$C$131,2,0)</f>
        <v>CK</v>
      </c>
      <c r="W690" s="181">
        <f t="shared" si="32"/>
        <v>0.12</v>
      </c>
    </row>
    <row r="691" spans="1:23" s="139" customFormat="1">
      <c r="A691" s="146" t="s">
        <v>526</v>
      </c>
      <c r="B691" s="147" t="s">
        <v>527</v>
      </c>
      <c r="C691" s="146" t="s">
        <v>137</v>
      </c>
      <c r="D691" s="146" t="s">
        <v>138</v>
      </c>
      <c r="E691" s="146" t="s">
        <v>139</v>
      </c>
      <c r="F691" s="146" t="s">
        <v>162</v>
      </c>
      <c r="G691" s="148" t="s">
        <v>214</v>
      </c>
      <c r="H691" s="146">
        <v>0</v>
      </c>
      <c r="I691" s="146">
        <v>24</v>
      </c>
      <c r="J691" s="146" t="s">
        <v>234</v>
      </c>
      <c r="K691" s="146" t="s">
        <v>233</v>
      </c>
      <c r="L691" s="148" t="s">
        <v>3</v>
      </c>
      <c r="M691" s="146" t="s">
        <v>142</v>
      </c>
      <c r="N691" s="149">
        <v>1000</v>
      </c>
      <c r="O691" s="152">
        <f>SUMIF('GUDANG BESAR'!C:C,K:K,'GUDANG BESAR'!I:I)</f>
        <v>5500</v>
      </c>
      <c r="P691" s="153">
        <f>SUMIF('GUDANG BESAR'!C:C,K:K,'GUDANG BESAR'!K:K)</f>
        <v>6105</v>
      </c>
      <c r="Q691" s="150">
        <v>125</v>
      </c>
      <c r="R691" s="149">
        <v>125</v>
      </c>
      <c r="S691" s="149">
        <v>0</v>
      </c>
      <c r="T691" s="145">
        <f t="shared" si="30"/>
        <v>687500</v>
      </c>
      <c r="U691" s="145">
        <f t="shared" si="31"/>
        <v>763125</v>
      </c>
      <c r="V691" s="135" t="str">
        <f>VLOOKUP(K691,Sheet1!$B$5:$C$131,2,0)</f>
        <v>LIMBAH</v>
      </c>
      <c r="W691" s="181">
        <f t="shared" si="32"/>
        <v>0.125</v>
      </c>
    </row>
    <row r="692" spans="1:23" s="139" customFormat="1">
      <c r="A692" s="146" t="s">
        <v>526</v>
      </c>
      <c r="B692" s="147" t="s">
        <v>527</v>
      </c>
      <c r="C692" s="146" t="s">
        <v>137</v>
      </c>
      <c r="D692" s="146" t="s">
        <v>138</v>
      </c>
      <c r="E692" s="146" t="s">
        <v>139</v>
      </c>
      <c r="F692" s="146" t="s">
        <v>153</v>
      </c>
      <c r="G692" s="148" t="s">
        <v>301</v>
      </c>
      <c r="H692" s="146">
        <v>0</v>
      </c>
      <c r="I692" s="146">
        <v>16</v>
      </c>
      <c r="J692" s="146" t="s">
        <v>317</v>
      </c>
      <c r="K692" s="146" t="s">
        <v>17</v>
      </c>
      <c r="L692" s="148" t="s">
        <v>3</v>
      </c>
      <c r="M692" s="146" t="s">
        <v>142</v>
      </c>
      <c r="N692" s="149">
        <v>1000</v>
      </c>
      <c r="O692" s="152">
        <f>SUMIF('GUDANG BESAR'!C:C,K:K,'GUDANG BESAR'!I:I)</f>
        <v>25269.5</v>
      </c>
      <c r="P692" s="153">
        <f>SUMIF('GUDANG BESAR'!C:C,K:K,'GUDANG BESAR'!K:K)</f>
        <v>28049.145</v>
      </c>
      <c r="Q692" s="150">
        <v>32</v>
      </c>
      <c r="R692" s="149">
        <v>32</v>
      </c>
      <c r="S692" s="149">
        <v>0</v>
      </c>
      <c r="T692" s="145">
        <f t="shared" si="30"/>
        <v>808624</v>
      </c>
      <c r="U692" s="145">
        <f t="shared" si="31"/>
        <v>897572.64</v>
      </c>
      <c r="V692" s="135" t="str">
        <f>VLOOKUP(K692,Sheet1!$B$5:$C$131,2,0)</f>
        <v>DYEING</v>
      </c>
      <c r="W692" s="181">
        <f t="shared" si="32"/>
        <v>3.2000000000000001E-2</v>
      </c>
    </row>
    <row r="693" spans="1:23" s="139" customFormat="1">
      <c r="A693" s="146" t="s">
        <v>526</v>
      </c>
      <c r="B693" s="147" t="s">
        <v>527</v>
      </c>
      <c r="C693" s="146" t="s">
        <v>137</v>
      </c>
      <c r="D693" s="146" t="s">
        <v>138</v>
      </c>
      <c r="E693" s="146" t="s">
        <v>139</v>
      </c>
      <c r="F693" s="146" t="s">
        <v>153</v>
      </c>
      <c r="G693" s="148" t="s">
        <v>301</v>
      </c>
      <c r="H693" s="146">
        <v>0</v>
      </c>
      <c r="I693" s="146">
        <v>17</v>
      </c>
      <c r="J693" s="146" t="s">
        <v>251</v>
      </c>
      <c r="K693" s="146" t="s">
        <v>249</v>
      </c>
      <c r="L693" s="148" t="s">
        <v>3</v>
      </c>
      <c r="M693" s="146" t="s">
        <v>142</v>
      </c>
      <c r="N693" s="149">
        <v>1000</v>
      </c>
      <c r="O693" s="152">
        <f>SUMIF('GUDANG BESAR'!C:C,K:K,'GUDANG BESAR'!I:I)</f>
        <v>9119.6</v>
      </c>
      <c r="P693" s="153">
        <f>SUMIF('GUDANG BESAR'!C:C,K:K,'GUDANG BESAR'!K:K)</f>
        <v>10122.756000000001</v>
      </c>
      <c r="Q693" s="150">
        <v>20</v>
      </c>
      <c r="R693" s="149">
        <v>20</v>
      </c>
      <c r="S693" s="149">
        <v>0</v>
      </c>
      <c r="T693" s="145">
        <f t="shared" si="30"/>
        <v>182392</v>
      </c>
      <c r="U693" s="145">
        <f t="shared" si="31"/>
        <v>202455.12000000002</v>
      </c>
      <c r="V693" s="135" t="str">
        <f>VLOOKUP(K693,Sheet1!$B$5:$C$131,2,0)</f>
        <v>DYEING</v>
      </c>
      <c r="W693" s="181">
        <f t="shared" si="32"/>
        <v>0.02</v>
      </c>
    </row>
    <row r="694" spans="1:23" s="139" customFormat="1">
      <c r="A694" s="146" t="s">
        <v>526</v>
      </c>
      <c r="B694" s="147" t="s">
        <v>527</v>
      </c>
      <c r="C694" s="146" t="s">
        <v>137</v>
      </c>
      <c r="D694" s="146" t="s">
        <v>138</v>
      </c>
      <c r="E694" s="146" t="s">
        <v>139</v>
      </c>
      <c r="F694" s="146" t="s">
        <v>153</v>
      </c>
      <c r="G694" s="148" t="s">
        <v>301</v>
      </c>
      <c r="H694" s="146">
        <v>0</v>
      </c>
      <c r="I694" s="146">
        <v>18</v>
      </c>
      <c r="J694" s="146" t="s">
        <v>168</v>
      </c>
      <c r="K694" s="146" t="s">
        <v>34</v>
      </c>
      <c r="L694" s="148" t="s">
        <v>3</v>
      </c>
      <c r="M694" s="146" t="s">
        <v>142</v>
      </c>
      <c r="N694" s="149">
        <v>1000</v>
      </c>
      <c r="O694" s="152">
        <f>SUMIF('GUDANG BESAR'!C:C,K:K,'GUDANG BESAR'!I:I)</f>
        <v>68397</v>
      </c>
      <c r="P694" s="153">
        <f>SUMIF('GUDANG BESAR'!C:C,K:K,'GUDANG BESAR'!K:K)</f>
        <v>75920.67</v>
      </c>
      <c r="Q694" s="150">
        <v>4.5999999999999996</v>
      </c>
      <c r="R694" s="149">
        <v>4</v>
      </c>
      <c r="S694" s="149">
        <v>600</v>
      </c>
      <c r="T694" s="145">
        <f t="shared" si="30"/>
        <v>314626.19999999995</v>
      </c>
      <c r="U694" s="145">
        <f t="shared" si="31"/>
        <v>349235.08199999994</v>
      </c>
      <c r="V694" s="135" t="str">
        <f>VLOOKUP(K694,Sheet1!$B$5:$C$131,2,0)</f>
        <v>DYEING</v>
      </c>
      <c r="W694" s="181">
        <f t="shared" si="32"/>
        <v>4.5999999999999999E-3</v>
      </c>
    </row>
    <row r="695" spans="1:23" s="139" customFormat="1">
      <c r="A695" s="146" t="s">
        <v>528</v>
      </c>
      <c r="B695" s="147" t="s">
        <v>529</v>
      </c>
      <c r="C695" s="146" t="s">
        <v>137</v>
      </c>
      <c r="D695" s="146" t="s">
        <v>138</v>
      </c>
      <c r="E695" s="146" t="s">
        <v>139</v>
      </c>
      <c r="F695" s="146" t="s">
        <v>153</v>
      </c>
      <c r="G695" s="148" t="s">
        <v>298</v>
      </c>
      <c r="H695" s="146">
        <v>0</v>
      </c>
      <c r="I695" s="146">
        <v>1</v>
      </c>
      <c r="J695" s="146" t="s">
        <v>315</v>
      </c>
      <c r="K695" s="146" t="s">
        <v>47</v>
      </c>
      <c r="L695" s="148" t="s">
        <v>3</v>
      </c>
      <c r="M695" s="146" t="s">
        <v>142</v>
      </c>
      <c r="N695" s="149">
        <v>1000</v>
      </c>
      <c r="O695" s="152">
        <f>SUMIF('GUDANG BESAR'!C:C,K:K,'GUDANG BESAR'!I:I)</f>
        <v>13000</v>
      </c>
      <c r="P695" s="153">
        <f>SUMIF('GUDANG BESAR'!C:C,K:K,'GUDANG BESAR'!K:K)</f>
        <v>14430</v>
      </c>
      <c r="Q695" s="150">
        <v>2</v>
      </c>
      <c r="R695" s="149">
        <v>2</v>
      </c>
      <c r="S695" s="149">
        <v>0</v>
      </c>
      <c r="T695" s="145">
        <f t="shared" si="30"/>
        <v>26000</v>
      </c>
      <c r="U695" s="145">
        <f t="shared" si="31"/>
        <v>28860</v>
      </c>
      <c r="V695" s="135" t="str">
        <f>VLOOKUP(K695,Sheet1!$B$5:$C$131,2,0)</f>
        <v>FINISHING</v>
      </c>
      <c r="W695" s="181">
        <f t="shared" si="32"/>
        <v>2E-3</v>
      </c>
    </row>
    <row r="696" spans="1:23" s="139" customFormat="1">
      <c r="A696" s="146" t="s">
        <v>528</v>
      </c>
      <c r="B696" s="147" t="s">
        <v>529</v>
      </c>
      <c r="C696" s="146" t="s">
        <v>137</v>
      </c>
      <c r="D696" s="146" t="s">
        <v>138</v>
      </c>
      <c r="E696" s="146" t="s">
        <v>139</v>
      </c>
      <c r="F696" s="146" t="s">
        <v>166</v>
      </c>
      <c r="G696" s="148" t="s">
        <v>336</v>
      </c>
      <c r="H696" s="146">
        <v>0</v>
      </c>
      <c r="I696" s="146">
        <v>9</v>
      </c>
      <c r="J696" s="146" t="s">
        <v>157</v>
      </c>
      <c r="K696" s="146" t="s">
        <v>48</v>
      </c>
      <c r="L696" s="148" t="s">
        <v>93</v>
      </c>
      <c r="M696" s="146" t="s">
        <v>158</v>
      </c>
      <c r="N696" s="149">
        <v>1000</v>
      </c>
      <c r="O696" s="152">
        <f>SUMIF('GUDANG BESAR'!C:C,K:K,'GUDANG BESAR'!I:I)</f>
        <v>18500</v>
      </c>
      <c r="P696" s="153">
        <f>SUMIF('GUDANG BESAR'!C:C,K:K,'GUDANG BESAR'!K:K)</f>
        <v>20535</v>
      </c>
      <c r="Q696" s="150">
        <v>20</v>
      </c>
      <c r="R696" s="149">
        <v>20</v>
      </c>
      <c r="S696" s="149">
        <v>0</v>
      </c>
      <c r="T696" s="145">
        <f t="shared" si="30"/>
        <v>370000</v>
      </c>
      <c r="U696" s="145">
        <f t="shared" si="31"/>
        <v>410700</v>
      </c>
      <c r="V696" s="135" t="str">
        <f>VLOOKUP(K696,Sheet1!$B$5:$C$131,2,0)</f>
        <v>ENGGRAVING</v>
      </c>
      <c r="W696" s="181">
        <f t="shared" si="32"/>
        <v>0.02</v>
      </c>
    </row>
    <row r="697" spans="1:23" s="139" customFormat="1">
      <c r="A697" s="146" t="s">
        <v>528</v>
      </c>
      <c r="B697" s="147" t="s">
        <v>529</v>
      </c>
      <c r="C697" s="146" t="s">
        <v>137</v>
      </c>
      <c r="D697" s="146" t="s">
        <v>138</v>
      </c>
      <c r="E697" s="146" t="s">
        <v>139</v>
      </c>
      <c r="F697" s="146" t="s">
        <v>153</v>
      </c>
      <c r="G697" s="148" t="s">
        <v>299</v>
      </c>
      <c r="H697" s="146">
        <v>0</v>
      </c>
      <c r="I697" s="146">
        <v>10</v>
      </c>
      <c r="J697" s="146" t="s">
        <v>154</v>
      </c>
      <c r="K697" s="146" t="s">
        <v>23</v>
      </c>
      <c r="L697" s="148" t="s">
        <v>3</v>
      </c>
      <c r="M697" s="146" t="s">
        <v>142</v>
      </c>
      <c r="N697" s="149">
        <v>1000</v>
      </c>
      <c r="O697" s="152">
        <f>SUMIF('GUDANG BESAR'!C:C,K:K,'GUDANG BESAR'!I:I)</f>
        <v>28844</v>
      </c>
      <c r="P697" s="153">
        <f>SUMIF('GUDANG BESAR'!C:C,K:K,'GUDANG BESAR'!K:K)</f>
        <v>32016.84</v>
      </c>
      <c r="Q697" s="150">
        <v>200</v>
      </c>
      <c r="R697" s="149">
        <v>200</v>
      </c>
      <c r="S697" s="149">
        <v>0</v>
      </c>
      <c r="T697" s="145">
        <f t="shared" si="30"/>
        <v>5768800</v>
      </c>
      <c r="U697" s="145">
        <f t="shared" si="31"/>
        <v>6403368</v>
      </c>
      <c r="V697" s="135" t="str">
        <f>VLOOKUP(K697,Sheet1!$B$5:$C$131,2,0)</f>
        <v>RC</v>
      </c>
      <c r="W697" s="181">
        <f t="shared" si="32"/>
        <v>0.2</v>
      </c>
    </row>
    <row r="698" spans="1:23" s="139" customFormat="1">
      <c r="A698" s="146" t="s">
        <v>528</v>
      </c>
      <c r="B698" s="147" t="s">
        <v>529</v>
      </c>
      <c r="C698" s="146" t="s">
        <v>137</v>
      </c>
      <c r="D698" s="146" t="s">
        <v>138</v>
      </c>
      <c r="E698" s="146" t="s">
        <v>139</v>
      </c>
      <c r="F698" s="146" t="s">
        <v>153</v>
      </c>
      <c r="G698" s="148" t="s">
        <v>301</v>
      </c>
      <c r="H698" s="146">
        <v>0</v>
      </c>
      <c r="I698" s="146">
        <v>11</v>
      </c>
      <c r="J698" s="146" t="s">
        <v>246</v>
      </c>
      <c r="K698" s="146" t="s">
        <v>7</v>
      </c>
      <c r="L698" s="148" t="s">
        <v>3</v>
      </c>
      <c r="M698" s="146" t="s">
        <v>142</v>
      </c>
      <c r="N698" s="149">
        <v>1000</v>
      </c>
      <c r="O698" s="152">
        <f>SUMIF('GUDANG BESAR'!C:C,K:K,'GUDANG BESAR'!I:I)</f>
        <v>29502</v>
      </c>
      <c r="P698" s="153">
        <f>SUMIF('GUDANG BESAR'!C:C,K:K,'GUDANG BESAR'!K:K)</f>
        <v>32747.22</v>
      </c>
      <c r="Q698" s="150">
        <v>13</v>
      </c>
      <c r="R698" s="149">
        <v>13</v>
      </c>
      <c r="S698" s="149">
        <v>0</v>
      </c>
      <c r="T698" s="145">
        <f t="shared" si="30"/>
        <v>383526</v>
      </c>
      <c r="U698" s="145">
        <f t="shared" si="31"/>
        <v>425713.86</v>
      </c>
      <c r="V698" s="135" t="str">
        <f>VLOOKUP(K698,Sheet1!$B$5:$C$131,2,0)</f>
        <v>DYEING</v>
      </c>
      <c r="W698" s="181">
        <f t="shared" si="32"/>
        <v>1.2999999999999999E-2</v>
      </c>
    </row>
    <row r="699" spans="1:23" s="139" customFormat="1">
      <c r="A699" s="146" t="s">
        <v>528</v>
      </c>
      <c r="B699" s="147" t="s">
        <v>529</v>
      </c>
      <c r="C699" s="146" t="s">
        <v>137</v>
      </c>
      <c r="D699" s="146" t="s">
        <v>138</v>
      </c>
      <c r="E699" s="146" t="s">
        <v>139</v>
      </c>
      <c r="F699" s="146" t="s">
        <v>162</v>
      </c>
      <c r="G699" s="148" t="s">
        <v>214</v>
      </c>
      <c r="H699" s="146">
        <v>0</v>
      </c>
      <c r="I699" s="146">
        <v>8</v>
      </c>
      <c r="J699" s="146" t="s">
        <v>240</v>
      </c>
      <c r="K699" s="146" t="s">
        <v>237</v>
      </c>
      <c r="L699" s="148" t="s">
        <v>3</v>
      </c>
      <c r="M699" s="146" t="s">
        <v>142</v>
      </c>
      <c r="N699" s="149">
        <v>1000</v>
      </c>
      <c r="O699" s="152">
        <f>SUMIF('GUDANG BESAR'!C:C,K:K,'GUDANG BESAR'!I:I)</f>
        <v>14750</v>
      </c>
      <c r="P699" s="153">
        <f>SUMIF('GUDANG BESAR'!C:C,K:K,'GUDANG BESAR'!K:K)</f>
        <v>16372.5</v>
      </c>
      <c r="Q699" s="150">
        <v>10</v>
      </c>
      <c r="R699" s="149">
        <v>10</v>
      </c>
      <c r="S699" s="149">
        <v>0</v>
      </c>
      <c r="T699" s="145">
        <f t="shared" si="30"/>
        <v>147500</v>
      </c>
      <c r="U699" s="145">
        <f t="shared" si="31"/>
        <v>163725</v>
      </c>
      <c r="V699" s="135" t="str">
        <f>VLOOKUP(K699,Sheet1!$B$5:$C$131,2,0)</f>
        <v>LIMBAH</v>
      </c>
      <c r="W699" s="181">
        <f t="shared" si="32"/>
        <v>0.01</v>
      </c>
    </row>
    <row r="700" spans="1:23" s="139" customFormat="1">
      <c r="A700" s="146" t="s">
        <v>528</v>
      </c>
      <c r="B700" s="147" t="s">
        <v>529</v>
      </c>
      <c r="C700" s="146" t="s">
        <v>137</v>
      </c>
      <c r="D700" s="146" t="s">
        <v>138</v>
      </c>
      <c r="E700" s="146" t="s">
        <v>139</v>
      </c>
      <c r="F700" s="146" t="s">
        <v>153</v>
      </c>
      <c r="G700" s="148" t="s">
        <v>299</v>
      </c>
      <c r="H700" s="146">
        <v>0</v>
      </c>
      <c r="I700" s="146">
        <v>12</v>
      </c>
      <c r="J700" s="146" t="s">
        <v>155</v>
      </c>
      <c r="K700" s="146" t="s">
        <v>33</v>
      </c>
      <c r="L700" s="148" t="s">
        <v>3</v>
      </c>
      <c r="M700" s="146" t="s">
        <v>142</v>
      </c>
      <c r="N700" s="149">
        <v>1000</v>
      </c>
      <c r="O700" s="152">
        <f>SUMIF('GUDANG BESAR'!C:C,K:K,'GUDANG BESAR'!I:I)</f>
        <v>11087.5</v>
      </c>
      <c r="P700" s="153">
        <f>SUMIF('GUDANG BESAR'!C:C,K:K,'GUDANG BESAR'!K:K)</f>
        <v>12307.125</v>
      </c>
      <c r="Q700" s="150">
        <v>100</v>
      </c>
      <c r="R700" s="149">
        <v>100</v>
      </c>
      <c r="S700" s="149">
        <v>0</v>
      </c>
      <c r="T700" s="145">
        <f t="shared" si="30"/>
        <v>1108750</v>
      </c>
      <c r="U700" s="145">
        <f t="shared" si="31"/>
        <v>1230712.5</v>
      </c>
      <c r="V700" s="135" t="str">
        <f>VLOOKUP(K700,Sheet1!$B$5:$C$131,2,0)</f>
        <v>RC</v>
      </c>
      <c r="W700" s="181">
        <f t="shared" si="32"/>
        <v>0.1</v>
      </c>
    </row>
    <row r="701" spans="1:23" s="139" customFormat="1">
      <c r="A701" s="146" t="s">
        <v>528</v>
      </c>
      <c r="B701" s="147" t="s">
        <v>529</v>
      </c>
      <c r="C701" s="146" t="s">
        <v>137</v>
      </c>
      <c r="D701" s="146" t="s">
        <v>138</v>
      </c>
      <c r="E701" s="146" t="s">
        <v>139</v>
      </c>
      <c r="F701" s="146" t="s">
        <v>166</v>
      </c>
      <c r="G701" s="148" t="s">
        <v>336</v>
      </c>
      <c r="H701" s="146">
        <v>0</v>
      </c>
      <c r="I701" s="146">
        <v>13</v>
      </c>
      <c r="J701" s="146" t="s">
        <v>319</v>
      </c>
      <c r="K701" s="146" t="s">
        <v>72</v>
      </c>
      <c r="L701" s="148" t="s">
        <v>3</v>
      </c>
      <c r="M701" s="146" t="s">
        <v>142</v>
      </c>
      <c r="N701" s="149">
        <v>1000</v>
      </c>
      <c r="O701" s="152">
        <f>SUMIF('GUDANG BESAR'!C:C,K:K,'GUDANG BESAR'!I:I)</f>
        <v>113890</v>
      </c>
      <c r="P701" s="153">
        <f>SUMIF('GUDANG BESAR'!C:C,K:K,'GUDANG BESAR'!K:K)</f>
        <v>126417.9</v>
      </c>
      <c r="Q701" s="150">
        <v>50</v>
      </c>
      <c r="R701" s="149">
        <v>50</v>
      </c>
      <c r="S701" s="149">
        <v>0</v>
      </c>
      <c r="T701" s="145">
        <f t="shared" si="30"/>
        <v>5694500</v>
      </c>
      <c r="U701" s="145">
        <f t="shared" si="31"/>
        <v>6320895</v>
      </c>
      <c r="V701" s="135" t="str">
        <f>VLOOKUP(K701,Sheet1!$B$5:$C$131,2,0)</f>
        <v>ENGGRAVING</v>
      </c>
      <c r="W701" s="181">
        <f t="shared" si="32"/>
        <v>0.05</v>
      </c>
    </row>
    <row r="702" spans="1:23" s="139" customFormat="1">
      <c r="A702" s="146" t="s">
        <v>528</v>
      </c>
      <c r="B702" s="147" t="s">
        <v>529</v>
      </c>
      <c r="C702" s="146" t="s">
        <v>137</v>
      </c>
      <c r="D702" s="146" t="s">
        <v>138</v>
      </c>
      <c r="E702" s="146" t="s">
        <v>139</v>
      </c>
      <c r="F702" s="146" t="s">
        <v>140</v>
      </c>
      <c r="G702" s="148" t="s">
        <v>303</v>
      </c>
      <c r="H702" s="146">
        <v>0</v>
      </c>
      <c r="I702" s="146">
        <v>14</v>
      </c>
      <c r="J702" s="146" t="s">
        <v>141</v>
      </c>
      <c r="K702" s="146" t="s">
        <v>37</v>
      </c>
      <c r="L702" s="148" t="s">
        <v>3</v>
      </c>
      <c r="M702" s="146" t="s">
        <v>142</v>
      </c>
      <c r="N702" s="149">
        <v>1000</v>
      </c>
      <c r="O702" s="152">
        <f>SUMIF('GUDANG BESAR'!C:C,K:K,'GUDANG BESAR'!I:I)</f>
        <v>51276</v>
      </c>
      <c r="P702" s="153">
        <f>SUMIF('GUDANG BESAR'!C:C,K:K,'GUDANG BESAR'!K:K)</f>
        <v>56916.36</v>
      </c>
      <c r="Q702" s="150">
        <v>10.201000000000001</v>
      </c>
      <c r="R702" s="149">
        <v>10</v>
      </c>
      <c r="S702" s="149">
        <v>201</v>
      </c>
      <c r="T702" s="145">
        <f t="shared" si="30"/>
        <v>523066.47600000002</v>
      </c>
      <c r="U702" s="145">
        <f t="shared" si="31"/>
        <v>580603.78836000001</v>
      </c>
      <c r="V702" s="135" t="str">
        <f>VLOOKUP(K702,Sheet1!$B$5:$C$131,2,0)</f>
        <v>DYESTUFF</v>
      </c>
      <c r="W702" s="181">
        <f t="shared" si="32"/>
        <v>1.0201E-2</v>
      </c>
    </row>
    <row r="703" spans="1:23" s="139" customFormat="1">
      <c r="A703" s="146" t="s">
        <v>528</v>
      </c>
      <c r="B703" s="147" t="s">
        <v>529</v>
      </c>
      <c r="C703" s="146" t="s">
        <v>137</v>
      </c>
      <c r="D703" s="146" t="s">
        <v>138</v>
      </c>
      <c r="E703" s="146" t="s">
        <v>139</v>
      </c>
      <c r="F703" s="146" t="s">
        <v>140</v>
      </c>
      <c r="G703" s="148" t="s">
        <v>301</v>
      </c>
      <c r="H703" s="146">
        <v>0</v>
      </c>
      <c r="I703" s="146">
        <v>15</v>
      </c>
      <c r="J703" s="146" t="s">
        <v>172</v>
      </c>
      <c r="K703" s="146" t="s">
        <v>8</v>
      </c>
      <c r="L703" s="148" t="s">
        <v>3</v>
      </c>
      <c r="M703" s="146" t="s">
        <v>142</v>
      </c>
      <c r="N703" s="149">
        <v>1000</v>
      </c>
      <c r="O703" s="152">
        <f>SUMIF('GUDANG BESAR'!C:C,K:K,'GUDANG BESAR'!I:I)</f>
        <v>441045</v>
      </c>
      <c r="P703" s="153">
        <f>SUMIF('GUDANG BESAR'!C:C,K:K,'GUDANG BESAR'!K:K)</f>
        <v>489559.95</v>
      </c>
      <c r="Q703" s="150">
        <v>2.3340000000000001</v>
      </c>
      <c r="R703" s="149">
        <v>2</v>
      </c>
      <c r="S703" s="149">
        <v>334</v>
      </c>
      <c r="T703" s="145">
        <f t="shared" si="30"/>
        <v>1029399.03</v>
      </c>
      <c r="U703" s="145">
        <f t="shared" si="31"/>
        <v>1142632.9233000001</v>
      </c>
      <c r="V703" s="135" t="str">
        <f>VLOOKUP(K703,Sheet1!$B$5:$C$131,2,0)</f>
        <v>DYEING</v>
      </c>
      <c r="W703" s="181">
        <f t="shared" si="32"/>
        <v>2.3340000000000001E-3</v>
      </c>
    </row>
    <row r="704" spans="1:23" s="139" customFormat="1">
      <c r="A704" s="146" t="s">
        <v>528</v>
      </c>
      <c r="B704" s="147" t="s">
        <v>529</v>
      </c>
      <c r="C704" s="146" t="s">
        <v>137</v>
      </c>
      <c r="D704" s="146" t="s">
        <v>138</v>
      </c>
      <c r="E704" s="146" t="s">
        <v>139</v>
      </c>
      <c r="F704" s="146" t="s">
        <v>140</v>
      </c>
      <c r="G704" s="148" t="s">
        <v>303</v>
      </c>
      <c r="H704" s="146">
        <v>0</v>
      </c>
      <c r="I704" s="146">
        <v>16</v>
      </c>
      <c r="J704" s="146" t="s">
        <v>143</v>
      </c>
      <c r="K704" s="146" t="s">
        <v>90</v>
      </c>
      <c r="L704" s="148" t="s">
        <v>3</v>
      </c>
      <c r="M704" s="146" t="s">
        <v>142</v>
      </c>
      <c r="N704" s="149">
        <v>1000</v>
      </c>
      <c r="O704" s="152">
        <f>SUMIF('GUDANG BESAR'!C:C,K:K,'GUDANG BESAR'!I:I)</f>
        <v>194556</v>
      </c>
      <c r="P704" s="153">
        <f>SUMIF('GUDANG BESAR'!C:C,K:K,'GUDANG BESAR'!K:K)</f>
        <v>215957.16</v>
      </c>
      <c r="Q704" s="150">
        <v>2.4169999999999998</v>
      </c>
      <c r="R704" s="149">
        <v>2</v>
      </c>
      <c r="S704" s="149">
        <v>417</v>
      </c>
      <c r="T704" s="145">
        <f t="shared" si="30"/>
        <v>470241.85199999996</v>
      </c>
      <c r="U704" s="145">
        <f t="shared" si="31"/>
        <v>521968.45571999997</v>
      </c>
      <c r="V704" s="135" t="str">
        <f>VLOOKUP(K704,Sheet1!$B$5:$C$131,2,0)</f>
        <v>DYESTUFF</v>
      </c>
      <c r="W704" s="181">
        <f t="shared" si="32"/>
        <v>2.4169999999999999E-3</v>
      </c>
    </row>
    <row r="705" spans="1:23" s="139" customFormat="1">
      <c r="A705" s="146" t="s">
        <v>528</v>
      </c>
      <c r="B705" s="147" t="s">
        <v>529</v>
      </c>
      <c r="C705" s="146" t="s">
        <v>137</v>
      </c>
      <c r="D705" s="146" t="s">
        <v>138</v>
      </c>
      <c r="E705" s="146" t="s">
        <v>139</v>
      </c>
      <c r="F705" s="146" t="s">
        <v>140</v>
      </c>
      <c r="G705" s="148" t="s">
        <v>303</v>
      </c>
      <c r="H705" s="146">
        <v>0</v>
      </c>
      <c r="I705" s="146">
        <v>17</v>
      </c>
      <c r="J705" s="146" t="s">
        <v>346</v>
      </c>
      <c r="K705" s="146" t="s">
        <v>343</v>
      </c>
      <c r="L705" s="148" t="s">
        <v>3</v>
      </c>
      <c r="M705" s="146" t="s">
        <v>142</v>
      </c>
      <c r="N705" s="149">
        <v>1000</v>
      </c>
      <c r="O705" s="152">
        <f>SUMIF('GUDANG BESAR'!C:C,K:K,'GUDANG BESAR'!I:I)</f>
        <v>60680</v>
      </c>
      <c r="P705" s="153">
        <f>SUMIF('GUDANG BESAR'!C:C,K:K,'GUDANG BESAR'!K:K)</f>
        <v>67354.8</v>
      </c>
      <c r="Q705" s="150">
        <v>1.958</v>
      </c>
      <c r="R705" s="149">
        <v>1</v>
      </c>
      <c r="S705" s="149">
        <v>958</v>
      </c>
      <c r="T705" s="145">
        <f t="shared" si="30"/>
        <v>118811.44</v>
      </c>
      <c r="U705" s="145">
        <f t="shared" si="31"/>
        <v>131880.69839999999</v>
      </c>
      <c r="V705" s="135" t="str">
        <f>VLOOKUP(K705,Sheet1!$B$5:$C$131,2,0)</f>
        <v>DYESTUFF</v>
      </c>
      <c r="W705" s="181">
        <f t="shared" si="32"/>
        <v>1.9580000000000001E-3</v>
      </c>
    </row>
    <row r="706" spans="1:23" s="139" customFormat="1">
      <c r="A706" s="146" t="s">
        <v>528</v>
      </c>
      <c r="B706" s="147" t="s">
        <v>529</v>
      </c>
      <c r="C706" s="146" t="s">
        <v>137</v>
      </c>
      <c r="D706" s="146" t="s">
        <v>138</v>
      </c>
      <c r="E706" s="146" t="s">
        <v>139</v>
      </c>
      <c r="F706" s="146" t="s">
        <v>140</v>
      </c>
      <c r="G706" s="148" t="s">
        <v>303</v>
      </c>
      <c r="H706" s="146">
        <v>0</v>
      </c>
      <c r="I706" s="146">
        <v>18</v>
      </c>
      <c r="J706" s="146" t="s">
        <v>151</v>
      </c>
      <c r="K706" s="146" t="s">
        <v>28</v>
      </c>
      <c r="L706" s="148" t="s">
        <v>3</v>
      </c>
      <c r="M706" s="146" t="s">
        <v>142</v>
      </c>
      <c r="N706" s="149">
        <v>1000</v>
      </c>
      <c r="O706" s="152">
        <f>SUMIF('GUDANG BESAR'!C:C,K:K,'GUDANG BESAR'!I:I)</f>
        <v>413967</v>
      </c>
      <c r="P706" s="153">
        <f>SUMIF('GUDANG BESAR'!C:C,K:K,'GUDANG BESAR'!K:K)</f>
        <v>459503.37</v>
      </c>
      <c r="Q706" s="150">
        <v>4.0000000000000001E-3</v>
      </c>
      <c r="R706" s="149">
        <v>0</v>
      </c>
      <c r="S706" s="149">
        <v>4</v>
      </c>
      <c r="T706" s="145">
        <f t="shared" si="30"/>
        <v>1655.8679999999999</v>
      </c>
      <c r="U706" s="145">
        <f t="shared" si="31"/>
        <v>1838.0134800000001</v>
      </c>
      <c r="V706" s="135" t="str">
        <f>VLOOKUP(K706,Sheet1!$B$5:$C$131,2,0)</f>
        <v>DYESTUFF</v>
      </c>
      <c r="W706" s="181">
        <f t="shared" si="32"/>
        <v>3.9999999999999998E-6</v>
      </c>
    </row>
    <row r="707" spans="1:23" s="139" customFormat="1">
      <c r="A707" s="146" t="s">
        <v>528</v>
      </c>
      <c r="B707" s="147" t="s">
        <v>529</v>
      </c>
      <c r="C707" s="146" t="s">
        <v>137</v>
      </c>
      <c r="D707" s="146" t="s">
        <v>138</v>
      </c>
      <c r="E707" s="146" t="s">
        <v>139</v>
      </c>
      <c r="F707" s="146" t="s">
        <v>140</v>
      </c>
      <c r="G707" s="148" t="s">
        <v>303</v>
      </c>
      <c r="H707" s="146">
        <v>0</v>
      </c>
      <c r="I707" s="146">
        <v>19</v>
      </c>
      <c r="J707" s="146" t="s">
        <v>169</v>
      </c>
      <c r="K707" s="146" t="s">
        <v>64</v>
      </c>
      <c r="L707" s="148" t="s">
        <v>3</v>
      </c>
      <c r="M707" s="146" t="s">
        <v>142</v>
      </c>
      <c r="N707" s="149">
        <v>1000</v>
      </c>
      <c r="O707" s="152">
        <f>SUMIF('GUDANG BESAR'!C:C,K:K,'GUDANG BESAR'!I:I)</f>
        <v>506080</v>
      </c>
      <c r="P707" s="153">
        <f>SUMIF('GUDANG BESAR'!C:C,K:K,'GUDANG BESAR'!K:K)</f>
        <v>561748.80000000005</v>
      </c>
      <c r="Q707" s="150">
        <v>0.13</v>
      </c>
      <c r="R707" s="149">
        <v>0</v>
      </c>
      <c r="S707" s="149">
        <v>130</v>
      </c>
      <c r="T707" s="145">
        <f t="shared" si="30"/>
        <v>65790.400000000009</v>
      </c>
      <c r="U707" s="145">
        <f t="shared" si="31"/>
        <v>73027.344000000012</v>
      </c>
      <c r="V707" s="135" t="str">
        <f>VLOOKUP(K707,Sheet1!$B$5:$C$131,2,0)</f>
        <v>DYESTUFF</v>
      </c>
      <c r="W707" s="181">
        <f t="shared" si="32"/>
        <v>1.3000000000000002E-4</v>
      </c>
    </row>
    <row r="708" spans="1:23" s="139" customFormat="1">
      <c r="A708" s="146" t="s">
        <v>528</v>
      </c>
      <c r="B708" s="147" t="s">
        <v>529</v>
      </c>
      <c r="C708" s="146" t="s">
        <v>137</v>
      </c>
      <c r="D708" s="146" t="s">
        <v>138</v>
      </c>
      <c r="E708" s="146" t="s">
        <v>139</v>
      </c>
      <c r="F708" s="146" t="s">
        <v>140</v>
      </c>
      <c r="G708" s="148" t="s">
        <v>303</v>
      </c>
      <c r="H708" s="146">
        <v>0</v>
      </c>
      <c r="I708" s="146">
        <v>20</v>
      </c>
      <c r="J708" s="146" t="s">
        <v>144</v>
      </c>
      <c r="K708" s="146" t="s">
        <v>26</v>
      </c>
      <c r="L708" s="148" t="s">
        <v>3</v>
      </c>
      <c r="M708" s="146" t="s">
        <v>142</v>
      </c>
      <c r="N708" s="149">
        <v>1000</v>
      </c>
      <c r="O708" s="152">
        <f>SUMIF('GUDANG BESAR'!C:C,K:K,'GUDANG BESAR'!I:I)</f>
        <v>52016</v>
      </c>
      <c r="P708" s="153">
        <f>SUMIF('GUDANG BESAR'!C:C,K:K,'GUDANG BESAR'!K:K)</f>
        <v>57737.760000000002</v>
      </c>
      <c r="Q708" s="150">
        <v>14.14</v>
      </c>
      <c r="R708" s="149">
        <v>14</v>
      </c>
      <c r="S708" s="149">
        <v>140</v>
      </c>
      <c r="T708" s="145">
        <f t="shared" si="30"/>
        <v>735506.24</v>
      </c>
      <c r="U708" s="145">
        <f t="shared" si="31"/>
        <v>816411.92640000011</v>
      </c>
      <c r="V708" s="135" t="str">
        <f>VLOOKUP(K708,Sheet1!$B$5:$C$131,2,0)</f>
        <v>DYESTUFF</v>
      </c>
      <c r="W708" s="181">
        <f t="shared" si="32"/>
        <v>1.414E-2</v>
      </c>
    </row>
    <row r="709" spans="1:23" s="139" customFormat="1">
      <c r="A709" s="146" t="s">
        <v>528</v>
      </c>
      <c r="B709" s="147" t="s">
        <v>529</v>
      </c>
      <c r="C709" s="146" t="s">
        <v>137</v>
      </c>
      <c r="D709" s="146" t="s">
        <v>138</v>
      </c>
      <c r="E709" s="146" t="s">
        <v>139</v>
      </c>
      <c r="F709" s="146" t="s">
        <v>140</v>
      </c>
      <c r="G709" s="148" t="s">
        <v>303</v>
      </c>
      <c r="H709" s="146">
        <v>0</v>
      </c>
      <c r="I709" s="146">
        <v>21</v>
      </c>
      <c r="J709" s="146" t="s">
        <v>145</v>
      </c>
      <c r="K709" s="146" t="s">
        <v>27</v>
      </c>
      <c r="L709" s="148" t="s">
        <v>3</v>
      </c>
      <c r="M709" s="146" t="s">
        <v>142</v>
      </c>
      <c r="N709" s="149">
        <v>1000</v>
      </c>
      <c r="O709" s="152">
        <f>SUMIF('GUDANG BESAR'!C:C,K:K,'GUDANG BESAR'!I:I)</f>
        <v>71148</v>
      </c>
      <c r="P709" s="153">
        <f>SUMIF('GUDANG BESAR'!C:C,K:K,'GUDANG BESAR'!K:K)</f>
        <v>78974.28</v>
      </c>
      <c r="Q709" s="150">
        <v>6.3E-2</v>
      </c>
      <c r="R709" s="149">
        <v>0</v>
      </c>
      <c r="S709" s="149">
        <v>63</v>
      </c>
      <c r="T709" s="145">
        <f t="shared" si="30"/>
        <v>4482.3239999999996</v>
      </c>
      <c r="U709" s="145">
        <f t="shared" si="31"/>
        <v>4975.3796400000001</v>
      </c>
      <c r="V709" s="135" t="str">
        <f>VLOOKUP(K709,Sheet1!$B$5:$C$131,2,0)</f>
        <v>DYESTUFF</v>
      </c>
      <c r="W709" s="181">
        <f t="shared" si="32"/>
        <v>6.3E-5</v>
      </c>
    </row>
    <row r="710" spans="1:23" s="139" customFormat="1">
      <c r="A710" s="146" t="s">
        <v>528</v>
      </c>
      <c r="B710" s="147" t="s">
        <v>529</v>
      </c>
      <c r="C710" s="146" t="s">
        <v>137</v>
      </c>
      <c r="D710" s="146" t="s">
        <v>138</v>
      </c>
      <c r="E710" s="146" t="s">
        <v>139</v>
      </c>
      <c r="F710" s="146" t="s">
        <v>140</v>
      </c>
      <c r="G710" s="148" t="s">
        <v>301</v>
      </c>
      <c r="H710" s="146">
        <v>0</v>
      </c>
      <c r="I710" s="146">
        <v>23</v>
      </c>
      <c r="J710" s="146" t="s">
        <v>173</v>
      </c>
      <c r="K710" s="146" t="s">
        <v>9</v>
      </c>
      <c r="L710" s="148" t="s">
        <v>3</v>
      </c>
      <c r="M710" s="146" t="s">
        <v>142</v>
      </c>
      <c r="N710" s="149">
        <v>1000</v>
      </c>
      <c r="O710" s="152">
        <f>SUMIF('GUDANG BESAR'!C:C,K:K,'GUDANG BESAR'!I:I)</f>
        <v>294030</v>
      </c>
      <c r="P710" s="153">
        <f>SUMIF('GUDANG BESAR'!C:C,K:K,'GUDANG BESAR'!K:K)</f>
        <v>326373.3</v>
      </c>
      <c r="Q710" s="150">
        <v>1.097</v>
      </c>
      <c r="R710" s="149">
        <v>1</v>
      </c>
      <c r="S710" s="149">
        <v>97</v>
      </c>
      <c r="T710" s="145">
        <f t="shared" ref="T710:T753" si="33">O710*Q710</f>
        <v>322550.90999999997</v>
      </c>
      <c r="U710" s="145">
        <f t="shared" ref="U710:U753" si="34">P710*Q710</f>
        <v>358031.51009999996</v>
      </c>
      <c r="V710" s="135" t="str">
        <f>VLOOKUP(K710,Sheet1!$B$5:$C$131,2,0)</f>
        <v>DYEING</v>
      </c>
      <c r="W710" s="181">
        <f t="shared" ref="W710:W753" si="35">Q710/$W$5</f>
        <v>1.0969999999999999E-3</v>
      </c>
    </row>
    <row r="711" spans="1:23" s="139" customFormat="1">
      <c r="A711" s="146" t="s">
        <v>528</v>
      </c>
      <c r="B711" s="147" t="s">
        <v>529</v>
      </c>
      <c r="C711" s="146" t="s">
        <v>137</v>
      </c>
      <c r="D711" s="146" t="s">
        <v>138</v>
      </c>
      <c r="E711" s="146" t="s">
        <v>139</v>
      </c>
      <c r="F711" s="146" t="s">
        <v>140</v>
      </c>
      <c r="G711" s="148" t="s">
        <v>303</v>
      </c>
      <c r="H711" s="146">
        <v>0</v>
      </c>
      <c r="I711" s="146">
        <v>22</v>
      </c>
      <c r="J711" s="146" t="s">
        <v>289</v>
      </c>
      <c r="K711" s="146" t="s">
        <v>255</v>
      </c>
      <c r="L711" s="148" t="s">
        <v>3</v>
      </c>
      <c r="M711" s="146" t="s">
        <v>142</v>
      </c>
      <c r="N711" s="149">
        <v>1000</v>
      </c>
      <c r="O711" s="152">
        <f>SUMIF('GUDANG BESAR'!C:C,K:K,'GUDANG BESAR'!I:I)</f>
        <v>195336</v>
      </c>
      <c r="P711" s="153">
        <f>SUMIF('GUDANG BESAR'!C:C,K:K,'GUDANG BESAR'!K:K)</f>
        <v>216822.96</v>
      </c>
      <c r="Q711" s="150">
        <v>3.5999999999999997E-2</v>
      </c>
      <c r="R711" s="149">
        <v>0</v>
      </c>
      <c r="S711" s="149">
        <v>36</v>
      </c>
      <c r="T711" s="145">
        <f t="shared" si="33"/>
        <v>7032.0959999999995</v>
      </c>
      <c r="U711" s="145">
        <f t="shared" si="34"/>
        <v>7805.6265599999988</v>
      </c>
      <c r="V711" s="135" t="str">
        <f>VLOOKUP(K711,Sheet1!$B$5:$C$131,2,0)</f>
        <v>DYESTUFF</v>
      </c>
      <c r="W711" s="181">
        <f t="shared" si="35"/>
        <v>3.5999999999999994E-5</v>
      </c>
    </row>
    <row r="712" spans="1:23" s="139" customFormat="1">
      <c r="A712" s="146" t="s">
        <v>528</v>
      </c>
      <c r="B712" s="147" t="s">
        <v>529</v>
      </c>
      <c r="C712" s="146" t="s">
        <v>137</v>
      </c>
      <c r="D712" s="146" t="s">
        <v>138</v>
      </c>
      <c r="E712" s="146" t="s">
        <v>139</v>
      </c>
      <c r="F712" s="146" t="s">
        <v>140</v>
      </c>
      <c r="G712" s="148" t="s">
        <v>303</v>
      </c>
      <c r="H712" s="146">
        <v>0</v>
      </c>
      <c r="I712" s="146">
        <v>24</v>
      </c>
      <c r="J712" s="146" t="s">
        <v>171</v>
      </c>
      <c r="K712" s="146" t="s">
        <v>102</v>
      </c>
      <c r="L712" s="148" t="s">
        <v>3</v>
      </c>
      <c r="M712" s="146" t="s">
        <v>142</v>
      </c>
      <c r="N712" s="149">
        <v>1000</v>
      </c>
      <c r="O712" s="152">
        <f>SUMIF('GUDANG BESAR'!C:C,K:K,'GUDANG BESAR'!I:I)</f>
        <v>385283</v>
      </c>
      <c r="P712" s="153">
        <f>SUMIF('GUDANG BESAR'!C:C,K:K,'GUDANG BESAR'!K:K)</f>
        <v>427664.13</v>
      </c>
      <c r="Q712" s="150">
        <v>1.7000000000000001E-2</v>
      </c>
      <c r="R712" s="149">
        <v>0</v>
      </c>
      <c r="S712" s="149">
        <v>17</v>
      </c>
      <c r="T712" s="145">
        <f t="shared" si="33"/>
        <v>6549.8110000000006</v>
      </c>
      <c r="U712" s="145">
        <f t="shared" si="34"/>
        <v>7270.290210000001</v>
      </c>
      <c r="V712" s="135" t="str">
        <f>VLOOKUP(K712,Sheet1!$B$5:$C$131,2,0)</f>
        <v>DYESTUFF</v>
      </c>
      <c r="W712" s="181">
        <f t="shared" si="35"/>
        <v>1.7E-5</v>
      </c>
    </row>
    <row r="713" spans="1:23" s="139" customFormat="1">
      <c r="A713" s="146" t="s">
        <v>528</v>
      </c>
      <c r="B713" s="147" t="s">
        <v>529</v>
      </c>
      <c r="C713" s="146" t="s">
        <v>137</v>
      </c>
      <c r="D713" s="146" t="s">
        <v>138</v>
      </c>
      <c r="E713" s="146" t="s">
        <v>139</v>
      </c>
      <c r="F713" s="146" t="s">
        <v>140</v>
      </c>
      <c r="G713" s="148" t="s">
        <v>303</v>
      </c>
      <c r="H713" s="146">
        <v>0</v>
      </c>
      <c r="I713" s="146">
        <v>25</v>
      </c>
      <c r="J713" s="146" t="s">
        <v>146</v>
      </c>
      <c r="K713" s="146" t="s">
        <v>46</v>
      </c>
      <c r="L713" s="148" t="s">
        <v>3</v>
      </c>
      <c r="M713" s="146" t="s">
        <v>142</v>
      </c>
      <c r="N713" s="149">
        <v>1000</v>
      </c>
      <c r="O713" s="152">
        <f>SUMIF('GUDANG BESAR'!C:C,K:K,'GUDANG BESAR'!I:I)</f>
        <v>100812</v>
      </c>
      <c r="P713" s="153">
        <f>SUMIF('GUDANG BESAR'!C:C,K:K,'GUDANG BESAR'!K:K)</f>
        <v>111901.32</v>
      </c>
      <c r="Q713" s="150">
        <v>9.0999999999999998E-2</v>
      </c>
      <c r="R713" s="149">
        <v>0</v>
      </c>
      <c r="S713" s="149">
        <v>91</v>
      </c>
      <c r="T713" s="145">
        <f t="shared" si="33"/>
        <v>9173.8919999999998</v>
      </c>
      <c r="U713" s="145">
        <f t="shared" si="34"/>
        <v>10183.020120000001</v>
      </c>
      <c r="V713" s="135" t="str">
        <f>VLOOKUP(K713,Sheet1!$B$5:$C$131,2,0)</f>
        <v>DYESTUFF</v>
      </c>
      <c r="W713" s="181">
        <f t="shared" si="35"/>
        <v>9.1000000000000003E-5</v>
      </c>
    </row>
    <row r="714" spans="1:23" s="139" customFormat="1">
      <c r="A714" s="146" t="s">
        <v>528</v>
      </c>
      <c r="B714" s="147" t="s">
        <v>529</v>
      </c>
      <c r="C714" s="146" t="s">
        <v>137</v>
      </c>
      <c r="D714" s="146" t="s">
        <v>138</v>
      </c>
      <c r="E714" s="146" t="s">
        <v>139</v>
      </c>
      <c r="F714" s="146" t="s">
        <v>140</v>
      </c>
      <c r="G714" s="148" t="s">
        <v>303</v>
      </c>
      <c r="H714" s="146">
        <v>0</v>
      </c>
      <c r="I714" s="146">
        <v>26</v>
      </c>
      <c r="J714" s="146" t="s">
        <v>170</v>
      </c>
      <c r="K714" s="146" t="s">
        <v>29</v>
      </c>
      <c r="L714" s="148" t="s">
        <v>3</v>
      </c>
      <c r="M714" s="146" t="s">
        <v>142</v>
      </c>
      <c r="N714" s="149">
        <v>1000</v>
      </c>
      <c r="O714" s="152">
        <f>SUMIF('GUDANG BESAR'!C:C,K:K,'GUDANG BESAR'!I:I)</f>
        <v>100590</v>
      </c>
      <c r="P714" s="153">
        <f>SUMIF('GUDANG BESAR'!C:C,K:K,'GUDANG BESAR'!K:K)</f>
        <v>111654.9</v>
      </c>
      <c r="Q714" s="150">
        <v>1.2E-2</v>
      </c>
      <c r="R714" s="149">
        <v>0</v>
      </c>
      <c r="S714" s="149">
        <v>12</v>
      </c>
      <c r="T714" s="145">
        <f t="shared" si="33"/>
        <v>1207.08</v>
      </c>
      <c r="U714" s="145">
        <f t="shared" si="34"/>
        <v>1339.8588</v>
      </c>
      <c r="V714" s="135" t="str">
        <f>VLOOKUP(K714,Sheet1!$B$5:$C$131,2,0)</f>
        <v>DYESTUFF</v>
      </c>
      <c r="W714" s="181">
        <f t="shared" si="35"/>
        <v>1.2E-5</v>
      </c>
    </row>
    <row r="715" spans="1:23" s="139" customFormat="1">
      <c r="A715" s="146" t="s">
        <v>528</v>
      </c>
      <c r="B715" s="147" t="s">
        <v>529</v>
      </c>
      <c r="C715" s="146" t="s">
        <v>137</v>
      </c>
      <c r="D715" s="146" t="s">
        <v>138</v>
      </c>
      <c r="E715" s="146" t="s">
        <v>139</v>
      </c>
      <c r="F715" s="146" t="s">
        <v>140</v>
      </c>
      <c r="G715" s="148" t="s">
        <v>303</v>
      </c>
      <c r="H715" s="146">
        <v>0</v>
      </c>
      <c r="I715" s="146">
        <v>27</v>
      </c>
      <c r="J715" s="146" t="s">
        <v>148</v>
      </c>
      <c r="K715" s="146" t="s">
        <v>30</v>
      </c>
      <c r="L715" s="148" t="s">
        <v>3</v>
      </c>
      <c r="M715" s="146" t="s">
        <v>142</v>
      </c>
      <c r="N715" s="149">
        <v>1000</v>
      </c>
      <c r="O715" s="152">
        <f>SUMIF('GUDANG BESAR'!C:C,K:K,'GUDANG BESAR'!I:I)</f>
        <v>77089.399999999994</v>
      </c>
      <c r="P715" s="153">
        <f>SUMIF('GUDANG BESAR'!C:C,K:K,'GUDANG BESAR'!K:K)</f>
        <v>85569.233999999997</v>
      </c>
      <c r="Q715" s="150">
        <v>8.1829999999999998</v>
      </c>
      <c r="R715" s="149">
        <v>8</v>
      </c>
      <c r="S715" s="149">
        <v>183</v>
      </c>
      <c r="T715" s="145">
        <f t="shared" si="33"/>
        <v>630822.56019999995</v>
      </c>
      <c r="U715" s="145">
        <f t="shared" si="34"/>
        <v>700213.04182199994</v>
      </c>
      <c r="V715" s="135" t="str">
        <f>VLOOKUP(K715,Sheet1!$B$5:$C$131,2,0)</f>
        <v>DYESTUFF</v>
      </c>
      <c r="W715" s="181">
        <f t="shared" si="35"/>
        <v>8.1829999999999993E-3</v>
      </c>
    </row>
    <row r="716" spans="1:23" s="139" customFormat="1">
      <c r="A716" s="146" t="s">
        <v>528</v>
      </c>
      <c r="B716" s="147" t="s">
        <v>529</v>
      </c>
      <c r="C716" s="146" t="s">
        <v>137</v>
      </c>
      <c r="D716" s="146" t="s">
        <v>138</v>
      </c>
      <c r="E716" s="146" t="s">
        <v>139</v>
      </c>
      <c r="F716" s="146" t="s">
        <v>153</v>
      </c>
      <c r="G716" s="148" t="s">
        <v>301</v>
      </c>
      <c r="H716" s="146">
        <v>0</v>
      </c>
      <c r="I716" s="146">
        <v>28</v>
      </c>
      <c r="J716" s="146" t="s">
        <v>174</v>
      </c>
      <c r="K716" s="146" t="s">
        <v>13</v>
      </c>
      <c r="L716" s="148" t="s">
        <v>3</v>
      </c>
      <c r="M716" s="146" t="s">
        <v>142</v>
      </c>
      <c r="N716" s="149">
        <v>1000</v>
      </c>
      <c r="O716" s="152">
        <f>SUMIF('GUDANG BESAR'!C:C,K:K,'GUDANG BESAR'!I:I)</f>
        <v>262320</v>
      </c>
      <c r="P716" s="153">
        <f>SUMIF('GUDANG BESAR'!C:C,K:K,'GUDANG BESAR'!K:K)</f>
        <v>291175.2</v>
      </c>
      <c r="Q716" s="150">
        <v>1.8149999999999999</v>
      </c>
      <c r="R716" s="149">
        <v>1</v>
      </c>
      <c r="S716" s="149">
        <v>815</v>
      </c>
      <c r="T716" s="145">
        <f t="shared" si="33"/>
        <v>476110.8</v>
      </c>
      <c r="U716" s="145">
        <f t="shared" si="34"/>
        <v>528482.98800000001</v>
      </c>
      <c r="V716" s="135" t="str">
        <f>VLOOKUP(K716,Sheet1!$B$5:$C$131,2,0)</f>
        <v>DYEING</v>
      </c>
      <c r="W716" s="181">
        <f t="shared" si="35"/>
        <v>1.815E-3</v>
      </c>
    </row>
    <row r="717" spans="1:23" s="139" customFormat="1">
      <c r="A717" s="146" t="s">
        <v>528</v>
      </c>
      <c r="B717" s="147" t="s">
        <v>529</v>
      </c>
      <c r="C717" s="146" t="s">
        <v>137</v>
      </c>
      <c r="D717" s="146" t="s">
        <v>138</v>
      </c>
      <c r="E717" s="146" t="s">
        <v>139</v>
      </c>
      <c r="F717" s="146" t="s">
        <v>153</v>
      </c>
      <c r="G717" s="148" t="s">
        <v>301</v>
      </c>
      <c r="H717" s="146">
        <v>0</v>
      </c>
      <c r="I717" s="146">
        <v>2</v>
      </c>
      <c r="J717" s="146" t="s">
        <v>495</v>
      </c>
      <c r="K717" s="146" t="s">
        <v>43</v>
      </c>
      <c r="L717" s="148" t="s">
        <v>3</v>
      </c>
      <c r="M717" s="146" t="s">
        <v>142</v>
      </c>
      <c r="N717" s="149">
        <v>1000</v>
      </c>
      <c r="O717" s="152">
        <f>SUMIF('GUDANG BESAR'!C:C,K:K,'GUDANG BESAR'!I:I)</f>
        <v>11500</v>
      </c>
      <c r="P717" s="153">
        <f>SUMIF('GUDANG BESAR'!C:C,K:K,'GUDANG BESAR'!K:K)</f>
        <v>12765</v>
      </c>
      <c r="Q717" s="150">
        <v>12</v>
      </c>
      <c r="R717" s="149">
        <v>12</v>
      </c>
      <c r="S717" s="149">
        <v>0</v>
      </c>
      <c r="T717" s="145">
        <f t="shared" si="33"/>
        <v>138000</v>
      </c>
      <c r="U717" s="145">
        <f t="shared" si="34"/>
        <v>153180</v>
      </c>
      <c r="V717" s="135" t="str">
        <f>VLOOKUP(K717,Sheet1!$B$5:$C$131,2,0)</f>
        <v>DYEING</v>
      </c>
      <c r="W717" s="181">
        <f t="shared" si="35"/>
        <v>1.2E-2</v>
      </c>
    </row>
    <row r="718" spans="1:23" s="139" customFormat="1">
      <c r="A718" s="146" t="s">
        <v>528</v>
      </c>
      <c r="B718" s="147" t="s">
        <v>529</v>
      </c>
      <c r="C718" s="146" t="s">
        <v>137</v>
      </c>
      <c r="D718" s="146" t="s">
        <v>138</v>
      </c>
      <c r="E718" s="146" t="s">
        <v>139</v>
      </c>
      <c r="F718" s="146" t="s">
        <v>153</v>
      </c>
      <c r="G718" s="148" t="s">
        <v>767</v>
      </c>
      <c r="H718" s="146">
        <v>0</v>
      </c>
      <c r="I718" s="146">
        <v>3</v>
      </c>
      <c r="J718" s="146" t="s">
        <v>530</v>
      </c>
      <c r="K718" s="146" t="s">
        <v>457</v>
      </c>
      <c r="L718" s="148" t="s">
        <v>3</v>
      </c>
      <c r="M718" s="146" t="s">
        <v>142</v>
      </c>
      <c r="N718" s="149">
        <v>1000</v>
      </c>
      <c r="O718" s="152">
        <f>SUMIF('GUDANG BESAR'!C:C,K:K,'GUDANG BESAR'!I:I)</f>
        <v>57500</v>
      </c>
      <c r="P718" s="153">
        <f>SUMIF('GUDANG BESAR'!C:C,K:K,'GUDANG BESAR'!K:K)</f>
        <v>63825</v>
      </c>
      <c r="Q718" s="150">
        <v>25</v>
      </c>
      <c r="R718" s="149">
        <v>25</v>
      </c>
      <c r="S718" s="149">
        <v>0</v>
      </c>
      <c r="T718" s="145">
        <f t="shared" si="33"/>
        <v>1437500</v>
      </c>
      <c r="U718" s="145">
        <f t="shared" si="34"/>
        <v>1595625</v>
      </c>
      <c r="V718" s="135" t="e">
        <f>VLOOKUP(K718,Sheet1!$B$5:$C$131,2,0)</f>
        <v>#N/A</v>
      </c>
      <c r="W718" s="181">
        <f t="shared" si="35"/>
        <v>2.5000000000000001E-2</v>
      </c>
    </row>
    <row r="719" spans="1:23" s="139" customFormat="1">
      <c r="A719" s="146" t="s">
        <v>528</v>
      </c>
      <c r="B719" s="147" t="s">
        <v>529</v>
      </c>
      <c r="C719" s="146" t="s">
        <v>137</v>
      </c>
      <c r="D719" s="146" t="s">
        <v>138</v>
      </c>
      <c r="E719" s="146" t="s">
        <v>139</v>
      </c>
      <c r="F719" s="146" t="s">
        <v>153</v>
      </c>
      <c r="G719" s="148" t="s">
        <v>301</v>
      </c>
      <c r="H719" s="146">
        <v>0</v>
      </c>
      <c r="I719" s="146">
        <v>4</v>
      </c>
      <c r="J719" s="146" t="s">
        <v>344</v>
      </c>
      <c r="K719" s="146" t="s">
        <v>15</v>
      </c>
      <c r="L719" s="148" t="s">
        <v>3</v>
      </c>
      <c r="M719" s="146" t="s">
        <v>142</v>
      </c>
      <c r="N719" s="149">
        <v>1000</v>
      </c>
      <c r="O719" s="152">
        <f>SUMIF('GUDANG BESAR'!C:C,K:K,'GUDANG BESAR'!I:I)</f>
        <v>33646</v>
      </c>
      <c r="P719" s="153">
        <f>SUMIF('GUDANG BESAR'!C:C,K:K,'GUDANG BESAR'!K:K)</f>
        <v>37347.06</v>
      </c>
      <c r="Q719" s="150">
        <v>2</v>
      </c>
      <c r="R719" s="149">
        <v>2</v>
      </c>
      <c r="S719" s="149">
        <v>0</v>
      </c>
      <c r="T719" s="145">
        <f t="shared" si="33"/>
        <v>67292</v>
      </c>
      <c r="U719" s="145">
        <f t="shared" si="34"/>
        <v>74694.12</v>
      </c>
      <c r="V719" s="135" t="str">
        <f>VLOOKUP(K719,Sheet1!$B$5:$C$131,2,0)</f>
        <v>DYEING</v>
      </c>
      <c r="W719" s="181">
        <f t="shared" si="35"/>
        <v>2E-3</v>
      </c>
    </row>
    <row r="720" spans="1:23" s="139" customFormat="1">
      <c r="A720" s="146" t="s">
        <v>528</v>
      </c>
      <c r="B720" s="147" t="s">
        <v>529</v>
      </c>
      <c r="C720" s="146" t="s">
        <v>137</v>
      </c>
      <c r="D720" s="146" t="s">
        <v>138</v>
      </c>
      <c r="E720" s="146" t="s">
        <v>139</v>
      </c>
      <c r="F720" s="146" t="s">
        <v>156</v>
      </c>
      <c r="G720" s="148" t="s">
        <v>337</v>
      </c>
      <c r="H720" s="146">
        <v>0</v>
      </c>
      <c r="I720" s="146">
        <v>30</v>
      </c>
      <c r="J720" s="146" t="s">
        <v>373</v>
      </c>
      <c r="K720" s="146" t="s">
        <v>35</v>
      </c>
      <c r="L720" s="148" t="s">
        <v>3</v>
      </c>
      <c r="M720" s="146" t="s">
        <v>142</v>
      </c>
      <c r="N720" s="149">
        <v>1000</v>
      </c>
      <c r="O720" s="152">
        <f>SUMIF('GUDANG BESAR'!C:C,K:K,'GUDANG BESAR'!I:I)</f>
        <v>115000</v>
      </c>
      <c r="P720" s="153">
        <f>SUMIF('GUDANG BESAR'!C:C,K:K,'GUDANG BESAR'!K:K)</f>
        <v>127650</v>
      </c>
      <c r="Q720" s="150">
        <v>3</v>
      </c>
      <c r="R720" s="149">
        <v>3</v>
      </c>
      <c r="S720" s="149">
        <v>0</v>
      </c>
      <c r="T720" s="145">
        <f t="shared" si="33"/>
        <v>345000</v>
      </c>
      <c r="U720" s="145">
        <f t="shared" si="34"/>
        <v>382950</v>
      </c>
      <c r="V720" s="135" t="str">
        <f>VLOOKUP(K720,Sheet1!$B$5:$C$131,2,0)</f>
        <v>CHEMICAL PRINTING</v>
      </c>
      <c r="W720" s="181">
        <f t="shared" si="35"/>
        <v>3.0000000000000001E-3</v>
      </c>
    </row>
    <row r="721" spans="1:23" s="139" customFormat="1">
      <c r="A721" s="146" t="s">
        <v>528</v>
      </c>
      <c r="B721" s="147" t="s">
        <v>529</v>
      </c>
      <c r="C721" s="146" t="s">
        <v>137</v>
      </c>
      <c r="D721" s="146" t="s">
        <v>138</v>
      </c>
      <c r="E721" s="146" t="s">
        <v>139</v>
      </c>
      <c r="F721" s="146" t="s">
        <v>140</v>
      </c>
      <c r="G721" s="148" t="s">
        <v>300</v>
      </c>
      <c r="H721" s="146">
        <v>0</v>
      </c>
      <c r="I721" s="146">
        <v>29</v>
      </c>
      <c r="J721" s="146" t="s">
        <v>314</v>
      </c>
      <c r="K721" s="146" t="s">
        <v>281</v>
      </c>
      <c r="L721" s="148" t="s">
        <v>3</v>
      </c>
      <c r="M721" s="146" t="s">
        <v>142</v>
      </c>
      <c r="N721" s="149">
        <v>1000</v>
      </c>
      <c r="O721" s="152">
        <f>SUMIF('GUDANG BESAR'!C:C,K:K,'GUDANG BESAR'!I:I)</f>
        <v>23590.51</v>
      </c>
      <c r="P721" s="153">
        <f>SUMIF('GUDANG BESAR'!C:C,K:K,'GUDANG BESAR'!K:K)</f>
        <v>26185.466099999998</v>
      </c>
      <c r="Q721" s="150">
        <v>240</v>
      </c>
      <c r="R721" s="149">
        <v>240</v>
      </c>
      <c r="S721" s="149">
        <v>0</v>
      </c>
      <c r="T721" s="145">
        <f t="shared" si="33"/>
        <v>5661722.3999999994</v>
      </c>
      <c r="U721" s="145">
        <f t="shared" si="34"/>
        <v>6284511.8639999991</v>
      </c>
      <c r="V721" s="135" t="str">
        <f>VLOOKUP(K721,Sheet1!$B$5:$C$131,2,0)</f>
        <v>CK</v>
      </c>
      <c r="W721" s="181">
        <f t="shared" si="35"/>
        <v>0.24</v>
      </c>
    </row>
    <row r="722" spans="1:23" s="139" customFormat="1">
      <c r="A722" s="146" t="s">
        <v>528</v>
      </c>
      <c r="B722" s="147" t="s">
        <v>529</v>
      </c>
      <c r="C722" s="146" t="s">
        <v>137</v>
      </c>
      <c r="D722" s="146" t="s">
        <v>138</v>
      </c>
      <c r="E722" s="146" t="s">
        <v>139</v>
      </c>
      <c r="F722" s="146" t="s">
        <v>140</v>
      </c>
      <c r="G722" s="148" t="s">
        <v>300</v>
      </c>
      <c r="H722" s="146">
        <v>0</v>
      </c>
      <c r="I722" s="146">
        <v>5</v>
      </c>
      <c r="J722" s="146" t="s">
        <v>150</v>
      </c>
      <c r="K722" s="146" t="s">
        <v>32</v>
      </c>
      <c r="L722" s="148" t="s">
        <v>3</v>
      </c>
      <c r="M722" s="146" t="s">
        <v>142</v>
      </c>
      <c r="N722" s="149">
        <v>1000</v>
      </c>
      <c r="O722" s="152">
        <f>SUMIF('GUDANG BESAR'!C:C,K:K,'GUDANG BESAR'!I:I)</f>
        <v>15500</v>
      </c>
      <c r="P722" s="153">
        <f>SUMIF('GUDANG BESAR'!C:C,K:K,'GUDANG BESAR'!K:K)</f>
        <v>17205</v>
      </c>
      <c r="Q722" s="150">
        <v>9</v>
      </c>
      <c r="R722" s="149">
        <v>9</v>
      </c>
      <c r="S722" s="149">
        <v>0</v>
      </c>
      <c r="T722" s="145">
        <f t="shared" si="33"/>
        <v>139500</v>
      </c>
      <c r="U722" s="145">
        <f t="shared" si="34"/>
        <v>154845</v>
      </c>
      <c r="V722" s="135" t="str">
        <f>VLOOKUP(K722,Sheet1!$B$5:$C$131,2,0)</f>
        <v>CK</v>
      </c>
      <c r="W722" s="181">
        <f t="shared" si="35"/>
        <v>8.9999999999999993E-3</v>
      </c>
    </row>
    <row r="723" spans="1:23" s="139" customFormat="1">
      <c r="A723" s="146" t="s">
        <v>528</v>
      </c>
      <c r="B723" s="147" t="s">
        <v>529</v>
      </c>
      <c r="C723" s="146" t="s">
        <v>137</v>
      </c>
      <c r="D723" s="146" t="s">
        <v>138</v>
      </c>
      <c r="E723" s="146" t="s">
        <v>139</v>
      </c>
      <c r="F723" s="146" t="s">
        <v>153</v>
      </c>
      <c r="G723" s="148" t="s">
        <v>301</v>
      </c>
      <c r="H723" s="146">
        <v>0</v>
      </c>
      <c r="I723" s="146">
        <v>31</v>
      </c>
      <c r="J723" s="146" t="s">
        <v>317</v>
      </c>
      <c r="K723" s="146" t="s">
        <v>17</v>
      </c>
      <c r="L723" s="148" t="s">
        <v>3</v>
      </c>
      <c r="M723" s="146" t="s">
        <v>142</v>
      </c>
      <c r="N723" s="149">
        <v>1000</v>
      </c>
      <c r="O723" s="152">
        <f>SUMIF('GUDANG BESAR'!C:C,K:K,'GUDANG BESAR'!I:I)</f>
        <v>25269.5</v>
      </c>
      <c r="P723" s="153">
        <f>SUMIF('GUDANG BESAR'!C:C,K:K,'GUDANG BESAR'!K:K)</f>
        <v>28049.145</v>
      </c>
      <c r="Q723" s="150">
        <v>28</v>
      </c>
      <c r="R723" s="149">
        <v>28</v>
      </c>
      <c r="S723" s="149">
        <v>0</v>
      </c>
      <c r="T723" s="145">
        <f t="shared" si="33"/>
        <v>707546</v>
      </c>
      <c r="U723" s="145">
        <f t="shared" si="34"/>
        <v>785376.06</v>
      </c>
      <c r="V723" s="135" t="str">
        <f>VLOOKUP(K723,Sheet1!$B$5:$C$131,2,0)</f>
        <v>DYEING</v>
      </c>
      <c r="W723" s="181">
        <f t="shared" si="35"/>
        <v>2.8000000000000001E-2</v>
      </c>
    </row>
    <row r="724" spans="1:23" s="139" customFormat="1">
      <c r="A724" s="146" t="s">
        <v>528</v>
      </c>
      <c r="B724" s="147" t="s">
        <v>529</v>
      </c>
      <c r="C724" s="146" t="s">
        <v>137</v>
      </c>
      <c r="D724" s="146" t="s">
        <v>138</v>
      </c>
      <c r="E724" s="146" t="s">
        <v>139</v>
      </c>
      <c r="F724" s="146" t="s">
        <v>156</v>
      </c>
      <c r="G724" s="148" t="s">
        <v>337</v>
      </c>
      <c r="H724" s="146">
        <v>0</v>
      </c>
      <c r="I724" s="146">
        <v>6</v>
      </c>
      <c r="J724" s="146" t="s">
        <v>374</v>
      </c>
      <c r="K724" s="146" t="s">
        <v>44</v>
      </c>
      <c r="L724" s="148" t="s">
        <v>3</v>
      </c>
      <c r="M724" s="146" t="s">
        <v>142</v>
      </c>
      <c r="N724" s="149">
        <v>1000</v>
      </c>
      <c r="O724" s="152">
        <f>SUMIF('GUDANG BESAR'!C:C,K:K,'GUDANG BESAR'!I:I)</f>
        <v>201876</v>
      </c>
      <c r="P724" s="153">
        <f>SUMIF('GUDANG BESAR'!C:C,K:K,'GUDANG BESAR'!K:K)</f>
        <v>224082.36</v>
      </c>
      <c r="Q724" s="150">
        <v>4</v>
      </c>
      <c r="R724" s="149">
        <v>4</v>
      </c>
      <c r="S724" s="149">
        <v>0</v>
      </c>
      <c r="T724" s="145">
        <f t="shared" si="33"/>
        <v>807504</v>
      </c>
      <c r="U724" s="145">
        <f t="shared" si="34"/>
        <v>896329.44</v>
      </c>
      <c r="V724" s="135" t="str">
        <f>VLOOKUP(K724,Sheet1!$B$5:$C$131,2,0)</f>
        <v>CHEMICAL PRINTING</v>
      </c>
      <c r="W724" s="181">
        <f t="shared" si="35"/>
        <v>4.0000000000000001E-3</v>
      </c>
    </row>
    <row r="725" spans="1:23" s="139" customFormat="1">
      <c r="A725" s="146" t="s">
        <v>528</v>
      </c>
      <c r="B725" s="147" t="s">
        <v>529</v>
      </c>
      <c r="C725" s="146" t="s">
        <v>137</v>
      </c>
      <c r="D725" s="146" t="s">
        <v>138</v>
      </c>
      <c r="E725" s="146" t="s">
        <v>139</v>
      </c>
      <c r="F725" s="146" t="s">
        <v>140</v>
      </c>
      <c r="G725" s="148" t="s">
        <v>300</v>
      </c>
      <c r="H725" s="146">
        <v>0</v>
      </c>
      <c r="I725" s="146">
        <v>32</v>
      </c>
      <c r="J725" s="146" t="s">
        <v>152</v>
      </c>
      <c r="K725" s="146" t="s">
        <v>57</v>
      </c>
      <c r="L725" s="148" t="s">
        <v>3</v>
      </c>
      <c r="M725" s="146" t="s">
        <v>142</v>
      </c>
      <c r="N725" s="149">
        <v>1000</v>
      </c>
      <c r="O725" s="152">
        <f>SUMIF('GUDANG BESAR'!C:C,K:K,'GUDANG BESAR'!I:I)</f>
        <v>21870</v>
      </c>
      <c r="P725" s="153">
        <f>SUMIF('GUDANG BESAR'!C:C,K:K,'GUDANG BESAR'!K:K)</f>
        <v>24275.7</v>
      </c>
      <c r="Q725" s="150">
        <v>25</v>
      </c>
      <c r="R725" s="149">
        <v>25</v>
      </c>
      <c r="S725" s="149">
        <v>0</v>
      </c>
      <c r="T725" s="145">
        <f t="shared" si="33"/>
        <v>546750</v>
      </c>
      <c r="U725" s="145">
        <f t="shared" si="34"/>
        <v>606892.5</v>
      </c>
      <c r="V725" s="135" t="str">
        <f>VLOOKUP(K725,Sheet1!$B$5:$C$131,2,0)</f>
        <v>CK</v>
      </c>
      <c r="W725" s="181">
        <f t="shared" si="35"/>
        <v>2.5000000000000001E-2</v>
      </c>
    </row>
    <row r="726" spans="1:23" s="139" customFormat="1">
      <c r="A726" s="146" t="s">
        <v>528</v>
      </c>
      <c r="B726" s="147" t="s">
        <v>529</v>
      </c>
      <c r="C726" s="146" t="s">
        <v>137</v>
      </c>
      <c r="D726" s="146" t="s">
        <v>138</v>
      </c>
      <c r="E726" s="146" t="s">
        <v>139</v>
      </c>
      <c r="F726" s="146" t="s">
        <v>162</v>
      </c>
      <c r="G726" s="148" t="s">
        <v>214</v>
      </c>
      <c r="H726" s="146">
        <v>0</v>
      </c>
      <c r="I726" s="146">
        <v>33</v>
      </c>
      <c r="J726" s="146" t="s">
        <v>263</v>
      </c>
      <c r="K726" s="146" t="s">
        <v>259</v>
      </c>
      <c r="L726" s="148" t="s">
        <v>3</v>
      </c>
      <c r="M726" s="146" t="s">
        <v>142</v>
      </c>
      <c r="N726" s="149">
        <v>1000</v>
      </c>
      <c r="O726" s="152">
        <f>SUMIF('GUDANG BESAR'!C:C,K:K,'GUDANG BESAR'!I:I)</f>
        <v>47500</v>
      </c>
      <c r="P726" s="153">
        <f>SUMIF('GUDANG BESAR'!C:C,K:K,'GUDANG BESAR'!K:K)</f>
        <v>52725</v>
      </c>
      <c r="Q726" s="150">
        <v>25</v>
      </c>
      <c r="R726" s="149">
        <v>25</v>
      </c>
      <c r="S726" s="149">
        <v>0</v>
      </c>
      <c r="T726" s="145">
        <f t="shared" si="33"/>
        <v>1187500</v>
      </c>
      <c r="U726" s="145">
        <f t="shared" si="34"/>
        <v>1318125</v>
      </c>
      <c r="V726" s="135" t="str">
        <f>VLOOKUP(K726,Sheet1!$B$5:$C$131,2,0)</f>
        <v>LIMBAH</v>
      </c>
      <c r="W726" s="181">
        <f t="shared" si="35"/>
        <v>2.5000000000000001E-2</v>
      </c>
    </row>
    <row r="727" spans="1:23" s="139" customFormat="1">
      <c r="A727" s="146" t="s">
        <v>528</v>
      </c>
      <c r="B727" s="147" t="s">
        <v>529</v>
      </c>
      <c r="C727" s="146" t="s">
        <v>137</v>
      </c>
      <c r="D727" s="146" t="s">
        <v>138</v>
      </c>
      <c r="E727" s="146" t="s">
        <v>139</v>
      </c>
      <c r="F727" s="146" t="s">
        <v>153</v>
      </c>
      <c r="G727" s="148" t="s">
        <v>301</v>
      </c>
      <c r="H727" s="146">
        <v>0</v>
      </c>
      <c r="I727" s="146">
        <v>7</v>
      </c>
      <c r="J727" s="146" t="s">
        <v>247</v>
      </c>
      <c r="K727" s="146" t="s">
        <v>79</v>
      </c>
      <c r="L727" s="148" t="s">
        <v>3</v>
      </c>
      <c r="M727" s="146" t="s">
        <v>142</v>
      </c>
      <c r="N727" s="149">
        <v>1000</v>
      </c>
      <c r="O727" s="152">
        <f>SUMIF('GUDANG BESAR'!C:C,K:K,'GUDANG BESAR'!I:I)</f>
        <v>21203</v>
      </c>
      <c r="P727" s="153">
        <f>SUMIF('GUDANG BESAR'!C:C,K:K,'GUDANG BESAR'!K:K)</f>
        <v>23535.33</v>
      </c>
      <c r="Q727" s="150">
        <v>10</v>
      </c>
      <c r="R727" s="149">
        <v>10</v>
      </c>
      <c r="S727" s="149">
        <v>0</v>
      </c>
      <c r="T727" s="145">
        <f t="shared" si="33"/>
        <v>212030</v>
      </c>
      <c r="U727" s="145">
        <f t="shared" si="34"/>
        <v>235353.30000000002</v>
      </c>
      <c r="V727" s="135" t="str">
        <f>VLOOKUP(K727,Sheet1!$B$5:$C$131,2,0)</f>
        <v>DYEING</v>
      </c>
      <c r="W727" s="181">
        <f t="shared" si="35"/>
        <v>0.01</v>
      </c>
    </row>
    <row r="728" spans="1:23" s="139" customFormat="1">
      <c r="A728" s="146" t="s">
        <v>731</v>
      </c>
      <c r="B728" s="147" t="s">
        <v>732</v>
      </c>
      <c r="C728" s="146" t="s">
        <v>137</v>
      </c>
      <c r="D728" s="146" t="s">
        <v>138</v>
      </c>
      <c r="E728" s="146" t="s">
        <v>139</v>
      </c>
      <c r="F728" s="146" t="s">
        <v>166</v>
      </c>
      <c r="G728" s="148" t="s">
        <v>336</v>
      </c>
      <c r="H728" s="146">
        <v>0</v>
      </c>
      <c r="I728" s="146">
        <v>1</v>
      </c>
      <c r="J728" s="146" t="s">
        <v>319</v>
      </c>
      <c r="K728" s="146" t="s">
        <v>72</v>
      </c>
      <c r="L728" s="148" t="s">
        <v>3</v>
      </c>
      <c r="M728" s="146" t="s">
        <v>142</v>
      </c>
      <c r="N728" s="149">
        <v>1000</v>
      </c>
      <c r="O728" s="152">
        <f>SUMIF('GUDANG BESAR'!C:C,K:K,'GUDANG BESAR'!I:I)</f>
        <v>113890</v>
      </c>
      <c r="P728" s="153">
        <f>SUMIF('GUDANG BESAR'!C:C,K:K,'GUDANG BESAR'!K:K)</f>
        <v>126417.9</v>
      </c>
      <c r="Q728" s="150">
        <v>25</v>
      </c>
      <c r="R728" s="149">
        <v>25</v>
      </c>
      <c r="S728" s="149">
        <v>0</v>
      </c>
      <c r="T728" s="145">
        <f t="shared" si="33"/>
        <v>2847250</v>
      </c>
      <c r="U728" s="145">
        <f t="shared" si="34"/>
        <v>3160447.5</v>
      </c>
      <c r="V728" s="135" t="str">
        <f>VLOOKUP(K728,Sheet1!$B$5:$C$131,2,0)</f>
        <v>ENGGRAVING</v>
      </c>
      <c r="W728" s="181">
        <f t="shared" si="35"/>
        <v>2.5000000000000001E-2</v>
      </c>
    </row>
    <row r="729" spans="1:23" s="139" customFormat="1">
      <c r="A729" s="146" t="s">
        <v>731</v>
      </c>
      <c r="B729" s="147" t="s">
        <v>732</v>
      </c>
      <c r="C729" s="146" t="s">
        <v>137</v>
      </c>
      <c r="D729" s="146" t="s">
        <v>138</v>
      </c>
      <c r="E729" s="146" t="s">
        <v>139</v>
      </c>
      <c r="F729" s="146" t="s">
        <v>140</v>
      </c>
      <c r="G729" s="148" t="s">
        <v>303</v>
      </c>
      <c r="H729" s="146">
        <v>0</v>
      </c>
      <c r="I729" s="146">
        <v>2</v>
      </c>
      <c r="J729" s="146" t="s">
        <v>141</v>
      </c>
      <c r="K729" s="146" t="s">
        <v>37</v>
      </c>
      <c r="L729" s="148" t="s">
        <v>3</v>
      </c>
      <c r="M729" s="146" t="s">
        <v>142</v>
      </c>
      <c r="N729" s="149">
        <v>1000</v>
      </c>
      <c r="O729" s="152">
        <f>SUMIF('GUDANG BESAR'!C:C,K:K,'GUDANG BESAR'!I:I)</f>
        <v>51276</v>
      </c>
      <c r="P729" s="153">
        <f>SUMIF('GUDANG BESAR'!C:C,K:K,'GUDANG BESAR'!K:K)</f>
        <v>56916.36</v>
      </c>
      <c r="Q729" s="150">
        <v>28.837</v>
      </c>
      <c r="R729" s="149">
        <v>28</v>
      </c>
      <c r="S729" s="149">
        <v>837</v>
      </c>
      <c r="T729" s="145">
        <f t="shared" si="33"/>
        <v>1478646.0119999999</v>
      </c>
      <c r="U729" s="145">
        <f t="shared" si="34"/>
        <v>1641297.07332</v>
      </c>
      <c r="V729" s="135" t="str">
        <f>VLOOKUP(K729,Sheet1!$B$5:$C$131,2,0)</f>
        <v>DYESTUFF</v>
      </c>
      <c r="W729" s="181">
        <f t="shared" si="35"/>
        <v>2.8836999999999998E-2</v>
      </c>
    </row>
    <row r="730" spans="1:23" s="139" customFormat="1">
      <c r="A730" s="146" t="s">
        <v>731</v>
      </c>
      <c r="B730" s="147" t="s">
        <v>732</v>
      </c>
      <c r="C730" s="146" t="s">
        <v>137</v>
      </c>
      <c r="D730" s="146" t="s">
        <v>138</v>
      </c>
      <c r="E730" s="146" t="s">
        <v>139</v>
      </c>
      <c r="F730" s="146" t="s">
        <v>140</v>
      </c>
      <c r="G730" s="148" t="s">
        <v>303</v>
      </c>
      <c r="H730" s="146">
        <v>0</v>
      </c>
      <c r="I730" s="146">
        <v>3</v>
      </c>
      <c r="J730" s="146" t="s">
        <v>143</v>
      </c>
      <c r="K730" s="146" t="s">
        <v>90</v>
      </c>
      <c r="L730" s="148" t="s">
        <v>3</v>
      </c>
      <c r="M730" s="146" t="s">
        <v>142</v>
      </c>
      <c r="N730" s="149">
        <v>1000</v>
      </c>
      <c r="O730" s="152">
        <f>SUMIF('GUDANG BESAR'!C:C,K:K,'GUDANG BESAR'!I:I)</f>
        <v>194556</v>
      </c>
      <c r="P730" s="153">
        <f>SUMIF('GUDANG BESAR'!C:C,K:K,'GUDANG BESAR'!K:K)</f>
        <v>215957.16</v>
      </c>
      <c r="Q730" s="150">
        <v>2.88</v>
      </c>
      <c r="R730" s="149">
        <v>2</v>
      </c>
      <c r="S730" s="149">
        <v>880</v>
      </c>
      <c r="T730" s="145">
        <f t="shared" si="33"/>
        <v>560321.28000000003</v>
      </c>
      <c r="U730" s="145">
        <f t="shared" si="34"/>
        <v>621956.62080000003</v>
      </c>
      <c r="V730" s="135" t="str">
        <f>VLOOKUP(K730,Sheet1!$B$5:$C$131,2,0)</f>
        <v>DYESTUFF</v>
      </c>
      <c r="W730" s="181">
        <f t="shared" si="35"/>
        <v>2.8799999999999997E-3</v>
      </c>
    </row>
    <row r="731" spans="1:23" s="139" customFormat="1">
      <c r="A731" s="146" t="s">
        <v>731</v>
      </c>
      <c r="B731" s="147" t="s">
        <v>732</v>
      </c>
      <c r="C731" s="146" t="s">
        <v>137</v>
      </c>
      <c r="D731" s="146" t="s">
        <v>138</v>
      </c>
      <c r="E731" s="146" t="s">
        <v>139</v>
      </c>
      <c r="F731" s="146" t="s">
        <v>140</v>
      </c>
      <c r="G731" s="148" t="s">
        <v>303</v>
      </c>
      <c r="H731" s="146">
        <v>0</v>
      </c>
      <c r="I731" s="146">
        <v>4</v>
      </c>
      <c r="J731" s="146" t="s">
        <v>346</v>
      </c>
      <c r="K731" s="146" t="s">
        <v>343</v>
      </c>
      <c r="L731" s="148" t="s">
        <v>3</v>
      </c>
      <c r="M731" s="146" t="s">
        <v>142</v>
      </c>
      <c r="N731" s="149">
        <v>1000</v>
      </c>
      <c r="O731" s="152">
        <f>SUMIF('GUDANG BESAR'!C:C,K:K,'GUDANG BESAR'!I:I)</f>
        <v>60680</v>
      </c>
      <c r="P731" s="153">
        <f>SUMIF('GUDANG BESAR'!C:C,K:K,'GUDANG BESAR'!K:K)</f>
        <v>67354.8</v>
      </c>
      <c r="Q731" s="150">
        <v>35.53</v>
      </c>
      <c r="R731" s="149">
        <v>35</v>
      </c>
      <c r="S731" s="149">
        <v>530</v>
      </c>
      <c r="T731" s="145">
        <f t="shared" si="33"/>
        <v>2155960.4</v>
      </c>
      <c r="U731" s="145">
        <f t="shared" si="34"/>
        <v>2393116.0440000002</v>
      </c>
      <c r="V731" s="135" t="str">
        <f>VLOOKUP(K731,Sheet1!$B$5:$C$131,2,0)</f>
        <v>DYESTUFF</v>
      </c>
      <c r="W731" s="181">
        <f t="shared" si="35"/>
        <v>3.5529999999999999E-2</v>
      </c>
    </row>
    <row r="732" spans="1:23" s="139" customFormat="1">
      <c r="A732" s="146" t="s">
        <v>731</v>
      </c>
      <c r="B732" s="147" t="s">
        <v>732</v>
      </c>
      <c r="C732" s="146" t="s">
        <v>137</v>
      </c>
      <c r="D732" s="146" t="s">
        <v>138</v>
      </c>
      <c r="E732" s="146" t="s">
        <v>139</v>
      </c>
      <c r="F732" s="146" t="s">
        <v>140</v>
      </c>
      <c r="G732" s="148" t="s">
        <v>303</v>
      </c>
      <c r="H732" s="146">
        <v>0</v>
      </c>
      <c r="I732" s="146">
        <v>5</v>
      </c>
      <c r="J732" s="146" t="s">
        <v>151</v>
      </c>
      <c r="K732" s="146" t="s">
        <v>28</v>
      </c>
      <c r="L732" s="148" t="s">
        <v>3</v>
      </c>
      <c r="M732" s="146" t="s">
        <v>142</v>
      </c>
      <c r="N732" s="149">
        <v>1000</v>
      </c>
      <c r="O732" s="152">
        <f>SUMIF('GUDANG BESAR'!C:C,K:K,'GUDANG BESAR'!I:I)</f>
        <v>413967</v>
      </c>
      <c r="P732" s="153">
        <f>SUMIF('GUDANG BESAR'!C:C,K:K,'GUDANG BESAR'!K:K)</f>
        <v>459503.37</v>
      </c>
      <c r="Q732" s="150">
        <v>1.6E-2</v>
      </c>
      <c r="R732" s="149">
        <v>0</v>
      </c>
      <c r="S732" s="149">
        <v>16</v>
      </c>
      <c r="T732" s="145">
        <f t="shared" si="33"/>
        <v>6623.4719999999998</v>
      </c>
      <c r="U732" s="145">
        <f t="shared" si="34"/>
        <v>7352.0539200000003</v>
      </c>
      <c r="V732" s="135" t="str">
        <f>VLOOKUP(K732,Sheet1!$B$5:$C$131,2,0)</f>
        <v>DYESTUFF</v>
      </c>
      <c r="W732" s="181">
        <f t="shared" si="35"/>
        <v>1.5999999999999999E-5</v>
      </c>
    </row>
    <row r="733" spans="1:23" s="139" customFormat="1">
      <c r="A733" s="146" t="s">
        <v>731</v>
      </c>
      <c r="B733" s="147" t="s">
        <v>732</v>
      </c>
      <c r="C733" s="146" t="s">
        <v>137</v>
      </c>
      <c r="D733" s="146" t="s">
        <v>138</v>
      </c>
      <c r="E733" s="146" t="s">
        <v>139</v>
      </c>
      <c r="F733" s="146" t="s">
        <v>140</v>
      </c>
      <c r="G733" s="148" t="s">
        <v>303</v>
      </c>
      <c r="H733" s="146">
        <v>0</v>
      </c>
      <c r="I733" s="146">
        <v>6</v>
      </c>
      <c r="J733" s="146" t="s">
        <v>169</v>
      </c>
      <c r="K733" s="146" t="s">
        <v>64</v>
      </c>
      <c r="L733" s="148" t="s">
        <v>3</v>
      </c>
      <c r="M733" s="146" t="s">
        <v>142</v>
      </c>
      <c r="N733" s="149">
        <v>1000</v>
      </c>
      <c r="O733" s="152">
        <f>SUMIF('GUDANG BESAR'!C:C,K:K,'GUDANG BESAR'!I:I)</f>
        <v>506080</v>
      </c>
      <c r="P733" s="153">
        <f>SUMIF('GUDANG BESAR'!C:C,K:K,'GUDANG BESAR'!K:K)</f>
        <v>561748.80000000005</v>
      </c>
      <c r="Q733" s="150">
        <v>1.5009999999999999</v>
      </c>
      <c r="R733" s="149">
        <v>1</v>
      </c>
      <c r="S733" s="149">
        <v>501</v>
      </c>
      <c r="T733" s="145">
        <f t="shared" si="33"/>
        <v>759626.08</v>
      </c>
      <c r="U733" s="145">
        <f t="shared" si="34"/>
        <v>843184.94880000001</v>
      </c>
      <c r="V733" s="135" t="str">
        <f>VLOOKUP(K733,Sheet1!$B$5:$C$131,2,0)</f>
        <v>DYESTUFF</v>
      </c>
      <c r="W733" s="181">
        <f t="shared" si="35"/>
        <v>1.5009999999999999E-3</v>
      </c>
    </row>
    <row r="734" spans="1:23" s="139" customFormat="1">
      <c r="A734" s="146" t="s">
        <v>731</v>
      </c>
      <c r="B734" s="147" t="s">
        <v>732</v>
      </c>
      <c r="C734" s="146" t="s">
        <v>137</v>
      </c>
      <c r="D734" s="146" t="s">
        <v>138</v>
      </c>
      <c r="E734" s="146" t="s">
        <v>139</v>
      </c>
      <c r="F734" s="146" t="s">
        <v>140</v>
      </c>
      <c r="G734" s="148" t="s">
        <v>303</v>
      </c>
      <c r="H734" s="146">
        <v>0</v>
      </c>
      <c r="I734" s="146">
        <v>7</v>
      </c>
      <c r="J734" s="146" t="s">
        <v>250</v>
      </c>
      <c r="K734" s="146" t="s">
        <v>38</v>
      </c>
      <c r="L734" s="148" t="s">
        <v>3</v>
      </c>
      <c r="M734" s="146" t="s">
        <v>142</v>
      </c>
      <c r="N734" s="149">
        <v>1000</v>
      </c>
      <c r="O734" s="152">
        <f>SUMIF('GUDANG BESAR'!C:C,K:K,'GUDANG BESAR'!I:I)</f>
        <v>366255</v>
      </c>
      <c r="P734" s="153">
        <f>SUMIF('GUDANG BESAR'!C:C,K:K,'GUDANG BESAR'!K:K)</f>
        <v>406543.05</v>
      </c>
      <c r="Q734" s="150">
        <v>1.3779999999999999</v>
      </c>
      <c r="R734" s="149">
        <v>1</v>
      </c>
      <c r="S734" s="149">
        <v>378</v>
      </c>
      <c r="T734" s="145">
        <f t="shared" si="33"/>
        <v>504699.38999999996</v>
      </c>
      <c r="U734" s="145">
        <f t="shared" si="34"/>
        <v>560216.32289999991</v>
      </c>
      <c r="V734" s="135" t="str">
        <f>VLOOKUP(K734,Sheet1!$B$5:$C$131,2,0)</f>
        <v>DYESTUFF</v>
      </c>
      <c r="W734" s="181">
        <f t="shared" si="35"/>
        <v>1.3779999999999999E-3</v>
      </c>
    </row>
    <row r="735" spans="1:23" s="139" customFormat="1">
      <c r="A735" s="146" t="s">
        <v>731</v>
      </c>
      <c r="B735" s="147" t="s">
        <v>732</v>
      </c>
      <c r="C735" s="146" t="s">
        <v>137</v>
      </c>
      <c r="D735" s="146" t="s">
        <v>138</v>
      </c>
      <c r="E735" s="146" t="s">
        <v>139</v>
      </c>
      <c r="F735" s="146" t="s">
        <v>140</v>
      </c>
      <c r="G735" s="148" t="s">
        <v>303</v>
      </c>
      <c r="H735" s="146">
        <v>0</v>
      </c>
      <c r="I735" s="146">
        <v>8</v>
      </c>
      <c r="J735" s="146" t="s">
        <v>144</v>
      </c>
      <c r="K735" s="146" t="s">
        <v>26</v>
      </c>
      <c r="L735" s="148" t="s">
        <v>3</v>
      </c>
      <c r="M735" s="146" t="s">
        <v>142</v>
      </c>
      <c r="N735" s="149">
        <v>1000</v>
      </c>
      <c r="O735" s="152">
        <f>SUMIF('GUDANG BESAR'!C:C,K:K,'GUDANG BESAR'!I:I)</f>
        <v>52016</v>
      </c>
      <c r="P735" s="153">
        <f>SUMIF('GUDANG BESAR'!C:C,K:K,'GUDANG BESAR'!K:K)</f>
        <v>57737.760000000002</v>
      </c>
      <c r="Q735" s="150">
        <v>7.9379999999999997</v>
      </c>
      <c r="R735" s="149">
        <v>7</v>
      </c>
      <c r="S735" s="149">
        <v>938</v>
      </c>
      <c r="T735" s="145">
        <f t="shared" si="33"/>
        <v>412903.00799999997</v>
      </c>
      <c r="U735" s="145">
        <f t="shared" si="34"/>
        <v>458322.33888</v>
      </c>
      <c r="V735" s="135" t="str">
        <f>VLOOKUP(K735,Sheet1!$B$5:$C$131,2,0)</f>
        <v>DYESTUFF</v>
      </c>
      <c r="W735" s="181">
        <f t="shared" si="35"/>
        <v>7.9379999999999989E-3</v>
      </c>
    </row>
    <row r="736" spans="1:23" s="139" customFormat="1">
      <c r="A736" s="146" t="s">
        <v>731</v>
      </c>
      <c r="B736" s="147" t="s">
        <v>732</v>
      </c>
      <c r="C736" s="146" t="s">
        <v>137</v>
      </c>
      <c r="D736" s="146" t="s">
        <v>138</v>
      </c>
      <c r="E736" s="146" t="s">
        <v>139</v>
      </c>
      <c r="F736" s="146" t="s">
        <v>140</v>
      </c>
      <c r="G736" s="148" t="s">
        <v>303</v>
      </c>
      <c r="H736" s="146">
        <v>0</v>
      </c>
      <c r="I736" s="146">
        <v>9</v>
      </c>
      <c r="J736" s="146" t="s">
        <v>145</v>
      </c>
      <c r="K736" s="146" t="s">
        <v>27</v>
      </c>
      <c r="L736" s="148" t="s">
        <v>3</v>
      </c>
      <c r="M736" s="146" t="s">
        <v>142</v>
      </c>
      <c r="N736" s="149">
        <v>1000</v>
      </c>
      <c r="O736" s="152">
        <f>SUMIF('GUDANG BESAR'!C:C,K:K,'GUDANG BESAR'!I:I)</f>
        <v>71148</v>
      </c>
      <c r="P736" s="153">
        <f>SUMIF('GUDANG BESAR'!C:C,K:K,'GUDANG BESAR'!K:K)</f>
        <v>78974.28</v>
      </c>
      <c r="Q736" s="150">
        <v>6.851</v>
      </c>
      <c r="R736" s="149">
        <v>6</v>
      </c>
      <c r="S736" s="149">
        <v>851</v>
      </c>
      <c r="T736" s="145">
        <f t="shared" si="33"/>
        <v>487434.94799999997</v>
      </c>
      <c r="U736" s="145">
        <f t="shared" si="34"/>
        <v>541052.79227999994</v>
      </c>
      <c r="V736" s="135" t="str">
        <f>VLOOKUP(K736,Sheet1!$B$5:$C$131,2,0)</f>
        <v>DYESTUFF</v>
      </c>
      <c r="W736" s="181">
        <f t="shared" si="35"/>
        <v>6.8510000000000003E-3</v>
      </c>
    </row>
    <row r="737" spans="1:23" s="139" customFormat="1">
      <c r="A737" s="146" t="s">
        <v>731</v>
      </c>
      <c r="B737" s="147" t="s">
        <v>732</v>
      </c>
      <c r="C737" s="146" t="s">
        <v>137</v>
      </c>
      <c r="D737" s="146" t="s">
        <v>138</v>
      </c>
      <c r="E737" s="146" t="s">
        <v>139</v>
      </c>
      <c r="F737" s="146" t="s">
        <v>140</v>
      </c>
      <c r="G737" s="148" t="s">
        <v>303</v>
      </c>
      <c r="H737" s="146">
        <v>0</v>
      </c>
      <c r="I737" s="146">
        <v>10</v>
      </c>
      <c r="J737" s="146" t="s">
        <v>290</v>
      </c>
      <c r="K737" s="146" t="s">
        <v>238</v>
      </c>
      <c r="L737" s="148" t="s">
        <v>3</v>
      </c>
      <c r="M737" s="146" t="s">
        <v>142</v>
      </c>
      <c r="N737" s="149">
        <v>1000</v>
      </c>
      <c r="O737" s="152">
        <f>SUMIF('GUDANG BESAR'!C:C,K:K,'GUDANG BESAR'!I:I)</f>
        <v>227070</v>
      </c>
      <c r="P737" s="153">
        <f>SUMIF('GUDANG BESAR'!C:C,K:K,'GUDANG BESAR'!K:K)</f>
        <v>252047.7</v>
      </c>
      <c r="Q737" s="150">
        <v>3.9</v>
      </c>
      <c r="R737" s="149">
        <v>3</v>
      </c>
      <c r="S737" s="149">
        <v>900</v>
      </c>
      <c r="T737" s="145">
        <f t="shared" si="33"/>
        <v>885573</v>
      </c>
      <c r="U737" s="145">
        <f t="shared" si="34"/>
        <v>982986.03</v>
      </c>
      <c r="V737" s="135" t="str">
        <f>VLOOKUP(K737,Sheet1!$B$5:$C$131,2,0)</f>
        <v>DYESTUFF</v>
      </c>
      <c r="W737" s="181">
        <f t="shared" si="35"/>
        <v>3.8999999999999998E-3</v>
      </c>
    </row>
    <row r="738" spans="1:23" s="139" customFormat="1">
      <c r="A738" s="146" t="s">
        <v>731</v>
      </c>
      <c r="B738" s="147" t="s">
        <v>732</v>
      </c>
      <c r="C738" s="146" t="s">
        <v>137</v>
      </c>
      <c r="D738" s="146" t="s">
        <v>138</v>
      </c>
      <c r="E738" s="146" t="s">
        <v>139</v>
      </c>
      <c r="F738" s="146" t="s">
        <v>140</v>
      </c>
      <c r="G738" s="148" t="s">
        <v>303</v>
      </c>
      <c r="H738" s="146">
        <v>0</v>
      </c>
      <c r="I738" s="146">
        <v>11</v>
      </c>
      <c r="J738" s="146" t="s">
        <v>289</v>
      </c>
      <c r="K738" s="146" t="s">
        <v>255</v>
      </c>
      <c r="L738" s="148" t="s">
        <v>3</v>
      </c>
      <c r="M738" s="146" t="s">
        <v>142</v>
      </c>
      <c r="N738" s="149">
        <v>1000</v>
      </c>
      <c r="O738" s="152">
        <f>SUMIF('GUDANG BESAR'!C:C,K:K,'GUDANG BESAR'!I:I)</f>
        <v>195336</v>
      </c>
      <c r="P738" s="153">
        <f>SUMIF('GUDANG BESAR'!C:C,K:K,'GUDANG BESAR'!K:K)</f>
        <v>216822.96</v>
      </c>
      <c r="Q738" s="150">
        <v>0.03</v>
      </c>
      <c r="R738" s="149">
        <v>0</v>
      </c>
      <c r="S738" s="149">
        <v>30</v>
      </c>
      <c r="T738" s="145">
        <f t="shared" si="33"/>
        <v>5860.08</v>
      </c>
      <c r="U738" s="145">
        <f t="shared" si="34"/>
        <v>6504.6887999999999</v>
      </c>
      <c r="V738" s="135" t="str">
        <f>VLOOKUP(K738,Sheet1!$B$5:$C$131,2,0)</f>
        <v>DYESTUFF</v>
      </c>
      <c r="W738" s="181">
        <f t="shared" si="35"/>
        <v>2.9999999999999997E-5</v>
      </c>
    </row>
    <row r="739" spans="1:23" s="139" customFormat="1">
      <c r="A739" s="146" t="s">
        <v>731</v>
      </c>
      <c r="B739" s="147" t="s">
        <v>732</v>
      </c>
      <c r="C739" s="146" t="s">
        <v>137</v>
      </c>
      <c r="D739" s="146" t="s">
        <v>138</v>
      </c>
      <c r="E739" s="146" t="s">
        <v>139</v>
      </c>
      <c r="F739" s="146" t="s">
        <v>140</v>
      </c>
      <c r="G739" s="148" t="s">
        <v>303</v>
      </c>
      <c r="H739" s="146">
        <v>0</v>
      </c>
      <c r="I739" s="146">
        <v>12</v>
      </c>
      <c r="J739" s="146" t="s">
        <v>171</v>
      </c>
      <c r="K739" s="146" t="s">
        <v>102</v>
      </c>
      <c r="L739" s="148" t="s">
        <v>3</v>
      </c>
      <c r="M739" s="146" t="s">
        <v>142</v>
      </c>
      <c r="N739" s="149">
        <v>1000</v>
      </c>
      <c r="O739" s="152">
        <f>SUMIF('GUDANG BESAR'!C:C,K:K,'GUDANG BESAR'!I:I)</f>
        <v>385283</v>
      </c>
      <c r="P739" s="153">
        <f>SUMIF('GUDANG BESAR'!C:C,K:K,'GUDANG BESAR'!K:K)</f>
        <v>427664.13</v>
      </c>
      <c r="Q739" s="150">
        <v>1.8540000000000001</v>
      </c>
      <c r="R739" s="149">
        <v>1</v>
      </c>
      <c r="S739" s="149">
        <v>854</v>
      </c>
      <c r="T739" s="145">
        <f t="shared" si="33"/>
        <v>714314.68200000003</v>
      </c>
      <c r="U739" s="145">
        <f t="shared" si="34"/>
        <v>792889.29702000006</v>
      </c>
      <c r="V739" s="135" t="str">
        <f>VLOOKUP(K739,Sheet1!$B$5:$C$131,2,0)</f>
        <v>DYESTUFF</v>
      </c>
      <c r="W739" s="181">
        <f t="shared" si="35"/>
        <v>1.8540000000000002E-3</v>
      </c>
    </row>
    <row r="740" spans="1:23" s="139" customFormat="1">
      <c r="A740" s="146" t="s">
        <v>731</v>
      </c>
      <c r="B740" s="147" t="s">
        <v>732</v>
      </c>
      <c r="C740" s="146" t="s">
        <v>137</v>
      </c>
      <c r="D740" s="146" t="s">
        <v>138</v>
      </c>
      <c r="E740" s="146" t="s">
        <v>139</v>
      </c>
      <c r="F740" s="146" t="s">
        <v>140</v>
      </c>
      <c r="G740" s="148" t="s">
        <v>303</v>
      </c>
      <c r="H740" s="146">
        <v>0</v>
      </c>
      <c r="I740" s="146">
        <v>13</v>
      </c>
      <c r="J740" s="146" t="s">
        <v>146</v>
      </c>
      <c r="K740" s="146" t="s">
        <v>46</v>
      </c>
      <c r="L740" s="148" t="s">
        <v>3</v>
      </c>
      <c r="M740" s="146" t="s">
        <v>142</v>
      </c>
      <c r="N740" s="149">
        <v>1000</v>
      </c>
      <c r="O740" s="152">
        <f>SUMIF('GUDANG BESAR'!C:C,K:K,'GUDANG BESAR'!I:I)</f>
        <v>100812</v>
      </c>
      <c r="P740" s="153">
        <f>SUMIF('GUDANG BESAR'!C:C,K:K,'GUDANG BESAR'!K:K)</f>
        <v>111901.32</v>
      </c>
      <c r="Q740" s="150">
        <v>12.115</v>
      </c>
      <c r="R740" s="149">
        <v>12</v>
      </c>
      <c r="S740" s="149">
        <v>115</v>
      </c>
      <c r="T740" s="145">
        <f t="shared" si="33"/>
        <v>1221337.3800000001</v>
      </c>
      <c r="U740" s="145">
        <f t="shared" si="34"/>
        <v>1355684.4918000002</v>
      </c>
      <c r="V740" s="135" t="str">
        <f>VLOOKUP(K740,Sheet1!$B$5:$C$131,2,0)</f>
        <v>DYESTUFF</v>
      </c>
      <c r="W740" s="181">
        <f t="shared" si="35"/>
        <v>1.2115000000000001E-2</v>
      </c>
    </row>
    <row r="741" spans="1:23" s="139" customFormat="1">
      <c r="A741" s="146" t="s">
        <v>731</v>
      </c>
      <c r="B741" s="147" t="s">
        <v>732</v>
      </c>
      <c r="C741" s="146" t="s">
        <v>137</v>
      </c>
      <c r="D741" s="146" t="s">
        <v>138</v>
      </c>
      <c r="E741" s="146" t="s">
        <v>139</v>
      </c>
      <c r="F741" s="146" t="s">
        <v>140</v>
      </c>
      <c r="G741" s="148" t="s">
        <v>303</v>
      </c>
      <c r="H741" s="146">
        <v>0</v>
      </c>
      <c r="I741" s="146">
        <v>14</v>
      </c>
      <c r="J741" s="146" t="s">
        <v>147</v>
      </c>
      <c r="K741" s="146" t="s">
        <v>41</v>
      </c>
      <c r="L741" s="148" t="s">
        <v>3</v>
      </c>
      <c r="M741" s="146" t="s">
        <v>142</v>
      </c>
      <c r="N741" s="149">
        <v>1000</v>
      </c>
      <c r="O741" s="152">
        <f>SUMIF('GUDANG BESAR'!C:C,K:K,'GUDANG BESAR'!I:I)</f>
        <v>54071</v>
      </c>
      <c r="P741" s="153">
        <f>SUMIF('GUDANG BESAR'!C:C,K:K,'GUDANG BESAR'!K:K)</f>
        <v>60018.81</v>
      </c>
      <c r="Q741" s="150">
        <v>18.103999999999999</v>
      </c>
      <c r="R741" s="149">
        <v>18</v>
      </c>
      <c r="S741" s="149">
        <v>104</v>
      </c>
      <c r="T741" s="145">
        <f t="shared" si="33"/>
        <v>978901.38399999996</v>
      </c>
      <c r="U741" s="145">
        <f t="shared" si="34"/>
        <v>1086580.5362399998</v>
      </c>
      <c r="V741" s="135" t="str">
        <f>VLOOKUP(K741,Sheet1!$B$5:$C$131,2,0)</f>
        <v>DYESTUFF</v>
      </c>
      <c r="W741" s="181">
        <f t="shared" si="35"/>
        <v>1.8103999999999999E-2</v>
      </c>
    </row>
    <row r="742" spans="1:23" s="139" customFormat="1">
      <c r="A742" s="146" t="s">
        <v>731</v>
      </c>
      <c r="B742" s="147" t="s">
        <v>732</v>
      </c>
      <c r="C742" s="146" t="s">
        <v>137</v>
      </c>
      <c r="D742" s="146" t="s">
        <v>138</v>
      </c>
      <c r="E742" s="146" t="s">
        <v>139</v>
      </c>
      <c r="F742" s="146" t="s">
        <v>140</v>
      </c>
      <c r="G742" s="148" t="s">
        <v>303</v>
      </c>
      <c r="H742" s="146">
        <v>0</v>
      </c>
      <c r="I742" s="146">
        <v>15</v>
      </c>
      <c r="J742" s="146" t="s">
        <v>170</v>
      </c>
      <c r="K742" s="146" t="s">
        <v>29</v>
      </c>
      <c r="L742" s="148" t="s">
        <v>3</v>
      </c>
      <c r="M742" s="146" t="s">
        <v>142</v>
      </c>
      <c r="N742" s="149">
        <v>1000</v>
      </c>
      <c r="O742" s="152">
        <f>SUMIF('GUDANG BESAR'!C:C,K:K,'GUDANG BESAR'!I:I)</f>
        <v>100590</v>
      </c>
      <c r="P742" s="153">
        <f>SUMIF('GUDANG BESAR'!C:C,K:K,'GUDANG BESAR'!K:K)</f>
        <v>111654.9</v>
      </c>
      <c r="Q742" s="150">
        <v>2.5099999999999998</v>
      </c>
      <c r="R742" s="149">
        <v>2</v>
      </c>
      <c r="S742" s="149">
        <v>510</v>
      </c>
      <c r="T742" s="145">
        <f t="shared" si="33"/>
        <v>252480.89999999997</v>
      </c>
      <c r="U742" s="145">
        <f t="shared" si="34"/>
        <v>280253.79899999994</v>
      </c>
      <c r="V742" s="135" t="str">
        <f>VLOOKUP(K742,Sheet1!$B$5:$C$131,2,0)</f>
        <v>DYESTUFF</v>
      </c>
      <c r="W742" s="181">
        <f t="shared" si="35"/>
        <v>2.5099999999999996E-3</v>
      </c>
    </row>
    <row r="743" spans="1:23" s="139" customFormat="1">
      <c r="A743" s="146" t="s">
        <v>731</v>
      </c>
      <c r="B743" s="147" t="s">
        <v>732</v>
      </c>
      <c r="C743" s="146" t="s">
        <v>137</v>
      </c>
      <c r="D743" s="146" t="s">
        <v>138</v>
      </c>
      <c r="E743" s="146" t="s">
        <v>139</v>
      </c>
      <c r="F743" s="146" t="s">
        <v>140</v>
      </c>
      <c r="G743" s="148" t="s">
        <v>303</v>
      </c>
      <c r="H743" s="146">
        <v>0</v>
      </c>
      <c r="I743" s="146">
        <v>16</v>
      </c>
      <c r="J743" s="146" t="s">
        <v>148</v>
      </c>
      <c r="K743" s="146" t="s">
        <v>30</v>
      </c>
      <c r="L743" s="148" t="s">
        <v>3</v>
      </c>
      <c r="M743" s="146" t="s">
        <v>142</v>
      </c>
      <c r="N743" s="149">
        <v>1000</v>
      </c>
      <c r="O743" s="152">
        <f>SUMIF('GUDANG BESAR'!C:C,K:K,'GUDANG BESAR'!I:I)</f>
        <v>77089.399999999994</v>
      </c>
      <c r="P743" s="153">
        <f>SUMIF('GUDANG BESAR'!C:C,K:K,'GUDANG BESAR'!K:K)</f>
        <v>85569.233999999997</v>
      </c>
      <c r="Q743" s="150">
        <v>37.625999999999998</v>
      </c>
      <c r="R743" s="149">
        <v>37</v>
      </c>
      <c r="S743" s="149">
        <v>626</v>
      </c>
      <c r="T743" s="145">
        <f t="shared" si="33"/>
        <v>2900565.7643999998</v>
      </c>
      <c r="U743" s="145">
        <f t="shared" si="34"/>
        <v>3219627.9984839996</v>
      </c>
      <c r="V743" s="135" t="str">
        <f>VLOOKUP(K743,Sheet1!$B$5:$C$131,2,0)</f>
        <v>DYESTUFF</v>
      </c>
      <c r="W743" s="181">
        <f t="shared" si="35"/>
        <v>3.7626E-2</v>
      </c>
    </row>
    <row r="744" spans="1:23" s="139" customFormat="1">
      <c r="A744" s="146" t="s">
        <v>731</v>
      </c>
      <c r="B744" s="147" t="s">
        <v>732</v>
      </c>
      <c r="C744" s="146" t="s">
        <v>137</v>
      </c>
      <c r="D744" s="146" t="s">
        <v>138</v>
      </c>
      <c r="E744" s="146" t="s">
        <v>139</v>
      </c>
      <c r="F744" s="146" t="s">
        <v>166</v>
      </c>
      <c r="G744" s="148" t="s">
        <v>336</v>
      </c>
      <c r="H744" s="146">
        <v>0</v>
      </c>
      <c r="I744" s="146">
        <v>17</v>
      </c>
      <c r="J744" s="146" t="s">
        <v>175</v>
      </c>
      <c r="K744" s="146" t="s">
        <v>66</v>
      </c>
      <c r="L744" s="148" t="s">
        <v>3</v>
      </c>
      <c r="M744" s="146" t="s">
        <v>142</v>
      </c>
      <c r="N744" s="149">
        <v>1000</v>
      </c>
      <c r="O744" s="152">
        <f>SUMIF('GUDANG BESAR'!C:C,K:K,'GUDANG BESAR'!I:I)</f>
        <v>64000</v>
      </c>
      <c r="P744" s="153">
        <f>SUMIF('GUDANG BESAR'!C:C,K:K,'GUDANG BESAR'!K:K)</f>
        <v>64000</v>
      </c>
      <c r="Q744" s="150">
        <v>80</v>
      </c>
      <c r="R744" s="149">
        <v>80</v>
      </c>
      <c r="S744" s="149">
        <v>0</v>
      </c>
      <c r="T744" s="145">
        <f t="shared" si="33"/>
        <v>5120000</v>
      </c>
      <c r="U744" s="145">
        <f t="shared" si="34"/>
        <v>5120000</v>
      </c>
      <c r="V744" s="135" t="str">
        <f>VLOOKUP(K744,Sheet1!$B$5:$C$131,2,0)</f>
        <v>ENGGRAVING</v>
      </c>
      <c r="W744" s="181">
        <f t="shared" si="35"/>
        <v>0.08</v>
      </c>
    </row>
    <row r="745" spans="1:23" s="139" customFormat="1">
      <c r="A745" s="146" t="s">
        <v>731</v>
      </c>
      <c r="B745" s="147" t="s">
        <v>732</v>
      </c>
      <c r="C745" s="146" t="s">
        <v>137</v>
      </c>
      <c r="D745" s="146" t="s">
        <v>138</v>
      </c>
      <c r="E745" s="146" t="s">
        <v>139</v>
      </c>
      <c r="F745" s="146" t="s">
        <v>166</v>
      </c>
      <c r="G745" s="148" t="s">
        <v>336</v>
      </c>
      <c r="H745" s="146">
        <v>0</v>
      </c>
      <c r="I745" s="146">
        <v>18</v>
      </c>
      <c r="J745" s="146" t="s">
        <v>318</v>
      </c>
      <c r="K745" s="146" t="s">
        <v>56</v>
      </c>
      <c r="L745" s="148" t="s">
        <v>3</v>
      </c>
      <c r="M745" s="146" t="s">
        <v>142</v>
      </c>
      <c r="N745" s="149">
        <v>1000</v>
      </c>
      <c r="O745" s="152">
        <f>SUMIF('GUDANG BESAR'!C:C,K:K,'GUDANG BESAR'!I:I)</f>
        <v>75000</v>
      </c>
      <c r="P745" s="153">
        <f>SUMIF('GUDANG BESAR'!C:C,K:K,'GUDANG BESAR'!K:K)</f>
        <v>83250</v>
      </c>
      <c r="Q745" s="150">
        <v>50</v>
      </c>
      <c r="R745" s="149">
        <v>50</v>
      </c>
      <c r="S745" s="149">
        <v>0</v>
      </c>
      <c r="T745" s="145">
        <f t="shared" si="33"/>
        <v>3750000</v>
      </c>
      <c r="U745" s="145">
        <f t="shared" si="34"/>
        <v>4162500</v>
      </c>
      <c r="V745" s="135" t="str">
        <f>VLOOKUP(K745,Sheet1!$B$5:$C$131,2,0)</f>
        <v>ENGGRAVING</v>
      </c>
      <c r="W745" s="181">
        <f t="shared" si="35"/>
        <v>0.05</v>
      </c>
    </row>
    <row r="746" spans="1:23" s="139" customFormat="1">
      <c r="A746" s="146" t="s">
        <v>731</v>
      </c>
      <c r="B746" s="147" t="s">
        <v>732</v>
      </c>
      <c r="C746" s="146" t="s">
        <v>137</v>
      </c>
      <c r="D746" s="146" t="s">
        <v>138</v>
      </c>
      <c r="E746" s="146" t="s">
        <v>139</v>
      </c>
      <c r="F746" s="146" t="s">
        <v>140</v>
      </c>
      <c r="G746" s="148" t="s">
        <v>303</v>
      </c>
      <c r="H746" s="146">
        <v>0</v>
      </c>
      <c r="I746" s="146">
        <v>19</v>
      </c>
      <c r="J746" s="146" t="s">
        <v>502</v>
      </c>
      <c r="K746" s="146" t="s">
        <v>103</v>
      </c>
      <c r="L746" s="148" t="s">
        <v>3</v>
      </c>
      <c r="M746" s="146" t="s">
        <v>142</v>
      </c>
      <c r="N746" s="149">
        <v>1000</v>
      </c>
      <c r="O746" s="152">
        <f>SUMIF('GUDANG BESAR'!C:C,K:K,'GUDANG BESAR'!I:I)</f>
        <v>114100</v>
      </c>
      <c r="P746" s="153">
        <f>SUMIF('GUDANG BESAR'!C:C,K:K,'GUDANG BESAR'!K:K)</f>
        <v>126651</v>
      </c>
      <c r="Q746" s="150">
        <v>2.4980000000000002</v>
      </c>
      <c r="R746" s="149">
        <v>2</v>
      </c>
      <c r="S746" s="149">
        <v>498</v>
      </c>
      <c r="T746" s="145">
        <f t="shared" si="33"/>
        <v>285021.80000000005</v>
      </c>
      <c r="U746" s="145">
        <f t="shared" si="34"/>
        <v>316374.19800000003</v>
      </c>
      <c r="V746" s="135" t="str">
        <f>VLOOKUP(K746,Sheet1!$B$5:$C$131,2,0)</f>
        <v>DYESTUFF</v>
      </c>
      <c r="W746" s="181">
        <f t="shared" si="35"/>
        <v>2.4980000000000002E-3</v>
      </c>
    </row>
    <row r="747" spans="1:23" s="139" customFormat="1">
      <c r="A747" s="146" t="s">
        <v>731</v>
      </c>
      <c r="B747" s="147" t="s">
        <v>732</v>
      </c>
      <c r="C747" s="146" t="s">
        <v>137</v>
      </c>
      <c r="D747" s="146" t="s">
        <v>138</v>
      </c>
      <c r="E747" s="146" t="s">
        <v>139</v>
      </c>
      <c r="F747" s="146" t="s">
        <v>282</v>
      </c>
      <c r="G747" s="148" t="s">
        <v>303</v>
      </c>
      <c r="H747" s="146">
        <v>0</v>
      </c>
      <c r="I747" s="146">
        <v>20</v>
      </c>
      <c r="J747" s="146" t="s">
        <v>517</v>
      </c>
      <c r="K747" s="146" t="s">
        <v>106</v>
      </c>
      <c r="L747" s="148" t="s">
        <v>3</v>
      </c>
      <c r="M747" s="146" t="s">
        <v>142</v>
      </c>
      <c r="N747" s="149">
        <v>1000</v>
      </c>
      <c r="O747" s="152">
        <f>SUMIF('GUDANG BESAR'!C:C,K:K,'GUDANG BESAR'!I:I)</f>
        <v>122610.5</v>
      </c>
      <c r="P747" s="153">
        <f>SUMIF('GUDANG BESAR'!C:C,K:K,'GUDANG BESAR'!K:K)</f>
        <v>136097.655</v>
      </c>
      <c r="Q747" s="150">
        <v>3.0910000000000002</v>
      </c>
      <c r="R747" s="149">
        <v>3</v>
      </c>
      <c r="S747" s="149">
        <v>91</v>
      </c>
      <c r="T747" s="145">
        <f t="shared" si="33"/>
        <v>378989.05550000002</v>
      </c>
      <c r="U747" s="145">
        <f t="shared" si="34"/>
        <v>420677.85160500003</v>
      </c>
      <c r="V747" s="135" t="str">
        <f>VLOOKUP(K747,Sheet1!$B$5:$C$131,2,0)</f>
        <v>DYESTUFF</v>
      </c>
      <c r="W747" s="181">
        <f t="shared" si="35"/>
        <v>3.091E-3</v>
      </c>
    </row>
    <row r="748" spans="1:23" s="139" customFormat="1">
      <c r="A748" s="146" t="s">
        <v>731</v>
      </c>
      <c r="B748" s="147" t="s">
        <v>732</v>
      </c>
      <c r="C748" s="146" t="s">
        <v>137</v>
      </c>
      <c r="D748" s="146" t="s">
        <v>138</v>
      </c>
      <c r="E748" s="146" t="s">
        <v>139</v>
      </c>
      <c r="F748" s="146" t="s">
        <v>282</v>
      </c>
      <c r="G748" s="148" t="s">
        <v>303</v>
      </c>
      <c r="H748" s="146">
        <v>0</v>
      </c>
      <c r="I748" s="146">
        <v>21</v>
      </c>
      <c r="J748" s="146" t="s">
        <v>733</v>
      </c>
      <c r="K748" s="146" t="s">
        <v>71</v>
      </c>
      <c r="L748" s="148" t="s">
        <v>3</v>
      </c>
      <c r="M748" s="146" t="s">
        <v>142</v>
      </c>
      <c r="N748" s="149">
        <v>1000</v>
      </c>
      <c r="O748" s="152">
        <f>SUMIF('GUDANG BESAR'!C:C,K:K,'GUDANG BESAR'!I:I)</f>
        <v>87915</v>
      </c>
      <c r="P748" s="153">
        <f>SUMIF('GUDANG BESAR'!C:C,K:K,'GUDANG BESAR'!K:K)</f>
        <v>97585.65</v>
      </c>
      <c r="Q748" s="150">
        <v>4.83</v>
      </c>
      <c r="R748" s="149">
        <v>4</v>
      </c>
      <c r="S748" s="149">
        <v>830</v>
      </c>
      <c r="T748" s="145">
        <f t="shared" si="33"/>
        <v>424629.45</v>
      </c>
      <c r="U748" s="145">
        <f t="shared" si="34"/>
        <v>471338.68949999998</v>
      </c>
      <c r="V748" s="135" t="str">
        <f>VLOOKUP(K748,Sheet1!$B$5:$C$131,2,0)</f>
        <v>DYESTUFF</v>
      </c>
      <c r="W748" s="181">
        <f t="shared" si="35"/>
        <v>4.8300000000000001E-3</v>
      </c>
    </row>
    <row r="749" spans="1:23" s="139" customFormat="1">
      <c r="A749" s="146" t="s">
        <v>731</v>
      </c>
      <c r="B749" s="147" t="s">
        <v>732</v>
      </c>
      <c r="C749" s="146" t="s">
        <v>137</v>
      </c>
      <c r="D749" s="146" t="s">
        <v>138</v>
      </c>
      <c r="E749" s="146" t="s">
        <v>139</v>
      </c>
      <c r="F749" s="146" t="s">
        <v>140</v>
      </c>
      <c r="G749" s="148" t="s">
        <v>303</v>
      </c>
      <c r="H749" s="146">
        <v>0</v>
      </c>
      <c r="I749" s="146">
        <v>22</v>
      </c>
      <c r="J749" s="146" t="s">
        <v>504</v>
      </c>
      <c r="K749" s="146" t="s">
        <v>107</v>
      </c>
      <c r="L749" s="148" t="s">
        <v>3</v>
      </c>
      <c r="M749" s="146" t="s">
        <v>142</v>
      </c>
      <c r="N749" s="149">
        <v>1000</v>
      </c>
      <c r="O749" s="152">
        <f>SUMIF('GUDANG BESAR'!C:C,K:K,'GUDANG BESAR'!I:I)</f>
        <v>113785</v>
      </c>
      <c r="P749" s="153">
        <f>SUMIF('GUDANG BESAR'!C:C,K:K,'GUDANG BESAR'!K:K)</f>
        <v>126301.35</v>
      </c>
      <c r="Q749" s="150">
        <v>0.183</v>
      </c>
      <c r="R749" s="149">
        <v>0</v>
      </c>
      <c r="S749" s="149">
        <v>183</v>
      </c>
      <c r="T749" s="145">
        <f t="shared" si="33"/>
        <v>20822.654999999999</v>
      </c>
      <c r="U749" s="145">
        <f t="shared" si="34"/>
        <v>23113.14705</v>
      </c>
      <c r="V749" s="135" t="str">
        <f>VLOOKUP(K749,Sheet1!$B$5:$C$131,2,0)</f>
        <v>DYESTUFF</v>
      </c>
      <c r="W749" s="181">
        <f t="shared" si="35"/>
        <v>1.83E-4</v>
      </c>
    </row>
    <row r="750" spans="1:23" s="139" customFormat="1">
      <c r="A750" s="146" t="s">
        <v>731</v>
      </c>
      <c r="B750" s="147" t="s">
        <v>732</v>
      </c>
      <c r="C750" s="146" t="s">
        <v>137</v>
      </c>
      <c r="D750" s="146" t="s">
        <v>138</v>
      </c>
      <c r="E750" s="146" t="s">
        <v>139</v>
      </c>
      <c r="F750" s="146" t="s">
        <v>140</v>
      </c>
      <c r="G750" s="148" t="s">
        <v>303</v>
      </c>
      <c r="H750" s="146">
        <v>0</v>
      </c>
      <c r="I750" s="146">
        <v>23</v>
      </c>
      <c r="J750" s="146" t="s">
        <v>505</v>
      </c>
      <c r="K750" s="146" t="s">
        <v>109</v>
      </c>
      <c r="L750" s="148" t="s">
        <v>3</v>
      </c>
      <c r="M750" s="146" t="s">
        <v>142</v>
      </c>
      <c r="N750" s="149">
        <v>1000</v>
      </c>
      <c r="O750" s="152">
        <f>SUMIF('GUDANG BESAR'!C:C,K:K,'GUDANG BESAR'!I:I)</f>
        <v>156750</v>
      </c>
      <c r="P750" s="153">
        <f>SUMIF('GUDANG BESAR'!C:C,K:K,'GUDANG BESAR'!K:K)</f>
        <v>173992.5</v>
      </c>
      <c r="Q750" s="150">
        <v>8.0000000000000002E-3</v>
      </c>
      <c r="R750" s="149">
        <v>0</v>
      </c>
      <c r="S750" s="149">
        <v>8</v>
      </c>
      <c r="T750" s="145">
        <f t="shared" si="33"/>
        <v>1254</v>
      </c>
      <c r="U750" s="145">
        <f t="shared" si="34"/>
        <v>1391.94</v>
      </c>
      <c r="V750" s="135" t="str">
        <f>VLOOKUP(K750,Sheet1!$B$5:$C$131,2,0)</f>
        <v>DYESTUFF</v>
      </c>
      <c r="W750" s="181">
        <f t="shared" si="35"/>
        <v>7.9999999999999996E-6</v>
      </c>
    </row>
    <row r="751" spans="1:23" s="139" customFormat="1">
      <c r="A751" s="146" t="s">
        <v>731</v>
      </c>
      <c r="B751" s="147" t="s">
        <v>732</v>
      </c>
      <c r="C751" s="146" t="s">
        <v>137</v>
      </c>
      <c r="D751" s="146" t="s">
        <v>138</v>
      </c>
      <c r="E751" s="146" t="s">
        <v>139</v>
      </c>
      <c r="F751" s="146" t="s">
        <v>140</v>
      </c>
      <c r="G751" s="148" t="s">
        <v>303</v>
      </c>
      <c r="H751" s="146">
        <v>0</v>
      </c>
      <c r="I751" s="146">
        <v>24</v>
      </c>
      <c r="J751" s="146" t="s">
        <v>506</v>
      </c>
      <c r="K751" s="146" t="s">
        <v>110</v>
      </c>
      <c r="L751" s="148" t="s">
        <v>3</v>
      </c>
      <c r="M751" s="146" t="s">
        <v>142</v>
      </c>
      <c r="N751" s="149">
        <v>1000</v>
      </c>
      <c r="O751" s="152">
        <f>SUMIF('GUDANG BESAR'!C:C,K:K,'GUDANG BESAR'!I:I)</f>
        <v>138978</v>
      </c>
      <c r="P751" s="153">
        <f>SUMIF('GUDANG BESAR'!C:C,K:K,'GUDANG BESAR'!K:K)</f>
        <v>154265.57999999999</v>
      </c>
      <c r="Q751" s="150">
        <v>2.375</v>
      </c>
      <c r="R751" s="149">
        <v>2</v>
      </c>
      <c r="S751" s="149">
        <v>375</v>
      </c>
      <c r="T751" s="145">
        <f t="shared" si="33"/>
        <v>330072.75</v>
      </c>
      <c r="U751" s="145">
        <f t="shared" si="34"/>
        <v>366380.75249999994</v>
      </c>
      <c r="V751" s="135" t="str">
        <f>VLOOKUP(K751,Sheet1!$B$5:$C$131,2,0)</f>
        <v>DYESTUFF</v>
      </c>
      <c r="W751" s="181">
        <f t="shared" si="35"/>
        <v>2.3749999999999999E-3</v>
      </c>
    </row>
    <row r="752" spans="1:23" s="139" customFormat="1">
      <c r="A752" s="146" t="s">
        <v>731</v>
      </c>
      <c r="B752" s="147" t="s">
        <v>732</v>
      </c>
      <c r="C752" s="146" t="s">
        <v>137</v>
      </c>
      <c r="D752" s="146" t="s">
        <v>138</v>
      </c>
      <c r="E752" s="146" t="s">
        <v>139</v>
      </c>
      <c r="F752" s="146" t="s">
        <v>140</v>
      </c>
      <c r="G752" s="148" t="s">
        <v>303</v>
      </c>
      <c r="H752" s="146">
        <v>0</v>
      </c>
      <c r="I752" s="146">
        <v>25</v>
      </c>
      <c r="J752" s="146" t="s">
        <v>734</v>
      </c>
      <c r="K752" s="146" t="s">
        <v>112</v>
      </c>
      <c r="L752" s="148" t="s">
        <v>3</v>
      </c>
      <c r="M752" s="146" t="s">
        <v>142</v>
      </c>
      <c r="N752" s="149">
        <v>1000</v>
      </c>
      <c r="O752" s="152">
        <f>SUMIF('GUDANG BESAR'!C:C,K:K,'GUDANG BESAR'!I:I)</f>
        <v>258403</v>
      </c>
      <c r="P752" s="153">
        <f>SUMIF('GUDANG BESAR'!C:C,K:K,'GUDANG BESAR'!K:K)</f>
        <v>286827.33</v>
      </c>
      <c r="Q752" s="150">
        <v>1.5</v>
      </c>
      <c r="R752" s="149">
        <v>1</v>
      </c>
      <c r="S752" s="149">
        <v>500</v>
      </c>
      <c r="T752" s="145">
        <f t="shared" si="33"/>
        <v>387604.5</v>
      </c>
      <c r="U752" s="145">
        <f t="shared" si="34"/>
        <v>430240.995</v>
      </c>
      <c r="V752" s="135" t="str">
        <f>VLOOKUP(K752,Sheet1!$B$5:$C$131,2,0)</f>
        <v>DYESTUFF</v>
      </c>
      <c r="W752" s="181">
        <f t="shared" si="35"/>
        <v>1.5E-3</v>
      </c>
    </row>
    <row r="753" spans="1:23" s="139" customFormat="1">
      <c r="A753" s="146" t="s">
        <v>731</v>
      </c>
      <c r="B753" s="147" t="s">
        <v>732</v>
      </c>
      <c r="C753" s="146" t="s">
        <v>137</v>
      </c>
      <c r="D753" s="146" t="s">
        <v>138</v>
      </c>
      <c r="E753" s="146" t="s">
        <v>139</v>
      </c>
      <c r="F753" s="146" t="s">
        <v>140</v>
      </c>
      <c r="G753" s="148" t="s">
        <v>303</v>
      </c>
      <c r="H753" s="146">
        <v>0</v>
      </c>
      <c r="I753" s="146">
        <v>26</v>
      </c>
      <c r="J753" s="146" t="s">
        <v>507</v>
      </c>
      <c r="K753" s="146" t="s">
        <v>113</v>
      </c>
      <c r="L753" s="148" t="s">
        <v>3</v>
      </c>
      <c r="M753" s="146" t="s">
        <v>142</v>
      </c>
      <c r="N753" s="149">
        <v>1000</v>
      </c>
      <c r="O753" s="152">
        <f>SUMIF('GUDANG BESAR'!C:C,K:K,'GUDANG BESAR'!I:I)</f>
        <v>57050</v>
      </c>
      <c r="P753" s="153">
        <f>SUMIF('GUDANG BESAR'!C:C,K:K,'GUDANG BESAR'!K:K)</f>
        <v>63325.5</v>
      </c>
      <c r="Q753" s="150">
        <v>3.02</v>
      </c>
      <c r="R753" s="149">
        <v>3</v>
      </c>
      <c r="S753" s="149">
        <v>20</v>
      </c>
      <c r="T753" s="145">
        <f t="shared" si="33"/>
        <v>172291</v>
      </c>
      <c r="U753" s="145">
        <f t="shared" si="34"/>
        <v>191243.01</v>
      </c>
      <c r="V753" s="135" t="str">
        <f>VLOOKUP(K753,Sheet1!$B$5:$C$131,2,0)</f>
        <v>DYESTUFF</v>
      </c>
      <c r="W753" s="181">
        <f t="shared" si="35"/>
        <v>3.0200000000000001E-3</v>
      </c>
    </row>
  </sheetData>
  <sheetCalcPr fullCalcOnLoad="1"/>
  <autoFilter ref="A5:U753" xr:uid="{32C229E6-6791-4FF2-89B9-603A410B323B}"/>
  <pageMargins left="0.13" right="0.38" top="0.56999999999999995" bottom="0.66" header="0.3" footer="0.43"/>
  <pageSetup paperSize="9" scale="59" orientation="landscape" horizontalDpi="120" verticalDpi="72" r:id="rId1"/>
  <headerFooter>
    <oddFooter>&amp;L&amp;8Generate by System SiM/1&amp;R&amp;8Printed  &amp;D&amp;T-Page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A632-AC45-4C59-BDA6-DAD1523D0A31}">
  <dimension ref="A1:S1137"/>
  <sheetViews>
    <sheetView tabSelected="1" workbookViewId="0">
      <pane ySplit="5" topLeftCell="A672" activePane="bottomLeft" state="frozen"/>
      <selection pane="bottomLeft" activeCell="O693" sqref="O693"/>
    </sheetView>
  </sheetViews>
  <sheetFormatPr defaultRowHeight="14.6"/>
  <cols>
    <col min="1" max="2" width="12.3828125" style="94" customWidth="1"/>
    <col min="3" max="3" width="17.69140625" style="95" customWidth="1"/>
    <col min="4" max="4" width="7.84375" style="95" customWidth="1"/>
    <col min="5" max="5" width="7.53515625" style="95" customWidth="1"/>
    <col min="6" max="6" width="22.84375" style="95" customWidth="1"/>
    <col min="7" max="7" width="15.15234375" style="95" bestFit="1" customWidth="1"/>
    <col min="8" max="8" width="5" style="95" customWidth="1"/>
    <col min="9" max="10" width="7" style="95" customWidth="1"/>
    <col min="11" max="11" width="14.15234375" style="95" bestFit="1" customWidth="1"/>
    <col min="12" max="14" width="7.15234375" style="95" customWidth="1"/>
    <col min="15" max="16" width="12.53515625" style="92" customWidth="1"/>
    <col min="17" max="17" width="10.15234375" style="96" bestFit="1" customWidth="1"/>
    <col min="18" max="18" width="9" style="92" customWidth="1"/>
    <col min="19" max="19" width="8.3828125" style="56" customWidth="1"/>
  </cols>
  <sheetData>
    <row r="1" spans="1:19" ht="22.75">
      <c r="A1" s="52" t="s">
        <v>116</v>
      </c>
      <c r="B1" s="52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4"/>
      <c r="P1" s="54"/>
      <c r="Q1" s="55"/>
      <c r="R1" s="54"/>
    </row>
    <row r="2" spans="1:19" ht="22.75">
      <c r="A2" s="57" t="s">
        <v>117</v>
      </c>
      <c r="B2" s="57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4"/>
      <c r="P2" s="54"/>
      <c r="Q2" s="55"/>
      <c r="R2" s="54"/>
    </row>
    <row r="3" spans="1:19" ht="16.5" customHeight="1">
      <c r="A3" s="59" t="s">
        <v>118</v>
      </c>
      <c r="B3" s="59"/>
      <c r="C3" s="60" t="s">
        <v>458</v>
      </c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54"/>
      <c r="P3" s="54"/>
      <c r="Q3" s="61"/>
      <c r="R3" s="54"/>
    </row>
    <row r="4" spans="1:19" ht="16.5" customHeight="1">
      <c r="A4" s="59" t="s">
        <v>119</v>
      </c>
      <c r="B4" s="59"/>
      <c r="C4" s="62" t="s">
        <v>120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54"/>
      <c r="P4" s="54"/>
      <c r="Q4" s="97"/>
      <c r="R4" s="54"/>
    </row>
    <row r="5" spans="1:19" s="90" customFormat="1" ht="18" customHeight="1">
      <c r="A5" s="63" t="s">
        <v>121</v>
      </c>
      <c r="B5" s="63" t="s">
        <v>85</v>
      </c>
      <c r="C5" s="63" t="s">
        <v>122</v>
      </c>
      <c r="D5" s="64" t="s">
        <v>123</v>
      </c>
      <c r="E5" s="64" t="s">
        <v>124</v>
      </c>
      <c r="F5" s="64" t="s">
        <v>125</v>
      </c>
      <c r="G5" s="64" t="s">
        <v>126</v>
      </c>
      <c r="H5" s="64" t="s">
        <v>127</v>
      </c>
      <c r="I5" s="64" t="s">
        <v>128</v>
      </c>
      <c r="J5" s="64" t="s">
        <v>129</v>
      </c>
      <c r="K5" s="64" t="s">
        <v>130</v>
      </c>
      <c r="L5" s="64" t="s">
        <v>131</v>
      </c>
      <c r="M5" s="64" t="s">
        <v>132</v>
      </c>
      <c r="N5" s="64" t="s">
        <v>133</v>
      </c>
      <c r="O5" s="65" t="s">
        <v>134</v>
      </c>
      <c r="P5" s="65"/>
      <c r="Q5" s="66" t="s">
        <v>86</v>
      </c>
      <c r="R5" s="66" t="s">
        <v>135</v>
      </c>
      <c r="S5" s="65" t="s">
        <v>136</v>
      </c>
    </row>
    <row r="6" spans="1:19" s="56" customFormat="1">
      <c r="A6" s="67" t="s">
        <v>459</v>
      </c>
      <c r="B6" s="68" t="s">
        <v>460</v>
      </c>
      <c r="C6" s="67" t="s">
        <v>137</v>
      </c>
      <c r="D6" s="67" t="s">
        <v>138</v>
      </c>
      <c r="E6" s="67" t="s">
        <v>139</v>
      </c>
      <c r="F6" s="67" t="s">
        <v>140</v>
      </c>
      <c r="G6" s="69" t="s">
        <v>461</v>
      </c>
      <c r="H6" s="67">
        <v>0</v>
      </c>
      <c r="I6" s="67">
        <v>1</v>
      </c>
      <c r="J6" s="67" t="s">
        <v>346</v>
      </c>
      <c r="K6" s="67" t="s">
        <v>343</v>
      </c>
      <c r="L6" s="67" t="s">
        <v>3</v>
      </c>
      <c r="M6" s="67" t="s">
        <v>142</v>
      </c>
      <c r="N6" s="70">
        <v>1000</v>
      </c>
      <c r="O6" s="70">
        <v>1E-3</v>
      </c>
      <c r="P6" s="70"/>
      <c r="Q6" s="98">
        <v>24525</v>
      </c>
      <c r="R6" s="70">
        <v>24</v>
      </c>
      <c r="S6" s="70">
        <v>525</v>
      </c>
    </row>
    <row r="7" spans="1:19" s="56" customFormat="1">
      <c r="A7" s="67" t="s">
        <v>459</v>
      </c>
      <c r="B7" s="68" t="s">
        <v>460</v>
      </c>
      <c r="C7" s="67" t="s">
        <v>137</v>
      </c>
      <c r="D7" s="67" t="s">
        <v>138</v>
      </c>
      <c r="E7" s="67" t="s">
        <v>139</v>
      </c>
      <c r="F7" s="67" t="s">
        <v>140</v>
      </c>
      <c r="G7" s="69" t="s">
        <v>461</v>
      </c>
      <c r="H7" s="67">
        <v>0</v>
      </c>
      <c r="I7" s="67">
        <v>2</v>
      </c>
      <c r="J7" s="67" t="s">
        <v>376</v>
      </c>
      <c r="K7" s="67" t="s">
        <v>11</v>
      </c>
      <c r="L7" s="67" t="s">
        <v>3</v>
      </c>
      <c r="M7" s="67" t="s">
        <v>142</v>
      </c>
      <c r="N7" s="70">
        <v>1000</v>
      </c>
      <c r="O7" s="70">
        <v>1E-3</v>
      </c>
      <c r="P7" s="70"/>
      <c r="Q7" s="98">
        <v>660</v>
      </c>
      <c r="R7" s="70">
        <v>0</v>
      </c>
      <c r="S7" s="70">
        <v>660</v>
      </c>
    </row>
    <row r="8" spans="1:19" s="56" customFormat="1">
      <c r="A8" s="67" t="s">
        <v>459</v>
      </c>
      <c r="B8" s="68" t="s">
        <v>460</v>
      </c>
      <c r="C8" s="67" t="s">
        <v>137</v>
      </c>
      <c r="D8" s="67" t="s">
        <v>138</v>
      </c>
      <c r="E8" s="67" t="s">
        <v>139</v>
      </c>
      <c r="F8" s="67" t="s">
        <v>140</v>
      </c>
      <c r="G8" s="69" t="s">
        <v>461</v>
      </c>
      <c r="H8" s="67">
        <v>0</v>
      </c>
      <c r="I8" s="67">
        <v>3</v>
      </c>
      <c r="J8" s="67" t="s">
        <v>146</v>
      </c>
      <c r="K8" s="67" t="s">
        <v>46</v>
      </c>
      <c r="L8" s="67" t="s">
        <v>3</v>
      </c>
      <c r="M8" s="67" t="s">
        <v>142</v>
      </c>
      <c r="N8" s="70">
        <v>1000</v>
      </c>
      <c r="O8" s="70">
        <v>1E-3</v>
      </c>
      <c r="P8" s="70"/>
      <c r="Q8" s="98">
        <v>2236</v>
      </c>
      <c r="R8" s="70">
        <v>2</v>
      </c>
      <c r="S8" s="70">
        <v>236</v>
      </c>
    </row>
    <row r="9" spans="1:19" s="56" customFormat="1">
      <c r="A9" s="67" t="s">
        <v>459</v>
      </c>
      <c r="B9" s="68" t="s">
        <v>460</v>
      </c>
      <c r="C9" s="67" t="s">
        <v>137</v>
      </c>
      <c r="D9" s="67" t="s">
        <v>138</v>
      </c>
      <c r="E9" s="67" t="s">
        <v>139</v>
      </c>
      <c r="F9" s="67" t="s">
        <v>140</v>
      </c>
      <c r="G9" s="69" t="s">
        <v>461</v>
      </c>
      <c r="H9" s="67">
        <v>0</v>
      </c>
      <c r="I9" s="67">
        <v>4</v>
      </c>
      <c r="J9" s="67" t="s">
        <v>147</v>
      </c>
      <c r="K9" s="67" t="s">
        <v>41</v>
      </c>
      <c r="L9" s="67" t="s">
        <v>3</v>
      </c>
      <c r="M9" s="67" t="s">
        <v>142</v>
      </c>
      <c r="N9" s="70">
        <v>1000</v>
      </c>
      <c r="O9" s="70">
        <v>1E-3</v>
      </c>
      <c r="P9" s="70"/>
      <c r="Q9" s="98">
        <v>3675</v>
      </c>
      <c r="R9" s="70">
        <v>3</v>
      </c>
      <c r="S9" s="70">
        <v>675</v>
      </c>
    </row>
    <row r="10" spans="1:19" s="56" customFormat="1">
      <c r="A10" s="67" t="s">
        <v>459</v>
      </c>
      <c r="B10" s="68" t="s">
        <v>460</v>
      </c>
      <c r="C10" s="67" t="s">
        <v>137</v>
      </c>
      <c r="D10" s="67" t="s">
        <v>138</v>
      </c>
      <c r="E10" s="67" t="s">
        <v>139</v>
      </c>
      <c r="F10" s="67" t="s">
        <v>140</v>
      </c>
      <c r="G10" s="69" t="s">
        <v>461</v>
      </c>
      <c r="H10" s="67">
        <v>0</v>
      </c>
      <c r="I10" s="67">
        <v>5</v>
      </c>
      <c r="J10" s="67" t="s">
        <v>149</v>
      </c>
      <c r="K10" s="67" t="s">
        <v>24</v>
      </c>
      <c r="L10" s="67" t="s">
        <v>3</v>
      </c>
      <c r="M10" s="67" t="s">
        <v>142</v>
      </c>
      <c r="N10" s="70">
        <v>1000</v>
      </c>
      <c r="O10" s="70">
        <v>19</v>
      </c>
      <c r="P10" s="70"/>
      <c r="Q10" s="98">
        <v>2500</v>
      </c>
      <c r="R10" s="70">
        <v>2</v>
      </c>
      <c r="S10" s="70">
        <v>500</v>
      </c>
    </row>
    <row r="11" spans="1:19" s="56" customFormat="1">
      <c r="A11" s="67" t="s">
        <v>459</v>
      </c>
      <c r="B11" s="68" t="s">
        <v>460</v>
      </c>
      <c r="C11" s="67" t="s">
        <v>137</v>
      </c>
      <c r="D11" s="67" t="s">
        <v>138</v>
      </c>
      <c r="E11" s="67" t="s">
        <v>139</v>
      </c>
      <c r="F11" s="67" t="s">
        <v>140</v>
      </c>
      <c r="G11" s="69" t="s">
        <v>461</v>
      </c>
      <c r="H11" s="67">
        <v>0</v>
      </c>
      <c r="I11" s="67">
        <v>6</v>
      </c>
      <c r="J11" s="67" t="s">
        <v>150</v>
      </c>
      <c r="K11" s="67" t="s">
        <v>32</v>
      </c>
      <c r="L11" s="67" t="s">
        <v>3</v>
      </c>
      <c r="M11" s="67" t="s">
        <v>142</v>
      </c>
      <c r="N11" s="70">
        <v>1000</v>
      </c>
      <c r="O11" s="70">
        <v>20.5</v>
      </c>
      <c r="P11" s="70"/>
      <c r="Q11" s="98">
        <v>500</v>
      </c>
      <c r="R11" s="70">
        <v>0</v>
      </c>
      <c r="S11" s="70">
        <v>500</v>
      </c>
    </row>
    <row r="12" spans="1:19" s="56" customFormat="1">
      <c r="A12" s="67" t="s">
        <v>459</v>
      </c>
      <c r="B12" s="68" t="s">
        <v>460</v>
      </c>
      <c r="C12" s="67" t="s">
        <v>137</v>
      </c>
      <c r="D12" s="67" t="s">
        <v>138</v>
      </c>
      <c r="E12" s="67" t="s">
        <v>139</v>
      </c>
      <c r="F12" s="67" t="s">
        <v>140</v>
      </c>
      <c r="G12" s="69" t="s">
        <v>461</v>
      </c>
      <c r="H12" s="67">
        <v>0</v>
      </c>
      <c r="I12" s="67">
        <v>7</v>
      </c>
      <c r="J12" s="67" t="s">
        <v>152</v>
      </c>
      <c r="K12" s="67" t="s">
        <v>57</v>
      </c>
      <c r="L12" s="67" t="s">
        <v>3</v>
      </c>
      <c r="M12" s="67" t="s">
        <v>142</v>
      </c>
      <c r="N12" s="70">
        <v>1000</v>
      </c>
      <c r="O12" s="70">
        <v>16</v>
      </c>
      <c r="P12" s="70"/>
      <c r="Q12" s="98">
        <v>25000</v>
      </c>
      <c r="R12" s="70">
        <v>25</v>
      </c>
      <c r="S12" s="70">
        <v>0</v>
      </c>
    </row>
    <row r="13" spans="1:19" s="56" customFormat="1">
      <c r="A13" s="67" t="s">
        <v>459</v>
      </c>
      <c r="B13" s="68" t="s">
        <v>460</v>
      </c>
      <c r="C13" s="67" t="s">
        <v>137</v>
      </c>
      <c r="D13" s="67" t="s">
        <v>138</v>
      </c>
      <c r="E13" s="67" t="s">
        <v>139</v>
      </c>
      <c r="F13" s="67" t="s">
        <v>140</v>
      </c>
      <c r="G13" s="69" t="s">
        <v>461</v>
      </c>
      <c r="H13" s="67">
        <v>0</v>
      </c>
      <c r="I13" s="67">
        <v>8</v>
      </c>
      <c r="J13" s="67" t="s">
        <v>314</v>
      </c>
      <c r="K13" s="67" t="s">
        <v>281</v>
      </c>
      <c r="L13" s="67" t="s">
        <v>3</v>
      </c>
      <c r="M13" s="67" t="s">
        <v>142</v>
      </c>
      <c r="N13" s="70">
        <v>1000</v>
      </c>
      <c r="O13" s="70">
        <v>1E-3</v>
      </c>
      <c r="P13" s="70"/>
      <c r="Q13" s="98">
        <v>180000</v>
      </c>
      <c r="R13" s="70">
        <v>180</v>
      </c>
      <c r="S13" s="70">
        <v>0</v>
      </c>
    </row>
    <row r="14" spans="1:19" s="56" customFormat="1">
      <c r="A14" s="67" t="s">
        <v>459</v>
      </c>
      <c r="B14" s="68" t="s">
        <v>460</v>
      </c>
      <c r="C14" s="67" t="s">
        <v>137</v>
      </c>
      <c r="D14" s="67" t="s">
        <v>138</v>
      </c>
      <c r="E14" s="67" t="s">
        <v>139</v>
      </c>
      <c r="F14" s="67" t="s">
        <v>153</v>
      </c>
      <c r="G14" s="69" t="s">
        <v>461</v>
      </c>
      <c r="H14" s="67">
        <v>0</v>
      </c>
      <c r="I14" s="67">
        <v>9</v>
      </c>
      <c r="J14" s="67" t="s">
        <v>154</v>
      </c>
      <c r="K14" s="67" t="s">
        <v>23</v>
      </c>
      <c r="L14" s="67" t="s">
        <v>3</v>
      </c>
      <c r="M14" s="67" t="s">
        <v>142</v>
      </c>
      <c r="N14" s="70">
        <v>1000</v>
      </c>
      <c r="O14" s="70">
        <v>32.021000000000001</v>
      </c>
      <c r="P14" s="70"/>
      <c r="Q14" s="98">
        <v>50000</v>
      </c>
      <c r="R14" s="70">
        <v>50</v>
      </c>
      <c r="S14" s="70">
        <v>0</v>
      </c>
    </row>
    <row r="15" spans="1:19" s="56" customFormat="1">
      <c r="A15" s="67" t="s">
        <v>459</v>
      </c>
      <c r="B15" s="68" t="s">
        <v>460</v>
      </c>
      <c r="C15" s="67" t="s">
        <v>137</v>
      </c>
      <c r="D15" s="67" t="s">
        <v>138</v>
      </c>
      <c r="E15" s="67" t="s">
        <v>139</v>
      </c>
      <c r="F15" s="67" t="s">
        <v>153</v>
      </c>
      <c r="G15" s="69" t="s">
        <v>461</v>
      </c>
      <c r="H15" s="67">
        <v>0</v>
      </c>
      <c r="I15" s="67">
        <v>10</v>
      </c>
      <c r="J15" s="67" t="s">
        <v>155</v>
      </c>
      <c r="K15" s="67" t="s">
        <v>33</v>
      </c>
      <c r="L15" s="67" t="s">
        <v>3</v>
      </c>
      <c r="M15" s="67" t="s">
        <v>142</v>
      </c>
      <c r="N15" s="70">
        <v>1000</v>
      </c>
      <c r="O15" s="70">
        <v>13.6</v>
      </c>
      <c r="P15" s="70"/>
      <c r="Q15" s="98">
        <v>50000</v>
      </c>
      <c r="R15" s="70">
        <v>50</v>
      </c>
      <c r="S15" s="70">
        <v>0</v>
      </c>
    </row>
    <row r="16" spans="1:19" s="56" customFormat="1">
      <c r="A16" s="67" t="s">
        <v>459</v>
      </c>
      <c r="B16" s="68" t="s">
        <v>460</v>
      </c>
      <c r="C16" s="67" t="s">
        <v>137</v>
      </c>
      <c r="D16" s="67" t="s">
        <v>138</v>
      </c>
      <c r="E16" s="67" t="s">
        <v>139</v>
      </c>
      <c r="F16" s="67" t="s">
        <v>153</v>
      </c>
      <c r="G16" s="69" t="s">
        <v>461</v>
      </c>
      <c r="H16" s="67">
        <v>0</v>
      </c>
      <c r="I16" s="67">
        <v>11</v>
      </c>
      <c r="J16" s="67" t="s">
        <v>251</v>
      </c>
      <c r="K16" s="67" t="s">
        <v>249</v>
      </c>
      <c r="L16" s="67" t="s">
        <v>3</v>
      </c>
      <c r="M16" s="67" t="s">
        <v>142</v>
      </c>
      <c r="N16" s="70">
        <v>1000</v>
      </c>
      <c r="O16" s="70">
        <v>1E-3</v>
      </c>
      <c r="P16" s="70"/>
      <c r="Q16" s="98">
        <v>5000</v>
      </c>
      <c r="R16" s="70">
        <v>5</v>
      </c>
      <c r="S16" s="70">
        <v>0</v>
      </c>
    </row>
    <row r="17" spans="1:19" s="56" customFormat="1">
      <c r="A17" s="67" t="s">
        <v>459</v>
      </c>
      <c r="B17" s="68" t="s">
        <v>460</v>
      </c>
      <c r="C17" s="67" t="s">
        <v>137</v>
      </c>
      <c r="D17" s="67" t="s">
        <v>138</v>
      </c>
      <c r="E17" s="67" t="s">
        <v>139</v>
      </c>
      <c r="F17" s="67" t="s">
        <v>153</v>
      </c>
      <c r="G17" s="69" t="s">
        <v>461</v>
      </c>
      <c r="H17" s="67">
        <v>0</v>
      </c>
      <c r="I17" s="67">
        <v>12</v>
      </c>
      <c r="J17" s="67" t="s">
        <v>317</v>
      </c>
      <c r="K17" s="67" t="s">
        <v>17</v>
      </c>
      <c r="L17" s="67" t="s">
        <v>3</v>
      </c>
      <c r="M17" s="67" t="s">
        <v>142</v>
      </c>
      <c r="N17" s="70">
        <v>1000</v>
      </c>
      <c r="O17" s="70">
        <v>1E-3</v>
      </c>
      <c r="P17" s="70"/>
      <c r="Q17" s="98">
        <v>18000</v>
      </c>
      <c r="R17" s="70">
        <v>18</v>
      </c>
      <c r="S17" s="70">
        <v>0</v>
      </c>
    </row>
    <row r="18" spans="1:19" s="56" customFormat="1">
      <c r="A18" s="67" t="s">
        <v>459</v>
      </c>
      <c r="B18" s="68" t="s">
        <v>460</v>
      </c>
      <c r="C18" s="67" t="s">
        <v>137</v>
      </c>
      <c r="D18" s="67" t="s">
        <v>138</v>
      </c>
      <c r="E18" s="67" t="s">
        <v>139</v>
      </c>
      <c r="F18" s="67" t="s">
        <v>153</v>
      </c>
      <c r="G18" s="69" t="s">
        <v>461</v>
      </c>
      <c r="H18" s="67">
        <v>0</v>
      </c>
      <c r="I18" s="67">
        <v>13</v>
      </c>
      <c r="J18" s="67" t="s">
        <v>315</v>
      </c>
      <c r="K18" s="67" t="s">
        <v>47</v>
      </c>
      <c r="L18" s="67" t="s">
        <v>3</v>
      </c>
      <c r="M18" s="67" t="s">
        <v>142</v>
      </c>
      <c r="N18" s="70">
        <v>1000</v>
      </c>
      <c r="O18" s="70">
        <v>1E-3</v>
      </c>
      <c r="P18" s="70"/>
      <c r="Q18" s="98">
        <v>2000</v>
      </c>
      <c r="R18" s="70">
        <v>2</v>
      </c>
      <c r="S18" s="70">
        <v>0</v>
      </c>
    </row>
    <row r="19" spans="1:19" s="56" customFormat="1">
      <c r="A19" s="67" t="s">
        <v>459</v>
      </c>
      <c r="B19" s="68" t="s">
        <v>460</v>
      </c>
      <c r="C19" s="67" t="s">
        <v>137</v>
      </c>
      <c r="D19" s="67" t="s">
        <v>138</v>
      </c>
      <c r="E19" s="67" t="s">
        <v>139</v>
      </c>
      <c r="F19" s="67" t="s">
        <v>153</v>
      </c>
      <c r="G19" s="69" t="s">
        <v>461</v>
      </c>
      <c r="H19" s="67">
        <v>0</v>
      </c>
      <c r="I19" s="67">
        <v>14</v>
      </c>
      <c r="J19" s="67" t="s">
        <v>172</v>
      </c>
      <c r="K19" s="67" t="s">
        <v>8</v>
      </c>
      <c r="L19" s="67" t="s">
        <v>3</v>
      </c>
      <c r="M19" s="67" t="s">
        <v>142</v>
      </c>
      <c r="N19" s="70">
        <v>1000</v>
      </c>
      <c r="O19" s="70">
        <v>1E-3</v>
      </c>
      <c r="P19" s="70"/>
      <c r="Q19" s="98">
        <v>500</v>
      </c>
      <c r="R19" s="70">
        <v>0</v>
      </c>
      <c r="S19" s="70">
        <v>500</v>
      </c>
    </row>
    <row r="20" spans="1:19" s="56" customFormat="1">
      <c r="A20" s="67" t="s">
        <v>459</v>
      </c>
      <c r="B20" s="68" t="s">
        <v>460</v>
      </c>
      <c r="C20" s="67" t="s">
        <v>137</v>
      </c>
      <c r="D20" s="67" t="s">
        <v>138</v>
      </c>
      <c r="E20" s="67" t="s">
        <v>139</v>
      </c>
      <c r="F20" s="67" t="s">
        <v>153</v>
      </c>
      <c r="G20" s="69" t="s">
        <v>461</v>
      </c>
      <c r="H20" s="67">
        <v>0</v>
      </c>
      <c r="I20" s="67">
        <v>15</v>
      </c>
      <c r="J20" s="67" t="s">
        <v>174</v>
      </c>
      <c r="K20" s="67" t="s">
        <v>13</v>
      </c>
      <c r="L20" s="67" t="s">
        <v>3</v>
      </c>
      <c r="M20" s="67" t="s">
        <v>142</v>
      </c>
      <c r="N20" s="70">
        <v>1000</v>
      </c>
      <c r="O20" s="70">
        <v>1E-3</v>
      </c>
      <c r="P20" s="70"/>
      <c r="Q20" s="98">
        <v>3976</v>
      </c>
      <c r="R20" s="70">
        <v>3</v>
      </c>
      <c r="S20" s="70">
        <v>976</v>
      </c>
    </row>
    <row r="21" spans="1:19" s="56" customFormat="1">
      <c r="A21" s="67" t="s">
        <v>459</v>
      </c>
      <c r="B21" s="68" t="s">
        <v>460</v>
      </c>
      <c r="C21" s="67" t="s">
        <v>137</v>
      </c>
      <c r="D21" s="67" t="s">
        <v>138</v>
      </c>
      <c r="E21" s="67" t="s">
        <v>139</v>
      </c>
      <c r="F21" s="67" t="s">
        <v>153</v>
      </c>
      <c r="G21" s="69" t="s">
        <v>461</v>
      </c>
      <c r="H21" s="67">
        <v>0</v>
      </c>
      <c r="I21" s="67">
        <v>16</v>
      </c>
      <c r="J21" s="67" t="s">
        <v>246</v>
      </c>
      <c r="K21" s="67" t="s">
        <v>7</v>
      </c>
      <c r="L21" s="67" t="s">
        <v>3</v>
      </c>
      <c r="M21" s="67" t="s">
        <v>142</v>
      </c>
      <c r="N21" s="70">
        <v>1000</v>
      </c>
      <c r="O21" s="70">
        <v>1E-3</v>
      </c>
      <c r="P21" s="70"/>
      <c r="Q21" s="98">
        <v>4000</v>
      </c>
      <c r="R21" s="70">
        <v>4</v>
      </c>
      <c r="S21" s="70">
        <v>0</v>
      </c>
    </row>
    <row r="22" spans="1:19" s="56" customFormat="1">
      <c r="A22" s="67" t="s">
        <v>459</v>
      </c>
      <c r="B22" s="68" t="s">
        <v>460</v>
      </c>
      <c r="C22" s="67" t="s">
        <v>137</v>
      </c>
      <c r="D22" s="67" t="s">
        <v>138</v>
      </c>
      <c r="E22" s="67" t="s">
        <v>139</v>
      </c>
      <c r="F22" s="67" t="s">
        <v>153</v>
      </c>
      <c r="G22" s="69" t="s">
        <v>461</v>
      </c>
      <c r="H22" s="67">
        <v>0</v>
      </c>
      <c r="I22" s="67">
        <v>17</v>
      </c>
      <c r="J22" s="67" t="s">
        <v>247</v>
      </c>
      <c r="K22" s="67" t="s">
        <v>79</v>
      </c>
      <c r="L22" s="67" t="s">
        <v>3</v>
      </c>
      <c r="M22" s="67" t="s">
        <v>142</v>
      </c>
      <c r="N22" s="70">
        <v>1000</v>
      </c>
      <c r="O22" s="70">
        <v>1E-3</v>
      </c>
      <c r="P22" s="70"/>
      <c r="Q22" s="98">
        <v>4000</v>
      </c>
      <c r="R22" s="70">
        <v>4</v>
      </c>
      <c r="S22" s="70">
        <v>0</v>
      </c>
    </row>
    <row r="23" spans="1:19" s="56" customFormat="1">
      <c r="A23" s="67" t="s">
        <v>459</v>
      </c>
      <c r="B23" s="68" t="s">
        <v>460</v>
      </c>
      <c r="C23" s="67" t="s">
        <v>137</v>
      </c>
      <c r="D23" s="67" t="s">
        <v>138</v>
      </c>
      <c r="E23" s="67" t="s">
        <v>139</v>
      </c>
      <c r="F23" s="67" t="s">
        <v>166</v>
      </c>
      <c r="G23" s="69" t="s">
        <v>461</v>
      </c>
      <c r="H23" s="67">
        <v>0</v>
      </c>
      <c r="I23" s="67">
        <v>18</v>
      </c>
      <c r="J23" s="67" t="s">
        <v>306</v>
      </c>
      <c r="K23" s="67" t="s">
        <v>52</v>
      </c>
      <c r="L23" s="67" t="s">
        <v>3</v>
      </c>
      <c r="M23" s="67" t="s">
        <v>142</v>
      </c>
      <c r="N23" s="70">
        <v>1000</v>
      </c>
      <c r="O23" s="70">
        <v>1E-3</v>
      </c>
      <c r="P23" s="70"/>
      <c r="Q23" s="98">
        <v>300000</v>
      </c>
      <c r="R23" s="70">
        <v>300</v>
      </c>
      <c r="S23" s="70">
        <v>0</v>
      </c>
    </row>
    <row r="24" spans="1:19" s="56" customFormat="1">
      <c r="A24" s="67" t="s">
        <v>459</v>
      </c>
      <c r="B24" s="68" t="s">
        <v>460</v>
      </c>
      <c r="C24" s="67" t="s">
        <v>137</v>
      </c>
      <c r="D24" s="67" t="s">
        <v>138</v>
      </c>
      <c r="E24" s="67" t="s">
        <v>139</v>
      </c>
      <c r="F24" s="67" t="s">
        <v>166</v>
      </c>
      <c r="G24" s="69" t="s">
        <v>461</v>
      </c>
      <c r="H24" s="67">
        <v>0</v>
      </c>
      <c r="I24" s="67">
        <v>19</v>
      </c>
      <c r="J24" s="67" t="s">
        <v>462</v>
      </c>
      <c r="K24" s="67" t="s">
        <v>54</v>
      </c>
      <c r="L24" s="67" t="s">
        <v>3</v>
      </c>
      <c r="M24" s="67" t="s">
        <v>142</v>
      </c>
      <c r="N24" s="70">
        <v>1000</v>
      </c>
      <c r="O24" s="70">
        <v>1E-3</v>
      </c>
      <c r="P24" s="70"/>
      <c r="Q24" s="98">
        <v>70000</v>
      </c>
      <c r="R24" s="70">
        <v>70</v>
      </c>
      <c r="S24" s="70">
        <v>0</v>
      </c>
    </row>
    <row r="25" spans="1:19" s="56" customFormat="1">
      <c r="A25" s="67" t="s">
        <v>459</v>
      </c>
      <c r="B25" s="68" t="s">
        <v>460</v>
      </c>
      <c r="C25" s="67" t="s">
        <v>137</v>
      </c>
      <c r="D25" s="67" t="s">
        <v>138</v>
      </c>
      <c r="E25" s="67" t="s">
        <v>139</v>
      </c>
      <c r="F25" s="67" t="s">
        <v>162</v>
      </c>
      <c r="G25" s="69" t="s">
        <v>461</v>
      </c>
      <c r="H25" s="67">
        <v>0</v>
      </c>
      <c r="I25" s="67">
        <v>20</v>
      </c>
      <c r="J25" s="67" t="s">
        <v>377</v>
      </c>
      <c r="K25" s="67" t="s">
        <v>372</v>
      </c>
      <c r="L25" s="67" t="s">
        <v>3</v>
      </c>
      <c r="M25" s="67" t="s">
        <v>142</v>
      </c>
      <c r="N25" s="70">
        <v>1000</v>
      </c>
      <c r="O25" s="70">
        <v>1E-3</v>
      </c>
      <c r="P25" s="70"/>
      <c r="Q25" s="98">
        <v>475000</v>
      </c>
      <c r="R25" s="70">
        <v>475</v>
      </c>
      <c r="S25" s="70">
        <v>0</v>
      </c>
    </row>
    <row r="26" spans="1:19" s="56" customFormat="1">
      <c r="A26" s="67" t="s">
        <v>459</v>
      </c>
      <c r="B26" s="68" t="s">
        <v>460</v>
      </c>
      <c r="C26" s="67" t="s">
        <v>137</v>
      </c>
      <c r="D26" s="67" t="s">
        <v>138</v>
      </c>
      <c r="E26" s="67" t="s">
        <v>139</v>
      </c>
      <c r="F26" s="67" t="s">
        <v>162</v>
      </c>
      <c r="G26" s="69" t="s">
        <v>461</v>
      </c>
      <c r="H26" s="67">
        <v>0</v>
      </c>
      <c r="I26" s="67">
        <v>21</v>
      </c>
      <c r="J26" s="67" t="s">
        <v>262</v>
      </c>
      <c r="K26" s="67" t="s">
        <v>258</v>
      </c>
      <c r="L26" s="67" t="s">
        <v>3</v>
      </c>
      <c r="M26" s="67" t="s">
        <v>142</v>
      </c>
      <c r="N26" s="70">
        <v>1000</v>
      </c>
      <c r="O26" s="70">
        <v>1E-3</v>
      </c>
      <c r="P26" s="70"/>
      <c r="Q26" s="98">
        <v>15000</v>
      </c>
      <c r="R26" s="70">
        <v>15</v>
      </c>
      <c r="S26" s="70">
        <v>0</v>
      </c>
    </row>
    <row r="27" spans="1:19" s="56" customFormat="1">
      <c r="A27" s="67" t="s">
        <v>459</v>
      </c>
      <c r="B27" s="68" t="s">
        <v>460</v>
      </c>
      <c r="C27" s="67" t="s">
        <v>137</v>
      </c>
      <c r="D27" s="67" t="s">
        <v>138</v>
      </c>
      <c r="E27" s="67" t="s">
        <v>139</v>
      </c>
      <c r="F27" s="67" t="s">
        <v>162</v>
      </c>
      <c r="G27" s="69" t="s">
        <v>461</v>
      </c>
      <c r="H27" s="67">
        <v>0</v>
      </c>
      <c r="I27" s="67">
        <v>22</v>
      </c>
      <c r="J27" s="67" t="s">
        <v>263</v>
      </c>
      <c r="K27" s="67" t="s">
        <v>259</v>
      </c>
      <c r="L27" s="67" t="s">
        <v>3</v>
      </c>
      <c r="M27" s="67" t="s">
        <v>142</v>
      </c>
      <c r="N27" s="70">
        <v>1000</v>
      </c>
      <c r="O27" s="70">
        <v>1E-3</v>
      </c>
      <c r="P27" s="70"/>
      <c r="Q27" s="98">
        <v>17000</v>
      </c>
      <c r="R27" s="70">
        <v>17</v>
      </c>
      <c r="S27" s="70">
        <v>0</v>
      </c>
    </row>
    <row r="28" spans="1:19" s="56" customFormat="1">
      <c r="A28" s="67" t="s">
        <v>459</v>
      </c>
      <c r="B28" s="68" t="s">
        <v>460</v>
      </c>
      <c r="C28" s="67" t="s">
        <v>137</v>
      </c>
      <c r="D28" s="67" t="s">
        <v>138</v>
      </c>
      <c r="E28" s="67" t="s">
        <v>139</v>
      </c>
      <c r="F28" s="67" t="s">
        <v>162</v>
      </c>
      <c r="G28" s="69" t="s">
        <v>461</v>
      </c>
      <c r="H28" s="67">
        <v>0</v>
      </c>
      <c r="I28" s="67">
        <v>23</v>
      </c>
      <c r="J28" s="67" t="s">
        <v>463</v>
      </c>
      <c r="K28" s="67" t="s">
        <v>371</v>
      </c>
      <c r="L28" s="67" t="s">
        <v>464</v>
      </c>
      <c r="M28" s="67" t="s">
        <v>142</v>
      </c>
      <c r="N28" s="70">
        <v>1000</v>
      </c>
      <c r="O28" s="70">
        <v>1E-3</v>
      </c>
      <c r="P28" s="70"/>
      <c r="Q28" s="98">
        <v>30000</v>
      </c>
      <c r="R28" s="70">
        <v>30</v>
      </c>
      <c r="S28" s="70">
        <v>0</v>
      </c>
    </row>
    <row r="29" spans="1:19" s="56" customFormat="1">
      <c r="A29" s="67" t="s">
        <v>459</v>
      </c>
      <c r="B29" s="68" t="s">
        <v>460</v>
      </c>
      <c r="C29" s="67" t="s">
        <v>137</v>
      </c>
      <c r="D29" s="67" t="s">
        <v>138</v>
      </c>
      <c r="E29" s="67" t="s">
        <v>139</v>
      </c>
      <c r="F29" s="67" t="s">
        <v>162</v>
      </c>
      <c r="G29" s="69" t="s">
        <v>461</v>
      </c>
      <c r="H29" s="67">
        <v>0</v>
      </c>
      <c r="I29" s="67">
        <v>24</v>
      </c>
      <c r="J29" s="67" t="s">
        <v>164</v>
      </c>
      <c r="K29" s="67" t="s">
        <v>74</v>
      </c>
      <c r="L29" s="67" t="s">
        <v>5</v>
      </c>
      <c r="M29" s="67" t="s">
        <v>142</v>
      </c>
      <c r="N29" s="70">
        <v>1000</v>
      </c>
      <c r="O29" s="70">
        <v>1E-3</v>
      </c>
      <c r="P29" s="70"/>
      <c r="Q29" s="98">
        <v>15000</v>
      </c>
      <c r="R29" s="70">
        <v>15</v>
      </c>
      <c r="S29" s="70">
        <v>0</v>
      </c>
    </row>
    <row r="30" spans="1:19" s="56" customFormat="1">
      <c r="A30" s="67" t="s">
        <v>465</v>
      </c>
      <c r="B30" s="68" t="s">
        <v>460</v>
      </c>
      <c r="C30" s="67" t="s">
        <v>137</v>
      </c>
      <c r="D30" s="67" t="s">
        <v>138</v>
      </c>
      <c r="E30" s="67" t="s">
        <v>139</v>
      </c>
      <c r="F30" s="67" t="s">
        <v>140</v>
      </c>
      <c r="G30" s="69" t="s">
        <v>305</v>
      </c>
      <c r="H30" s="67">
        <v>0</v>
      </c>
      <c r="I30" s="67">
        <v>1</v>
      </c>
      <c r="J30" s="67" t="s">
        <v>141</v>
      </c>
      <c r="K30" s="67" t="s">
        <v>37</v>
      </c>
      <c r="L30" s="67" t="s">
        <v>3</v>
      </c>
      <c r="M30" s="67" t="s">
        <v>142</v>
      </c>
      <c r="N30" s="70">
        <v>1000</v>
      </c>
      <c r="O30" s="70">
        <v>200</v>
      </c>
      <c r="P30" s="70"/>
      <c r="Q30" s="98">
        <v>9534</v>
      </c>
      <c r="R30" s="70">
        <v>9</v>
      </c>
      <c r="S30" s="70">
        <v>534</v>
      </c>
    </row>
    <row r="31" spans="1:19" s="56" customFormat="1">
      <c r="A31" s="67" t="s">
        <v>465</v>
      </c>
      <c r="B31" s="68" t="s">
        <v>460</v>
      </c>
      <c r="C31" s="67" t="s">
        <v>137</v>
      </c>
      <c r="D31" s="67" t="s">
        <v>138</v>
      </c>
      <c r="E31" s="67" t="s">
        <v>139</v>
      </c>
      <c r="F31" s="67" t="s">
        <v>140</v>
      </c>
      <c r="G31" s="69" t="s">
        <v>305</v>
      </c>
      <c r="H31" s="67">
        <v>0</v>
      </c>
      <c r="I31" s="67">
        <v>2</v>
      </c>
      <c r="J31" s="67" t="s">
        <v>346</v>
      </c>
      <c r="K31" s="67" t="s">
        <v>343</v>
      </c>
      <c r="L31" s="67" t="s">
        <v>3</v>
      </c>
      <c r="M31" s="67" t="s">
        <v>142</v>
      </c>
      <c r="N31" s="70">
        <v>1000</v>
      </c>
      <c r="O31" s="70">
        <v>1E-3</v>
      </c>
      <c r="P31" s="70"/>
      <c r="Q31" s="98">
        <v>18456</v>
      </c>
      <c r="R31" s="70">
        <v>18</v>
      </c>
      <c r="S31" s="70">
        <v>456</v>
      </c>
    </row>
    <row r="32" spans="1:19" s="56" customFormat="1">
      <c r="A32" s="67" t="s">
        <v>465</v>
      </c>
      <c r="B32" s="68" t="s">
        <v>460</v>
      </c>
      <c r="C32" s="67" t="s">
        <v>137</v>
      </c>
      <c r="D32" s="67" t="s">
        <v>138</v>
      </c>
      <c r="E32" s="67" t="s">
        <v>139</v>
      </c>
      <c r="F32" s="67" t="s">
        <v>140</v>
      </c>
      <c r="G32" s="69" t="s">
        <v>305</v>
      </c>
      <c r="H32" s="67">
        <v>0</v>
      </c>
      <c r="I32" s="67">
        <v>3</v>
      </c>
      <c r="J32" s="67" t="s">
        <v>169</v>
      </c>
      <c r="K32" s="67" t="s">
        <v>64</v>
      </c>
      <c r="L32" s="67" t="s">
        <v>3</v>
      </c>
      <c r="M32" s="67" t="s">
        <v>142</v>
      </c>
      <c r="N32" s="70">
        <v>1000</v>
      </c>
      <c r="O32" s="70">
        <v>1E-3</v>
      </c>
      <c r="P32" s="70"/>
      <c r="Q32" s="98">
        <v>196</v>
      </c>
      <c r="R32" s="70">
        <v>0</v>
      </c>
      <c r="S32" s="70">
        <v>196</v>
      </c>
    </row>
    <row r="33" spans="1:19" s="56" customFormat="1">
      <c r="A33" s="67" t="s">
        <v>465</v>
      </c>
      <c r="B33" s="68" t="s">
        <v>460</v>
      </c>
      <c r="C33" s="67" t="s">
        <v>137</v>
      </c>
      <c r="D33" s="67" t="s">
        <v>138</v>
      </c>
      <c r="E33" s="67" t="s">
        <v>139</v>
      </c>
      <c r="F33" s="67" t="s">
        <v>140</v>
      </c>
      <c r="G33" s="69" t="s">
        <v>305</v>
      </c>
      <c r="H33" s="67">
        <v>0</v>
      </c>
      <c r="I33" s="67">
        <v>4</v>
      </c>
      <c r="J33" s="67" t="s">
        <v>143</v>
      </c>
      <c r="K33" s="67" t="s">
        <v>90</v>
      </c>
      <c r="L33" s="67" t="s">
        <v>3</v>
      </c>
      <c r="M33" s="67" t="s">
        <v>142</v>
      </c>
      <c r="N33" s="70">
        <v>1000</v>
      </c>
      <c r="O33" s="70">
        <v>359.59699999999998</v>
      </c>
      <c r="P33" s="70"/>
      <c r="Q33" s="98">
        <v>567</v>
      </c>
      <c r="R33" s="70">
        <v>0</v>
      </c>
      <c r="S33" s="70">
        <v>567</v>
      </c>
    </row>
    <row r="34" spans="1:19" s="56" customFormat="1">
      <c r="A34" s="67" t="s">
        <v>465</v>
      </c>
      <c r="B34" s="68" t="s">
        <v>460</v>
      </c>
      <c r="C34" s="67" t="s">
        <v>137</v>
      </c>
      <c r="D34" s="67" t="s">
        <v>138</v>
      </c>
      <c r="E34" s="67" t="s">
        <v>139</v>
      </c>
      <c r="F34" s="67" t="s">
        <v>140</v>
      </c>
      <c r="G34" s="69" t="s">
        <v>305</v>
      </c>
      <c r="H34" s="67">
        <v>0</v>
      </c>
      <c r="I34" s="67">
        <v>5</v>
      </c>
      <c r="J34" s="67" t="s">
        <v>250</v>
      </c>
      <c r="K34" s="67" t="s">
        <v>38</v>
      </c>
      <c r="L34" s="67" t="s">
        <v>3</v>
      </c>
      <c r="M34" s="67" t="s">
        <v>142</v>
      </c>
      <c r="N34" s="70">
        <v>1000</v>
      </c>
      <c r="O34" s="70">
        <v>1E-3</v>
      </c>
      <c r="P34" s="70"/>
      <c r="Q34" s="98">
        <v>136</v>
      </c>
      <c r="R34" s="70">
        <v>0</v>
      </c>
      <c r="S34" s="70">
        <v>136</v>
      </c>
    </row>
    <row r="35" spans="1:19" s="56" customFormat="1">
      <c r="A35" s="67" t="s">
        <v>465</v>
      </c>
      <c r="B35" s="68" t="s">
        <v>460</v>
      </c>
      <c r="C35" s="67" t="s">
        <v>137</v>
      </c>
      <c r="D35" s="67" t="s">
        <v>138</v>
      </c>
      <c r="E35" s="67" t="s">
        <v>139</v>
      </c>
      <c r="F35" s="67" t="s">
        <v>140</v>
      </c>
      <c r="G35" s="69" t="s">
        <v>305</v>
      </c>
      <c r="H35" s="67">
        <v>0</v>
      </c>
      <c r="I35" s="67">
        <v>6</v>
      </c>
      <c r="J35" s="67" t="s">
        <v>144</v>
      </c>
      <c r="K35" s="67" t="s">
        <v>26</v>
      </c>
      <c r="L35" s="67" t="s">
        <v>3</v>
      </c>
      <c r="M35" s="67" t="s">
        <v>142</v>
      </c>
      <c r="N35" s="70">
        <v>1000</v>
      </c>
      <c r="O35" s="70">
        <v>1E-3</v>
      </c>
      <c r="P35" s="70"/>
      <c r="Q35" s="98">
        <v>5506</v>
      </c>
      <c r="R35" s="70">
        <v>5</v>
      </c>
      <c r="S35" s="70">
        <v>506</v>
      </c>
    </row>
    <row r="36" spans="1:19" s="56" customFormat="1">
      <c r="A36" s="67" t="s">
        <v>465</v>
      </c>
      <c r="B36" s="68" t="s">
        <v>460</v>
      </c>
      <c r="C36" s="67" t="s">
        <v>137</v>
      </c>
      <c r="D36" s="67" t="s">
        <v>138</v>
      </c>
      <c r="E36" s="67" t="s">
        <v>139</v>
      </c>
      <c r="F36" s="67" t="s">
        <v>140</v>
      </c>
      <c r="G36" s="69" t="s">
        <v>305</v>
      </c>
      <c r="H36" s="67">
        <v>0</v>
      </c>
      <c r="I36" s="67">
        <v>7</v>
      </c>
      <c r="J36" s="67" t="s">
        <v>145</v>
      </c>
      <c r="K36" s="67" t="s">
        <v>27</v>
      </c>
      <c r="L36" s="67" t="s">
        <v>3</v>
      </c>
      <c r="M36" s="67" t="s">
        <v>142</v>
      </c>
      <c r="N36" s="70">
        <v>1000</v>
      </c>
      <c r="O36" s="70">
        <v>1E-3</v>
      </c>
      <c r="P36" s="70"/>
      <c r="Q36" s="98">
        <v>4782</v>
      </c>
      <c r="R36" s="70">
        <v>4</v>
      </c>
      <c r="S36" s="70">
        <v>782</v>
      </c>
    </row>
    <row r="37" spans="1:19" s="56" customFormat="1">
      <c r="A37" s="67" t="s">
        <v>465</v>
      </c>
      <c r="B37" s="68" t="s">
        <v>460</v>
      </c>
      <c r="C37" s="67" t="s">
        <v>137</v>
      </c>
      <c r="D37" s="67" t="s">
        <v>138</v>
      </c>
      <c r="E37" s="67" t="s">
        <v>139</v>
      </c>
      <c r="F37" s="67" t="s">
        <v>140</v>
      </c>
      <c r="G37" s="69" t="s">
        <v>305</v>
      </c>
      <c r="H37" s="67">
        <v>0</v>
      </c>
      <c r="I37" s="67">
        <v>8</v>
      </c>
      <c r="J37" s="67" t="s">
        <v>146</v>
      </c>
      <c r="K37" s="67" t="s">
        <v>46</v>
      </c>
      <c r="L37" s="67" t="s">
        <v>3</v>
      </c>
      <c r="M37" s="67" t="s">
        <v>142</v>
      </c>
      <c r="N37" s="70">
        <v>1000</v>
      </c>
      <c r="O37" s="70">
        <v>1E-3</v>
      </c>
      <c r="P37" s="70"/>
      <c r="Q37" s="98">
        <v>2599</v>
      </c>
      <c r="R37" s="70">
        <v>2</v>
      </c>
      <c r="S37" s="70">
        <v>599</v>
      </c>
    </row>
    <row r="38" spans="1:19" s="56" customFormat="1">
      <c r="A38" s="67" t="s">
        <v>465</v>
      </c>
      <c r="B38" s="68" t="s">
        <v>460</v>
      </c>
      <c r="C38" s="67" t="s">
        <v>137</v>
      </c>
      <c r="D38" s="67" t="s">
        <v>138</v>
      </c>
      <c r="E38" s="67" t="s">
        <v>139</v>
      </c>
      <c r="F38" s="67" t="s">
        <v>140</v>
      </c>
      <c r="G38" s="69" t="s">
        <v>305</v>
      </c>
      <c r="H38" s="67">
        <v>0</v>
      </c>
      <c r="I38" s="67">
        <v>9</v>
      </c>
      <c r="J38" s="67" t="s">
        <v>147</v>
      </c>
      <c r="K38" s="67" t="s">
        <v>41</v>
      </c>
      <c r="L38" s="67" t="s">
        <v>3</v>
      </c>
      <c r="M38" s="67" t="s">
        <v>142</v>
      </c>
      <c r="N38" s="70">
        <v>1000</v>
      </c>
      <c r="O38" s="70">
        <v>1E-3</v>
      </c>
      <c r="P38" s="70"/>
      <c r="Q38" s="98">
        <v>12928</v>
      </c>
      <c r="R38" s="70">
        <v>12</v>
      </c>
      <c r="S38" s="70">
        <v>928</v>
      </c>
    </row>
    <row r="39" spans="1:19" s="56" customFormat="1">
      <c r="A39" s="67" t="s">
        <v>465</v>
      </c>
      <c r="B39" s="68" t="s">
        <v>460</v>
      </c>
      <c r="C39" s="67" t="s">
        <v>137</v>
      </c>
      <c r="D39" s="67" t="s">
        <v>138</v>
      </c>
      <c r="E39" s="67" t="s">
        <v>139</v>
      </c>
      <c r="F39" s="67" t="s">
        <v>140</v>
      </c>
      <c r="G39" s="69" t="s">
        <v>305</v>
      </c>
      <c r="H39" s="67">
        <v>0</v>
      </c>
      <c r="I39" s="67">
        <v>10</v>
      </c>
      <c r="J39" s="67" t="s">
        <v>151</v>
      </c>
      <c r="K39" s="67" t="s">
        <v>28</v>
      </c>
      <c r="L39" s="67" t="s">
        <v>3</v>
      </c>
      <c r="M39" s="67" t="s">
        <v>142</v>
      </c>
      <c r="N39" s="70">
        <v>1000</v>
      </c>
      <c r="O39" s="70">
        <v>1E-3</v>
      </c>
      <c r="P39" s="70"/>
      <c r="Q39" s="98">
        <v>77</v>
      </c>
      <c r="R39" s="70">
        <v>0</v>
      </c>
      <c r="S39" s="70">
        <v>77</v>
      </c>
    </row>
    <row r="40" spans="1:19" s="56" customFormat="1">
      <c r="A40" s="67" t="s">
        <v>465</v>
      </c>
      <c r="B40" s="68" t="s">
        <v>460</v>
      </c>
      <c r="C40" s="67" t="s">
        <v>137</v>
      </c>
      <c r="D40" s="67" t="s">
        <v>138</v>
      </c>
      <c r="E40" s="67" t="s">
        <v>139</v>
      </c>
      <c r="F40" s="67" t="s">
        <v>140</v>
      </c>
      <c r="G40" s="69" t="s">
        <v>305</v>
      </c>
      <c r="H40" s="67">
        <v>0</v>
      </c>
      <c r="I40" s="67">
        <v>11</v>
      </c>
      <c r="J40" s="67" t="s">
        <v>148</v>
      </c>
      <c r="K40" s="67" t="s">
        <v>30</v>
      </c>
      <c r="L40" s="67" t="s">
        <v>3</v>
      </c>
      <c r="M40" s="67" t="s">
        <v>142</v>
      </c>
      <c r="N40" s="70">
        <v>1000</v>
      </c>
      <c r="O40" s="70">
        <v>1E-3</v>
      </c>
      <c r="P40" s="70"/>
      <c r="Q40" s="98">
        <v>16899</v>
      </c>
      <c r="R40" s="70">
        <v>16</v>
      </c>
      <c r="S40" s="70">
        <v>899</v>
      </c>
    </row>
    <row r="41" spans="1:19" s="56" customFormat="1">
      <c r="A41" s="67" t="s">
        <v>465</v>
      </c>
      <c r="B41" s="68" t="s">
        <v>460</v>
      </c>
      <c r="C41" s="67" t="s">
        <v>137</v>
      </c>
      <c r="D41" s="67" t="s">
        <v>138</v>
      </c>
      <c r="E41" s="67" t="s">
        <v>139</v>
      </c>
      <c r="F41" s="67" t="s">
        <v>140</v>
      </c>
      <c r="G41" s="69" t="s">
        <v>305</v>
      </c>
      <c r="H41" s="67">
        <v>0</v>
      </c>
      <c r="I41" s="67">
        <v>12</v>
      </c>
      <c r="J41" s="67" t="s">
        <v>314</v>
      </c>
      <c r="K41" s="67" t="s">
        <v>281</v>
      </c>
      <c r="L41" s="67" t="s">
        <v>3</v>
      </c>
      <c r="M41" s="67" t="s">
        <v>142</v>
      </c>
      <c r="N41" s="70">
        <v>1000</v>
      </c>
      <c r="O41" s="70">
        <v>1E-3</v>
      </c>
      <c r="P41" s="70"/>
      <c r="Q41" s="98">
        <v>180000</v>
      </c>
      <c r="R41" s="70">
        <v>180</v>
      </c>
      <c r="S41" s="70">
        <v>0</v>
      </c>
    </row>
    <row r="42" spans="1:19" s="56" customFormat="1">
      <c r="A42" s="67" t="s">
        <v>465</v>
      </c>
      <c r="B42" s="68" t="s">
        <v>460</v>
      </c>
      <c r="C42" s="67" t="s">
        <v>137</v>
      </c>
      <c r="D42" s="67" t="s">
        <v>138</v>
      </c>
      <c r="E42" s="67" t="s">
        <v>139</v>
      </c>
      <c r="F42" s="67" t="s">
        <v>153</v>
      </c>
      <c r="G42" s="69" t="s">
        <v>305</v>
      </c>
      <c r="H42" s="67">
        <v>0</v>
      </c>
      <c r="I42" s="67">
        <v>13</v>
      </c>
      <c r="J42" s="67" t="s">
        <v>154</v>
      </c>
      <c r="K42" s="67" t="s">
        <v>23</v>
      </c>
      <c r="L42" s="67" t="s">
        <v>3</v>
      </c>
      <c r="M42" s="67" t="s">
        <v>142</v>
      </c>
      <c r="N42" s="70">
        <v>1000</v>
      </c>
      <c r="O42" s="70">
        <v>32.021000000000001</v>
      </c>
      <c r="P42" s="70"/>
      <c r="Q42" s="98">
        <v>100000</v>
      </c>
      <c r="R42" s="70">
        <v>100</v>
      </c>
      <c r="S42" s="70">
        <v>0</v>
      </c>
    </row>
    <row r="43" spans="1:19" s="56" customFormat="1">
      <c r="A43" s="67" t="s">
        <v>465</v>
      </c>
      <c r="B43" s="68" t="s">
        <v>460</v>
      </c>
      <c r="C43" s="67" t="s">
        <v>137</v>
      </c>
      <c r="D43" s="67" t="s">
        <v>138</v>
      </c>
      <c r="E43" s="67" t="s">
        <v>139</v>
      </c>
      <c r="F43" s="67" t="s">
        <v>153</v>
      </c>
      <c r="G43" s="69" t="s">
        <v>305</v>
      </c>
      <c r="H43" s="67">
        <v>0</v>
      </c>
      <c r="I43" s="67">
        <v>14</v>
      </c>
      <c r="J43" s="67" t="s">
        <v>155</v>
      </c>
      <c r="K43" s="67" t="s">
        <v>33</v>
      </c>
      <c r="L43" s="67" t="s">
        <v>3</v>
      </c>
      <c r="M43" s="67" t="s">
        <v>142</v>
      </c>
      <c r="N43" s="70">
        <v>1000</v>
      </c>
      <c r="O43" s="70">
        <v>13.6</v>
      </c>
      <c r="P43" s="70"/>
      <c r="Q43" s="98">
        <v>75000</v>
      </c>
      <c r="R43" s="70">
        <v>75</v>
      </c>
      <c r="S43" s="70">
        <v>0</v>
      </c>
    </row>
    <row r="44" spans="1:19" s="56" customFormat="1">
      <c r="A44" s="67" t="s">
        <v>465</v>
      </c>
      <c r="B44" s="68" t="s">
        <v>460</v>
      </c>
      <c r="C44" s="67" t="s">
        <v>137</v>
      </c>
      <c r="D44" s="67" t="s">
        <v>138</v>
      </c>
      <c r="E44" s="67" t="s">
        <v>139</v>
      </c>
      <c r="F44" s="67" t="s">
        <v>153</v>
      </c>
      <c r="G44" s="69" t="s">
        <v>305</v>
      </c>
      <c r="H44" s="67">
        <v>0</v>
      </c>
      <c r="I44" s="67">
        <v>15</v>
      </c>
      <c r="J44" s="67" t="s">
        <v>251</v>
      </c>
      <c r="K44" s="67" t="s">
        <v>249</v>
      </c>
      <c r="L44" s="67" t="s">
        <v>3</v>
      </c>
      <c r="M44" s="67" t="s">
        <v>142</v>
      </c>
      <c r="N44" s="70">
        <v>1000</v>
      </c>
      <c r="O44" s="70">
        <v>1E-3</v>
      </c>
      <c r="P44" s="70"/>
      <c r="Q44" s="98">
        <v>25000</v>
      </c>
      <c r="R44" s="70">
        <v>25</v>
      </c>
      <c r="S44" s="70">
        <v>0</v>
      </c>
    </row>
    <row r="45" spans="1:19" s="56" customFormat="1">
      <c r="A45" s="67" t="s">
        <v>465</v>
      </c>
      <c r="B45" s="68" t="s">
        <v>460</v>
      </c>
      <c r="C45" s="67" t="s">
        <v>137</v>
      </c>
      <c r="D45" s="67" t="s">
        <v>138</v>
      </c>
      <c r="E45" s="67" t="s">
        <v>139</v>
      </c>
      <c r="F45" s="67" t="s">
        <v>153</v>
      </c>
      <c r="G45" s="69" t="s">
        <v>305</v>
      </c>
      <c r="H45" s="67">
        <v>0</v>
      </c>
      <c r="I45" s="67">
        <v>16</v>
      </c>
      <c r="J45" s="67" t="s">
        <v>344</v>
      </c>
      <c r="K45" s="67" t="s">
        <v>15</v>
      </c>
      <c r="L45" s="67" t="s">
        <v>3</v>
      </c>
      <c r="M45" s="67" t="s">
        <v>142</v>
      </c>
      <c r="N45" s="70">
        <v>1000</v>
      </c>
      <c r="O45" s="70">
        <v>1E-3</v>
      </c>
      <c r="P45" s="70"/>
      <c r="Q45" s="98">
        <v>60000</v>
      </c>
      <c r="R45" s="70">
        <v>60</v>
      </c>
      <c r="S45" s="70">
        <v>0</v>
      </c>
    </row>
    <row r="46" spans="1:19" s="56" customFormat="1">
      <c r="A46" s="67" t="s">
        <v>465</v>
      </c>
      <c r="B46" s="68" t="s">
        <v>460</v>
      </c>
      <c r="C46" s="67" t="s">
        <v>137</v>
      </c>
      <c r="D46" s="67" t="s">
        <v>138</v>
      </c>
      <c r="E46" s="67" t="s">
        <v>139</v>
      </c>
      <c r="F46" s="67" t="s">
        <v>167</v>
      </c>
      <c r="G46" s="69" t="s">
        <v>305</v>
      </c>
      <c r="H46" s="67">
        <v>0</v>
      </c>
      <c r="I46" s="67">
        <v>17</v>
      </c>
      <c r="J46" s="67" t="s">
        <v>466</v>
      </c>
      <c r="K46" s="67" t="s">
        <v>67</v>
      </c>
      <c r="L46" s="67" t="s">
        <v>3</v>
      </c>
      <c r="M46" s="67" t="s">
        <v>142</v>
      </c>
      <c r="N46" s="70">
        <v>1000</v>
      </c>
      <c r="O46" s="70">
        <v>1E-3</v>
      </c>
      <c r="P46" s="70"/>
      <c r="Q46" s="98">
        <v>500</v>
      </c>
      <c r="R46" s="70">
        <v>0</v>
      </c>
      <c r="S46" s="70">
        <v>500</v>
      </c>
    </row>
    <row r="47" spans="1:19" s="56" customFormat="1">
      <c r="A47" s="67" t="s">
        <v>465</v>
      </c>
      <c r="B47" s="68" t="s">
        <v>460</v>
      </c>
      <c r="C47" s="67" t="s">
        <v>137</v>
      </c>
      <c r="D47" s="67" t="s">
        <v>138</v>
      </c>
      <c r="E47" s="67" t="s">
        <v>139</v>
      </c>
      <c r="F47" s="67" t="s">
        <v>167</v>
      </c>
      <c r="G47" s="69" t="s">
        <v>305</v>
      </c>
      <c r="H47" s="67">
        <v>0</v>
      </c>
      <c r="I47" s="67">
        <v>18</v>
      </c>
      <c r="J47" s="67" t="s">
        <v>467</v>
      </c>
      <c r="K47" s="67" t="s">
        <v>68</v>
      </c>
      <c r="L47" s="67" t="s">
        <v>3</v>
      </c>
      <c r="M47" s="67" t="s">
        <v>142</v>
      </c>
      <c r="N47" s="70">
        <v>1000</v>
      </c>
      <c r="O47" s="70">
        <v>1E-3</v>
      </c>
      <c r="P47" s="70"/>
      <c r="Q47" s="98">
        <v>500</v>
      </c>
      <c r="R47" s="70">
        <v>0</v>
      </c>
      <c r="S47" s="70">
        <v>500</v>
      </c>
    </row>
    <row r="48" spans="1:19" s="56" customFormat="1">
      <c r="A48" s="67" t="s">
        <v>465</v>
      </c>
      <c r="B48" s="68" t="s">
        <v>460</v>
      </c>
      <c r="C48" s="67" t="s">
        <v>137</v>
      </c>
      <c r="D48" s="67" t="s">
        <v>138</v>
      </c>
      <c r="E48" s="67" t="s">
        <v>139</v>
      </c>
      <c r="F48" s="67" t="s">
        <v>167</v>
      </c>
      <c r="G48" s="69" t="s">
        <v>305</v>
      </c>
      <c r="H48" s="67">
        <v>0</v>
      </c>
      <c r="I48" s="67">
        <v>19</v>
      </c>
      <c r="J48" s="67" t="s">
        <v>316</v>
      </c>
      <c r="K48" s="67" t="s">
        <v>39</v>
      </c>
      <c r="L48" s="67" t="s">
        <v>3</v>
      </c>
      <c r="M48" s="67" t="s">
        <v>142</v>
      </c>
      <c r="N48" s="70">
        <v>1000</v>
      </c>
      <c r="O48" s="70">
        <v>1E-3</v>
      </c>
      <c r="P48" s="70"/>
      <c r="Q48" s="98">
        <v>4000</v>
      </c>
      <c r="R48" s="70">
        <v>4</v>
      </c>
      <c r="S48" s="70">
        <v>0</v>
      </c>
    </row>
    <row r="49" spans="1:19" s="56" customFormat="1">
      <c r="A49" s="67" t="s">
        <v>465</v>
      </c>
      <c r="B49" s="68" t="s">
        <v>460</v>
      </c>
      <c r="C49" s="67" t="s">
        <v>137</v>
      </c>
      <c r="D49" s="67" t="s">
        <v>138</v>
      </c>
      <c r="E49" s="67" t="s">
        <v>139</v>
      </c>
      <c r="F49" s="67" t="s">
        <v>162</v>
      </c>
      <c r="G49" s="69" t="s">
        <v>305</v>
      </c>
      <c r="H49" s="67">
        <v>0</v>
      </c>
      <c r="I49" s="67">
        <v>21</v>
      </c>
      <c r="J49" s="67" t="s">
        <v>377</v>
      </c>
      <c r="K49" s="67" t="s">
        <v>372</v>
      </c>
      <c r="L49" s="67" t="s">
        <v>3</v>
      </c>
      <c r="M49" s="67" t="s">
        <v>142</v>
      </c>
      <c r="N49" s="70">
        <v>1000</v>
      </c>
      <c r="O49" s="70">
        <v>1E-3</v>
      </c>
      <c r="P49" s="70"/>
      <c r="Q49" s="98">
        <v>600000</v>
      </c>
      <c r="R49" s="70">
        <v>600</v>
      </c>
      <c r="S49" s="70">
        <v>0</v>
      </c>
    </row>
    <row r="50" spans="1:19" s="56" customFormat="1">
      <c r="A50" s="67" t="s">
        <v>465</v>
      </c>
      <c r="B50" s="68" t="s">
        <v>460</v>
      </c>
      <c r="C50" s="67" t="s">
        <v>137</v>
      </c>
      <c r="D50" s="67" t="s">
        <v>138</v>
      </c>
      <c r="E50" s="67" t="s">
        <v>139</v>
      </c>
      <c r="F50" s="67" t="s">
        <v>162</v>
      </c>
      <c r="G50" s="69" t="s">
        <v>305</v>
      </c>
      <c r="H50" s="67">
        <v>0</v>
      </c>
      <c r="I50" s="67">
        <v>22</v>
      </c>
      <c r="J50" s="67" t="s">
        <v>262</v>
      </c>
      <c r="K50" s="67" t="s">
        <v>258</v>
      </c>
      <c r="L50" s="67" t="s">
        <v>3</v>
      </c>
      <c r="M50" s="67" t="s">
        <v>142</v>
      </c>
      <c r="N50" s="70">
        <v>1000</v>
      </c>
      <c r="O50" s="70">
        <v>1E-3</v>
      </c>
      <c r="P50" s="70"/>
      <c r="Q50" s="98">
        <v>16000</v>
      </c>
      <c r="R50" s="70">
        <v>16</v>
      </c>
      <c r="S50" s="70">
        <v>0</v>
      </c>
    </row>
    <row r="51" spans="1:19" s="56" customFormat="1">
      <c r="A51" s="67" t="s">
        <v>465</v>
      </c>
      <c r="B51" s="68" t="s">
        <v>460</v>
      </c>
      <c r="C51" s="67" t="s">
        <v>137</v>
      </c>
      <c r="D51" s="67" t="s">
        <v>138</v>
      </c>
      <c r="E51" s="67" t="s">
        <v>139</v>
      </c>
      <c r="F51" s="67" t="s">
        <v>162</v>
      </c>
      <c r="G51" s="69" t="s">
        <v>305</v>
      </c>
      <c r="H51" s="67">
        <v>0</v>
      </c>
      <c r="I51" s="67">
        <v>23</v>
      </c>
      <c r="J51" s="67" t="s">
        <v>263</v>
      </c>
      <c r="K51" s="67" t="s">
        <v>259</v>
      </c>
      <c r="L51" s="67" t="s">
        <v>3</v>
      </c>
      <c r="M51" s="67" t="s">
        <v>142</v>
      </c>
      <c r="N51" s="70">
        <v>1000</v>
      </c>
      <c r="O51" s="70">
        <v>1E-3</v>
      </c>
      <c r="P51" s="70"/>
      <c r="Q51" s="98">
        <v>17000</v>
      </c>
      <c r="R51" s="70">
        <v>17</v>
      </c>
      <c r="S51" s="70">
        <v>0</v>
      </c>
    </row>
    <row r="52" spans="1:19" s="56" customFormat="1">
      <c r="A52" s="67" t="s">
        <v>465</v>
      </c>
      <c r="B52" s="68" t="s">
        <v>460</v>
      </c>
      <c r="C52" s="67" t="s">
        <v>137</v>
      </c>
      <c r="D52" s="67" t="s">
        <v>138</v>
      </c>
      <c r="E52" s="67" t="s">
        <v>139</v>
      </c>
      <c r="F52" s="67" t="s">
        <v>162</v>
      </c>
      <c r="G52" s="69" t="s">
        <v>305</v>
      </c>
      <c r="H52" s="67">
        <v>0</v>
      </c>
      <c r="I52" s="67">
        <v>24</v>
      </c>
      <c r="J52" s="67" t="s">
        <v>163</v>
      </c>
      <c r="K52" s="67" t="s">
        <v>14</v>
      </c>
      <c r="L52" s="67" t="s">
        <v>3</v>
      </c>
      <c r="M52" s="67" t="s">
        <v>142</v>
      </c>
      <c r="N52" s="70">
        <v>1000</v>
      </c>
      <c r="O52" s="70">
        <v>1E-3</v>
      </c>
      <c r="P52" s="70"/>
      <c r="Q52" s="98">
        <v>30000</v>
      </c>
      <c r="R52" s="70">
        <v>30</v>
      </c>
      <c r="S52" s="70">
        <v>0</v>
      </c>
    </row>
    <row r="53" spans="1:19" s="56" customFormat="1">
      <c r="A53" s="67" t="s">
        <v>465</v>
      </c>
      <c r="B53" s="68" t="s">
        <v>460</v>
      </c>
      <c r="C53" s="67" t="s">
        <v>137</v>
      </c>
      <c r="D53" s="67" t="s">
        <v>138</v>
      </c>
      <c r="E53" s="67" t="s">
        <v>139</v>
      </c>
      <c r="F53" s="67" t="s">
        <v>162</v>
      </c>
      <c r="G53" s="69" t="s">
        <v>305</v>
      </c>
      <c r="H53" s="67">
        <v>0</v>
      </c>
      <c r="I53" s="67">
        <v>25</v>
      </c>
      <c r="J53" s="67" t="s">
        <v>164</v>
      </c>
      <c r="K53" s="67" t="s">
        <v>74</v>
      </c>
      <c r="L53" s="67" t="s">
        <v>5</v>
      </c>
      <c r="M53" s="67" t="s">
        <v>142</v>
      </c>
      <c r="N53" s="70">
        <v>1000</v>
      </c>
      <c r="O53" s="70">
        <v>1E-3</v>
      </c>
      <c r="P53" s="70"/>
      <c r="Q53" s="98">
        <v>15000</v>
      </c>
      <c r="R53" s="70">
        <v>15</v>
      </c>
      <c r="S53" s="70">
        <v>0</v>
      </c>
    </row>
    <row r="54" spans="1:19" s="56" customFormat="1">
      <c r="A54" s="67" t="s">
        <v>468</v>
      </c>
      <c r="B54" s="68" t="s">
        <v>469</v>
      </c>
      <c r="C54" s="67" t="s">
        <v>137</v>
      </c>
      <c r="D54" s="67" t="s">
        <v>138</v>
      </c>
      <c r="E54" s="67" t="s">
        <v>139</v>
      </c>
      <c r="F54" s="67" t="s">
        <v>140</v>
      </c>
      <c r="G54" s="69" t="s">
        <v>305</v>
      </c>
      <c r="H54" s="67">
        <v>0</v>
      </c>
      <c r="I54" s="67">
        <v>1</v>
      </c>
      <c r="J54" s="67" t="s">
        <v>141</v>
      </c>
      <c r="K54" s="67" t="s">
        <v>37</v>
      </c>
      <c r="L54" s="67" t="s">
        <v>3</v>
      </c>
      <c r="M54" s="67" t="s">
        <v>142</v>
      </c>
      <c r="N54" s="70">
        <v>1000</v>
      </c>
      <c r="O54" s="70">
        <v>200</v>
      </c>
      <c r="P54" s="70"/>
      <c r="Q54" s="98">
        <v>1111</v>
      </c>
      <c r="R54" s="70">
        <v>1</v>
      </c>
      <c r="S54" s="70">
        <v>111</v>
      </c>
    </row>
    <row r="55" spans="1:19" s="56" customFormat="1">
      <c r="A55" s="67" t="s">
        <v>468</v>
      </c>
      <c r="B55" s="68" t="s">
        <v>469</v>
      </c>
      <c r="C55" s="67" t="s">
        <v>137</v>
      </c>
      <c r="D55" s="67" t="s">
        <v>138</v>
      </c>
      <c r="E55" s="67" t="s">
        <v>139</v>
      </c>
      <c r="F55" s="67" t="s">
        <v>140</v>
      </c>
      <c r="G55" s="69" t="s">
        <v>305</v>
      </c>
      <c r="H55" s="67">
        <v>0</v>
      </c>
      <c r="I55" s="67">
        <v>2</v>
      </c>
      <c r="J55" s="67" t="s">
        <v>346</v>
      </c>
      <c r="K55" s="67" t="s">
        <v>343</v>
      </c>
      <c r="L55" s="67" t="s">
        <v>3</v>
      </c>
      <c r="M55" s="67" t="s">
        <v>142</v>
      </c>
      <c r="N55" s="70">
        <v>1000</v>
      </c>
      <c r="O55" s="70">
        <v>1E-3</v>
      </c>
      <c r="P55" s="70"/>
      <c r="Q55" s="98">
        <v>7228</v>
      </c>
      <c r="R55" s="70">
        <v>7</v>
      </c>
      <c r="S55" s="70">
        <v>228</v>
      </c>
    </row>
    <row r="56" spans="1:19" s="56" customFormat="1">
      <c r="A56" s="67" t="s">
        <v>468</v>
      </c>
      <c r="B56" s="68" t="s">
        <v>469</v>
      </c>
      <c r="C56" s="67" t="s">
        <v>137</v>
      </c>
      <c r="D56" s="67" t="s">
        <v>138</v>
      </c>
      <c r="E56" s="67" t="s">
        <v>139</v>
      </c>
      <c r="F56" s="67" t="s">
        <v>140</v>
      </c>
      <c r="G56" s="69" t="s">
        <v>305</v>
      </c>
      <c r="H56" s="67">
        <v>0</v>
      </c>
      <c r="I56" s="67">
        <v>3</v>
      </c>
      <c r="J56" s="67" t="s">
        <v>169</v>
      </c>
      <c r="K56" s="67" t="s">
        <v>64</v>
      </c>
      <c r="L56" s="67" t="s">
        <v>3</v>
      </c>
      <c r="M56" s="67" t="s">
        <v>142</v>
      </c>
      <c r="N56" s="70">
        <v>1000</v>
      </c>
      <c r="O56" s="70">
        <v>1E-3</v>
      </c>
      <c r="P56" s="70"/>
      <c r="Q56" s="98">
        <v>9</v>
      </c>
      <c r="R56" s="70">
        <v>0</v>
      </c>
      <c r="S56" s="70">
        <v>9</v>
      </c>
    </row>
    <row r="57" spans="1:19" s="56" customFormat="1">
      <c r="A57" s="67" t="s">
        <v>468</v>
      </c>
      <c r="B57" s="68" t="s">
        <v>469</v>
      </c>
      <c r="C57" s="67" t="s">
        <v>137</v>
      </c>
      <c r="D57" s="67" t="s">
        <v>138</v>
      </c>
      <c r="E57" s="67" t="s">
        <v>139</v>
      </c>
      <c r="F57" s="67" t="s">
        <v>140</v>
      </c>
      <c r="G57" s="69" t="s">
        <v>305</v>
      </c>
      <c r="H57" s="67">
        <v>0</v>
      </c>
      <c r="I57" s="67">
        <v>4</v>
      </c>
      <c r="J57" s="67" t="s">
        <v>143</v>
      </c>
      <c r="K57" s="67" t="s">
        <v>90</v>
      </c>
      <c r="L57" s="67" t="s">
        <v>3</v>
      </c>
      <c r="M57" s="67" t="s">
        <v>142</v>
      </c>
      <c r="N57" s="70">
        <v>1000</v>
      </c>
      <c r="O57" s="70">
        <v>359.59699999999998</v>
      </c>
      <c r="P57" s="70"/>
      <c r="Q57" s="98">
        <v>804</v>
      </c>
      <c r="R57" s="70">
        <v>0</v>
      </c>
      <c r="S57" s="70">
        <v>804</v>
      </c>
    </row>
    <row r="58" spans="1:19" s="56" customFormat="1">
      <c r="A58" s="67" t="s">
        <v>468</v>
      </c>
      <c r="B58" s="68" t="s">
        <v>469</v>
      </c>
      <c r="C58" s="67" t="s">
        <v>137</v>
      </c>
      <c r="D58" s="67" t="s">
        <v>138</v>
      </c>
      <c r="E58" s="67" t="s">
        <v>139</v>
      </c>
      <c r="F58" s="67" t="s">
        <v>140</v>
      </c>
      <c r="G58" s="69" t="s">
        <v>305</v>
      </c>
      <c r="H58" s="67">
        <v>0</v>
      </c>
      <c r="I58" s="67">
        <v>5</v>
      </c>
      <c r="J58" s="67" t="s">
        <v>250</v>
      </c>
      <c r="K58" s="67" t="s">
        <v>38</v>
      </c>
      <c r="L58" s="67" t="s">
        <v>3</v>
      </c>
      <c r="M58" s="67" t="s">
        <v>142</v>
      </c>
      <c r="N58" s="70">
        <v>1000</v>
      </c>
      <c r="O58" s="70">
        <v>1E-3</v>
      </c>
      <c r="P58" s="70"/>
      <c r="Q58" s="98">
        <v>819</v>
      </c>
      <c r="R58" s="70">
        <v>0</v>
      </c>
      <c r="S58" s="70">
        <v>819</v>
      </c>
    </row>
    <row r="59" spans="1:19" s="56" customFormat="1">
      <c r="A59" s="67" t="s">
        <v>468</v>
      </c>
      <c r="B59" s="68" t="s">
        <v>469</v>
      </c>
      <c r="C59" s="67" t="s">
        <v>137</v>
      </c>
      <c r="D59" s="67" t="s">
        <v>138</v>
      </c>
      <c r="E59" s="67" t="s">
        <v>139</v>
      </c>
      <c r="F59" s="67" t="s">
        <v>140</v>
      </c>
      <c r="G59" s="69" t="s">
        <v>305</v>
      </c>
      <c r="H59" s="67">
        <v>0</v>
      </c>
      <c r="I59" s="67">
        <v>6</v>
      </c>
      <c r="J59" s="67" t="s">
        <v>144</v>
      </c>
      <c r="K59" s="67" t="s">
        <v>26</v>
      </c>
      <c r="L59" s="67" t="s">
        <v>3</v>
      </c>
      <c r="M59" s="67" t="s">
        <v>142</v>
      </c>
      <c r="N59" s="70">
        <v>1000</v>
      </c>
      <c r="O59" s="70">
        <v>1E-3</v>
      </c>
      <c r="P59" s="70"/>
      <c r="Q59" s="98">
        <v>3301</v>
      </c>
      <c r="R59" s="70">
        <v>3</v>
      </c>
      <c r="S59" s="70">
        <v>301</v>
      </c>
    </row>
    <row r="60" spans="1:19" s="56" customFormat="1">
      <c r="A60" s="67" t="s">
        <v>468</v>
      </c>
      <c r="B60" s="68" t="s">
        <v>469</v>
      </c>
      <c r="C60" s="67" t="s">
        <v>137</v>
      </c>
      <c r="D60" s="67" t="s">
        <v>138</v>
      </c>
      <c r="E60" s="67" t="s">
        <v>139</v>
      </c>
      <c r="F60" s="67" t="s">
        <v>140</v>
      </c>
      <c r="G60" s="69" t="s">
        <v>305</v>
      </c>
      <c r="H60" s="67">
        <v>0</v>
      </c>
      <c r="I60" s="67">
        <v>7</v>
      </c>
      <c r="J60" s="67" t="s">
        <v>145</v>
      </c>
      <c r="K60" s="67" t="s">
        <v>27</v>
      </c>
      <c r="L60" s="67" t="s">
        <v>3</v>
      </c>
      <c r="M60" s="67" t="s">
        <v>142</v>
      </c>
      <c r="N60" s="70">
        <v>1000</v>
      </c>
      <c r="O60" s="70">
        <v>1E-3</v>
      </c>
      <c r="P60" s="70"/>
      <c r="Q60" s="98">
        <v>2053</v>
      </c>
      <c r="R60" s="70">
        <v>2</v>
      </c>
      <c r="S60" s="70">
        <v>53</v>
      </c>
    </row>
    <row r="61" spans="1:19" s="56" customFormat="1">
      <c r="A61" s="67" t="s">
        <v>468</v>
      </c>
      <c r="B61" s="68" t="s">
        <v>469</v>
      </c>
      <c r="C61" s="67" t="s">
        <v>137</v>
      </c>
      <c r="D61" s="67" t="s">
        <v>138</v>
      </c>
      <c r="E61" s="67" t="s">
        <v>139</v>
      </c>
      <c r="F61" s="67" t="s">
        <v>140</v>
      </c>
      <c r="G61" s="69" t="s">
        <v>305</v>
      </c>
      <c r="H61" s="67">
        <v>0</v>
      </c>
      <c r="I61" s="67">
        <v>8</v>
      </c>
      <c r="J61" s="67" t="s">
        <v>146</v>
      </c>
      <c r="K61" s="67" t="s">
        <v>46</v>
      </c>
      <c r="L61" s="67" t="s">
        <v>3</v>
      </c>
      <c r="M61" s="67" t="s">
        <v>142</v>
      </c>
      <c r="N61" s="70">
        <v>1000</v>
      </c>
      <c r="O61" s="70">
        <v>1E-3</v>
      </c>
      <c r="P61" s="70"/>
      <c r="Q61" s="98">
        <v>943</v>
      </c>
      <c r="R61" s="70">
        <v>0</v>
      </c>
      <c r="S61" s="70">
        <v>943</v>
      </c>
    </row>
    <row r="62" spans="1:19" s="56" customFormat="1">
      <c r="A62" s="67" t="s">
        <v>468</v>
      </c>
      <c r="B62" s="68" t="s">
        <v>469</v>
      </c>
      <c r="C62" s="67" t="s">
        <v>137</v>
      </c>
      <c r="D62" s="67" t="s">
        <v>138</v>
      </c>
      <c r="E62" s="67" t="s">
        <v>139</v>
      </c>
      <c r="F62" s="67" t="s">
        <v>140</v>
      </c>
      <c r="G62" s="69" t="s">
        <v>305</v>
      </c>
      <c r="H62" s="67">
        <v>0</v>
      </c>
      <c r="I62" s="67">
        <v>9</v>
      </c>
      <c r="J62" s="67" t="s">
        <v>147</v>
      </c>
      <c r="K62" s="67" t="s">
        <v>41</v>
      </c>
      <c r="L62" s="67" t="s">
        <v>3</v>
      </c>
      <c r="M62" s="67" t="s">
        <v>142</v>
      </c>
      <c r="N62" s="70">
        <v>1000</v>
      </c>
      <c r="O62" s="70">
        <v>1E-3</v>
      </c>
      <c r="P62" s="70"/>
      <c r="Q62" s="98">
        <v>322</v>
      </c>
      <c r="R62" s="70">
        <v>0</v>
      </c>
      <c r="S62" s="70">
        <v>322</v>
      </c>
    </row>
    <row r="63" spans="1:19" s="56" customFormat="1">
      <c r="A63" s="67" t="s">
        <v>468</v>
      </c>
      <c r="B63" s="68" t="s">
        <v>469</v>
      </c>
      <c r="C63" s="67" t="s">
        <v>137</v>
      </c>
      <c r="D63" s="67" t="s">
        <v>138</v>
      </c>
      <c r="E63" s="67" t="s">
        <v>139</v>
      </c>
      <c r="F63" s="67" t="s">
        <v>140</v>
      </c>
      <c r="G63" s="69" t="s">
        <v>305</v>
      </c>
      <c r="H63" s="67">
        <v>0</v>
      </c>
      <c r="I63" s="67">
        <v>10</v>
      </c>
      <c r="J63" s="67" t="s">
        <v>151</v>
      </c>
      <c r="K63" s="67" t="s">
        <v>28</v>
      </c>
      <c r="L63" s="67" t="s">
        <v>3</v>
      </c>
      <c r="M63" s="67" t="s">
        <v>142</v>
      </c>
      <c r="N63" s="70">
        <v>1000</v>
      </c>
      <c r="O63" s="70">
        <v>1E-3</v>
      </c>
      <c r="P63" s="70"/>
      <c r="Q63" s="98">
        <v>43</v>
      </c>
      <c r="R63" s="70">
        <v>0</v>
      </c>
      <c r="S63" s="70">
        <v>43</v>
      </c>
    </row>
    <row r="64" spans="1:19" s="56" customFormat="1">
      <c r="A64" s="67" t="s">
        <v>468</v>
      </c>
      <c r="B64" s="68" t="s">
        <v>469</v>
      </c>
      <c r="C64" s="67" t="s">
        <v>137</v>
      </c>
      <c r="D64" s="67" t="s">
        <v>138</v>
      </c>
      <c r="E64" s="67" t="s">
        <v>139</v>
      </c>
      <c r="F64" s="67" t="s">
        <v>140</v>
      </c>
      <c r="G64" s="69" t="s">
        <v>305</v>
      </c>
      <c r="H64" s="67">
        <v>0</v>
      </c>
      <c r="I64" s="67">
        <v>11</v>
      </c>
      <c r="J64" s="67" t="s">
        <v>148</v>
      </c>
      <c r="K64" s="67" t="s">
        <v>30</v>
      </c>
      <c r="L64" s="67" t="s">
        <v>3</v>
      </c>
      <c r="M64" s="67" t="s">
        <v>142</v>
      </c>
      <c r="N64" s="70">
        <v>1000</v>
      </c>
      <c r="O64" s="70">
        <v>1E-3</v>
      </c>
      <c r="P64" s="70"/>
      <c r="Q64" s="98">
        <v>5285</v>
      </c>
      <c r="R64" s="70">
        <v>5</v>
      </c>
      <c r="S64" s="70">
        <v>285</v>
      </c>
    </row>
    <row r="65" spans="1:19" s="56" customFormat="1">
      <c r="A65" s="67" t="s">
        <v>468</v>
      </c>
      <c r="B65" s="68" t="s">
        <v>469</v>
      </c>
      <c r="C65" s="67" t="s">
        <v>137</v>
      </c>
      <c r="D65" s="67" t="s">
        <v>138</v>
      </c>
      <c r="E65" s="67" t="s">
        <v>139</v>
      </c>
      <c r="F65" s="67" t="s">
        <v>167</v>
      </c>
      <c r="G65" s="69" t="s">
        <v>305</v>
      </c>
      <c r="H65" s="67">
        <v>0</v>
      </c>
      <c r="I65" s="67">
        <v>12</v>
      </c>
      <c r="J65" s="67" t="s">
        <v>270</v>
      </c>
      <c r="K65" s="67" t="s">
        <v>31</v>
      </c>
      <c r="L65" s="67" t="s">
        <v>3</v>
      </c>
      <c r="M65" s="67" t="s">
        <v>142</v>
      </c>
      <c r="N65" s="70">
        <v>1000</v>
      </c>
      <c r="O65" s="70">
        <v>1E-3</v>
      </c>
      <c r="P65" s="70"/>
      <c r="Q65" s="98">
        <v>6000</v>
      </c>
      <c r="R65" s="70">
        <v>6</v>
      </c>
      <c r="S65" s="70">
        <v>0</v>
      </c>
    </row>
    <row r="66" spans="1:19" s="56" customFormat="1">
      <c r="A66" s="67" t="s">
        <v>468</v>
      </c>
      <c r="B66" s="68" t="s">
        <v>469</v>
      </c>
      <c r="C66" s="67" t="s">
        <v>137</v>
      </c>
      <c r="D66" s="67" t="s">
        <v>138</v>
      </c>
      <c r="E66" s="67" t="s">
        <v>139</v>
      </c>
      <c r="F66" s="67" t="s">
        <v>167</v>
      </c>
      <c r="G66" s="69" t="s">
        <v>305</v>
      </c>
      <c r="H66" s="67">
        <v>0</v>
      </c>
      <c r="I66" s="67">
        <v>13</v>
      </c>
      <c r="J66" s="67" t="s">
        <v>183</v>
      </c>
      <c r="K66" s="67" t="s">
        <v>20</v>
      </c>
      <c r="L66" s="67" t="s">
        <v>3</v>
      </c>
      <c r="M66" s="67" t="s">
        <v>142</v>
      </c>
      <c r="N66" s="70">
        <v>1000</v>
      </c>
      <c r="O66" s="70">
        <v>1E-3</v>
      </c>
      <c r="P66" s="70"/>
      <c r="Q66" s="98">
        <v>5000</v>
      </c>
      <c r="R66" s="70">
        <v>5</v>
      </c>
      <c r="S66" s="70">
        <v>0</v>
      </c>
    </row>
    <row r="67" spans="1:19" s="56" customFormat="1">
      <c r="A67" s="67" t="s">
        <v>468</v>
      </c>
      <c r="B67" s="68" t="s">
        <v>469</v>
      </c>
      <c r="C67" s="67" t="s">
        <v>137</v>
      </c>
      <c r="D67" s="67" t="s">
        <v>138</v>
      </c>
      <c r="E67" s="67" t="s">
        <v>139</v>
      </c>
      <c r="F67" s="67" t="s">
        <v>167</v>
      </c>
      <c r="G67" s="69" t="s">
        <v>305</v>
      </c>
      <c r="H67" s="67">
        <v>0</v>
      </c>
      <c r="I67" s="67">
        <v>14</v>
      </c>
      <c r="J67" s="67" t="s">
        <v>168</v>
      </c>
      <c r="K67" s="67" t="s">
        <v>34</v>
      </c>
      <c r="L67" s="67" t="s">
        <v>3</v>
      </c>
      <c r="M67" s="67" t="s">
        <v>142</v>
      </c>
      <c r="N67" s="70">
        <v>1000</v>
      </c>
      <c r="O67" s="70">
        <v>1E-3</v>
      </c>
      <c r="P67" s="70"/>
      <c r="Q67" s="98">
        <v>3000</v>
      </c>
      <c r="R67" s="70">
        <v>3</v>
      </c>
      <c r="S67" s="70">
        <v>0</v>
      </c>
    </row>
    <row r="68" spans="1:19" s="56" customFormat="1">
      <c r="A68" s="67" t="s">
        <v>468</v>
      </c>
      <c r="B68" s="68" t="s">
        <v>469</v>
      </c>
      <c r="C68" s="67" t="s">
        <v>137</v>
      </c>
      <c r="D68" s="67" t="s">
        <v>138</v>
      </c>
      <c r="E68" s="67" t="s">
        <v>139</v>
      </c>
      <c r="F68" s="67" t="s">
        <v>166</v>
      </c>
      <c r="G68" s="69" t="s">
        <v>305</v>
      </c>
      <c r="H68" s="67">
        <v>0</v>
      </c>
      <c r="I68" s="67">
        <v>15</v>
      </c>
      <c r="J68" s="67" t="s">
        <v>157</v>
      </c>
      <c r="K68" s="67" t="s">
        <v>48</v>
      </c>
      <c r="L68" s="67" t="s">
        <v>93</v>
      </c>
      <c r="M68" s="67" t="s">
        <v>158</v>
      </c>
      <c r="N68" s="70">
        <v>1000</v>
      </c>
      <c r="O68" s="70">
        <v>1E-3</v>
      </c>
      <c r="P68" s="70"/>
      <c r="Q68" s="98">
        <v>20000</v>
      </c>
      <c r="R68" s="70">
        <v>20</v>
      </c>
      <c r="S68" s="70">
        <v>0</v>
      </c>
    </row>
    <row r="69" spans="1:19" s="56" customFormat="1">
      <c r="A69" s="67" t="s">
        <v>468</v>
      </c>
      <c r="B69" s="68" t="s">
        <v>469</v>
      </c>
      <c r="C69" s="67" t="s">
        <v>137</v>
      </c>
      <c r="D69" s="67" t="s">
        <v>138</v>
      </c>
      <c r="E69" s="67" t="s">
        <v>139</v>
      </c>
      <c r="F69" s="67" t="s">
        <v>166</v>
      </c>
      <c r="G69" s="69" t="s">
        <v>305</v>
      </c>
      <c r="H69" s="67">
        <v>0</v>
      </c>
      <c r="I69" s="67">
        <v>16</v>
      </c>
      <c r="J69" s="67" t="s">
        <v>319</v>
      </c>
      <c r="K69" s="67" t="s">
        <v>72</v>
      </c>
      <c r="L69" s="67" t="s">
        <v>3</v>
      </c>
      <c r="M69" s="67" t="s">
        <v>142</v>
      </c>
      <c r="N69" s="70">
        <v>1000</v>
      </c>
      <c r="O69" s="70">
        <v>1E-3</v>
      </c>
      <c r="P69" s="70"/>
      <c r="Q69" s="98">
        <v>50000</v>
      </c>
      <c r="R69" s="70">
        <v>50</v>
      </c>
      <c r="S69" s="70">
        <v>0</v>
      </c>
    </row>
    <row r="70" spans="1:19" s="56" customFormat="1">
      <c r="A70" s="67" t="s">
        <v>468</v>
      </c>
      <c r="B70" s="68" t="s">
        <v>469</v>
      </c>
      <c r="C70" s="67" t="s">
        <v>137</v>
      </c>
      <c r="D70" s="67" t="s">
        <v>138</v>
      </c>
      <c r="E70" s="67" t="s">
        <v>139</v>
      </c>
      <c r="F70" s="67" t="s">
        <v>162</v>
      </c>
      <c r="G70" s="69" t="s">
        <v>305</v>
      </c>
      <c r="H70" s="67">
        <v>0</v>
      </c>
      <c r="I70" s="67">
        <v>17</v>
      </c>
      <c r="J70" s="67" t="s">
        <v>377</v>
      </c>
      <c r="K70" s="67" t="s">
        <v>372</v>
      </c>
      <c r="L70" s="67" t="s">
        <v>3</v>
      </c>
      <c r="M70" s="67" t="s">
        <v>142</v>
      </c>
      <c r="N70" s="70">
        <v>1000</v>
      </c>
      <c r="O70" s="70">
        <v>1E-3</v>
      </c>
      <c r="P70" s="70"/>
      <c r="Q70" s="98">
        <v>150000</v>
      </c>
      <c r="R70" s="70">
        <v>150</v>
      </c>
      <c r="S70" s="70">
        <v>0</v>
      </c>
    </row>
    <row r="71" spans="1:19" s="56" customFormat="1">
      <c r="A71" s="67" t="s">
        <v>468</v>
      </c>
      <c r="B71" s="68" t="s">
        <v>469</v>
      </c>
      <c r="C71" s="67" t="s">
        <v>137</v>
      </c>
      <c r="D71" s="67" t="s">
        <v>138</v>
      </c>
      <c r="E71" s="67" t="s">
        <v>139</v>
      </c>
      <c r="F71" s="67" t="s">
        <v>162</v>
      </c>
      <c r="G71" s="69" t="s">
        <v>305</v>
      </c>
      <c r="H71" s="67">
        <v>0</v>
      </c>
      <c r="I71" s="67">
        <v>18</v>
      </c>
      <c r="J71" s="67" t="s">
        <v>262</v>
      </c>
      <c r="K71" s="67" t="s">
        <v>258</v>
      </c>
      <c r="L71" s="67" t="s">
        <v>3</v>
      </c>
      <c r="M71" s="67" t="s">
        <v>142</v>
      </c>
      <c r="N71" s="70">
        <v>1000</v>
      </c>
      <c r="O71" s="70">
        <v>1E-3</v>
      </c>
      <c r="P71" s="70"/>
      <c r="Q71" s="98">
        <v>7000</v>
      </c>
      <c r="R71" s="70">
        <v>7</v>
      </c>
      <c r="S71" s="70">
        <v>0</v>
      </c>
    </row>
    <row r="72" spans="1:19" s="56" customFormat="1">
      <c r="A72" s="67" t="s">
        <v>468</v>
      </c>
      <c r="B72" s="68" t="s">
        <v>469</v>
      </c>
      <c r="C72" s="67" t="s">
        <v>137</v>
      </c>
      <c r="D72" s="67" t="s">
        <v>138</v>
      </c>
      <c r="E72" s="67" t="s">
        <v>139</v>
      </c>
      <c r="F72" s="67" t="s">
        <v>162</v>
      </c>
      <c r="G72" s="69" t="s">
        <v>305</v>
      </c>
      <c r="H72" s="67">
        <v>0</v>
      </c>
      <c r="I72" s="67">
        <v>19</v>
      </c>
      <c r="J72" s="67" t="s">
        <v>263</v>
      </c>
      <c r="K72" s="67" t="s">
        <v>259</v>
      </c>
      <c r="L72" s="67" t="s">
        <v>3</v>
      </c>
      <c r="M72" s="67" t="s">
        <v>142</v>
      </c>
      <c r="N72" s="70">
        <v>1000</v>
      </c>
      <c r="O72" s="70">
        <v>1E-3</v>
      </c>
      <c r="P72" s="70"/>
      <c r="Q72" s="98">
        <v>4000</v>
      </c>
      <c r="R72" s="70">
        <v>4</v>
      </c>
      <c r="S72" s="70">
        <v>0</v>
      </c>
    </row>
    <row r="73" spans="1:19" s="56" customFormat="1">
      <c r="A73" s="67" t="s">
        <v>468</v>
      </c>
      <c r="B73" s="68" t="s">
        <v>469</v>
      </c>
      <c r="C73" s="67" t="s">
        <v>137</v>
      </c>
      <c r="D73" s="67" t="s">
        <v>138</v>
      </c>
      <c r="E73" s="67" t="s">
        <v>139</v>
      </c>
      <c r="F73" s="67" t="s">
        <v>162</v>
      </c>
      <c r="G73" s="69" t="s">
        <v>305</v>
      </c>
      <c r="H73" s="67">
        <v>0</v>
      </c>
      <c r="I73" s="67">
        <v>20</v>
      </c>
      <c r="J73" s="67" t="s">
        <v>164</v>
      </c>
      <c r="K73" s="67" t="s">
        <v>74</v>
      </c>
      <c r="L73" s="67" t="s">
        <v>5</v>
      </c>
      <c r="M73" s="67" t="s">
        <v>142</v>
      </c>
      <c r="N73" s="70">
        <v>1000</v>
      </c>
      <c r="O73" s="70">
        <v>1E-3</v>
      </c>
      <c r="P73" s="70"/>
      <c r="Q73" s="98">
        <v>15000</v>
      </c>
      <c r="R73" s="70">
        <v>15</v>
      </c>
      <c r="S73" s="70">
        <v>0</v>
      </c>
    </row>
    <row r="74" spans="1:19" s="56" customFormat="1">
      <c r="A74" s="67" t="s">
        <v>470</v>
      </c>
      <c r="B74" s="68" t="s">
        <v>471</v>
      </c>
      <c r="C74" s="67" t="s">
        <v>137</v>
      </c>
      <c r="D74" s="67" t="s">
        <v>138</v>
      </c>
      <c r="E74" s="67" t="s">
        <v>139</v>
      </c>
      <c r="F74" s="67" t="s">
        <v>140</v>
      </c>
      <c r="G74" s="69" t="s">
        <v>305</v>
      </c>
      <c r="H74" s="67">
        <v>0</v>
      </c>
      <c r="I74" s="67">
        <v>1</v>
      </c>
      <c r="J74" s="67" t="s">
        <v>141</v>
      </c>
      <c r="K74" s="67" t="s">
        <v>37</v>
      </c>
      <c r="L74" s="67" t="s">
        <v>3</v>
      </c>
      <c r="M74" s="67" t="s">
        <v>142</v>
      </c>
      <c r="N74" s="70">
        <v>1000</v>
      </c>
      <c r="O74" s="70">
        <v>200</v>
      </c>
      <c r="P74" s="70"/>
      <c r="Q74" s="98">
        <v>10224</v>
      </c>
      <c r="R74" s="70">
        <v>10</v>
      </c>
      <c r="S74" s="70">
        <v>224</v>
      </c>
    </row>
    <row r="75" spans="1:19" s="56" customFormat="1">
      <c r="A75" s="67" t="s">
        <v>470</v>
      </c>
      <c r="B75" s="68" t="s">
        <v>471</v>
      </c>
      <c r="C75" s="67" t="s">
        <v>137</v>
      </c>
      <c r="D75" s="67" t="s">
        <v>138</v>
      </c>
      <c r="E75" s="67" t="s">
        <v>139</v>
      </c>
      <c r="F75" s="67" t="s">
        <v>140</v>
      </c>
      <c r="G75" s="69" t="s">
        <v>305</v>
      </c>
      <c r="H75" s="67">
        <v>0</v>
      </c>
      <c r="I75" s="67">
        <v>2</v>
      </c>
      <c r="J75" s="67" t="s">
        <v>346</v>
      </c>
      <c r="K75" s="67" t="s">
        <v>343</v>
      </c>
      <c r="L75" s="67" t="s">
        <v>3</v>
      </c>
      <c r="M75" s="67" t="s">
        <v>142</v>
      </c>
      <c r="N75" s="70">
        <v>1000</v>
      </c>
      <c r="O75" s="70">
        <v>1E-3</v>
      </c>
      <c r="P75" s="70"/>
      <c r="Q75" s="98">
        <v>29176</v>
      </c>
      <c r="R75" s="70">
        <v>29</v>
      </c>
      <c r="S75" s="70">
        <v>176</v>
      </c>
    </row>
    <row r="76" spans="1:19" s="56" customFormat="1">
      <c r="A76" s="67" t="s">
        <v>470</v>
      </c>
      <c r="B76" s="68" t="s">
        <v>471</v>
      </c>
      <c r="C76" s="67" t="s">
        <v>137</v>
      </c>
      <c r="D76" s="67" t="s">
        <v>138</v>
      </c>
      <c r="E76" s="67" t="s">
        <v>139</v>
      </c>
      <c r="F76" s="67" t="s">
        <v>140</v>
      </c>
      <c r="G76" s="69" t="s">
        <v>305</v>
      </c>
      <c r="H76" s="67">
        <v>0</v>
      </c>
      <c r="I76" s="67">
        <v>3</v>
      </c>
      <c r="J76" s="67" t="s">
        <v>169</v>
      </c>
      <c r="K76" s="67" t="s">
        <v>64</v>
      </c>
      <c r="L76" s="67" t="s">
        <v>3</v>
      </c>
      <c r="M76" s="67" t="s">
        <v>142</v>
      </c>
      <c r="N76" s="70">
        <v>1000</v>
      </c>
      <c r="O76" s="70">
        <v>1E-3</v>
      </c>
      <c r="P76" s="70"/>
      <c r="Q76" s="98">
        <v>2</v>
      </c>
      <c r="R76" s="70">
        <v>0</v>
      </c>
      <c r="S76" s="70">
        <v>2</v>
      </c>
    </row>
    <row r="77" spans="1:19" s="56" customFormat="1">
      <c r="A77" s="67" t="s">
        <v>470</v>
      </c>
      <c r="B77" s="68" t="s">
        <v>471</v>
      </c>
      <c r="C77" s="67" t="s">
        <v>137</v>
      </c>
      <c r="D77" s="67" t="s">
        <v>138</v>
      </c>
      <c r="E77" s="67" t="s">
        <v>139</v>
      </c>
      <c r="F77" s="67" t="s">
        <v>140</v>
      </c>
      <c r="G77" s="69" t="s">
        <v>305</v>
      </c>
      <c r="H77" s="67">
        <v>0</v>
      </c>
      <c r="I77" s="67">
        <v>4</v>
      </c>
      <c r="J77" s="67" t="s">
        <v>143</v>
      </c>
      <c r="K77" s="67" t="s">
        <v>90</v>
      </c>
      <c r="L77" s="67" t="s">
        <v>3</v>
      </c>
      <c r="M77" s="67" t="s">
        <v>142</v>
      </c>
      <c r="N77" s="70">
        <v>1000</v>
      </c>
      <c r="O77" s="70">
        <v>359.59699999999998</v>
      </c>
      <c r="P77" s="70"/>
      <c r="Q77" s="98">
        <v>864</v>
      </c>
      <c r="R77" s="70">
        <v>0</v>
      </c>
      <c r="S77" s="70">
        <v>864</v>
      </c>
    </row>
    <row r="78" spans="1:19" s="56" customFormat="1">
      <c r="A78" s="67" t="s">
        <v>470</v>
      </c>
      <c r="B78" s="68" t="s">
        <v>471</v>
      </c>
      <c r="C78" s="67" t="s">
        <v>137</v>
      </c>
      <c r="D78" s="67" t="s">
        <v>138</v>
      </c>
      <c r="E78" s="67" t="s">
        <v>139</v>
      </c>
      <c r="F78" s="67" t="s">
        <v>140</v>
      </c>
      <c r="G78" s="69" t="s">
        <v>305</v>
      </c>
      <c r="H78" s="67">
        <v>0</v>
      </c>
      <c r="I78" s="67">
        <v>5</v>
      </c>
      <c r="J78" s="67" t="s">
        <v>144</v>
      </c>
      <c r="K78" s="67" t="s">
        <v>26</v>
      </c>
      <c r="L78" s="67" t="s">
        <v>3</v>
      </c>
      <c r="M78" s="67" t="s">
        <v>142</v>
      </c>
      <c r="N78" s="70">
        <v>1000</v>
      </c>
      <c r="O78" s="70">
        <v>1E-3</v>
      </c>
      <c r="P78" s="70"/>
      <c r="Q78" s="98">
        <v>11665</v>
      </c>
      <c r="R78" s="70">
        <v>11</v>
      </c>
      <c r="S78" s="70">
        <v>665</v>
      </c>
    </row>
    <row r="79" spans="1:19" s="56" customFormat="1">
      <c r="A79" s="67" t="s">
        <v>470</v>
      </c>
      <c r="B79" s="68" t="s">
        <v>471</v>
      </c>
      <c r="C79" s="67" t="s">
        <v>137</v>
      </c>
      <c r="D79" s="67" t="s">
        <v>138</v>
      </c>
      <c r="E79" s="67" t="s">
        <v>139</v>
      </c>
      <c r="F79" s="67" t="s">
        <v>140</v>
      </c>
      <c r="G79" s="69" t="s">
        <v>305</v>
      </c>
      <c r="H79" s="67">
        <v>0</v>
      </c>
      <c r="I79" s="67">
        <v>6</v>
      </c>
      <c r="J79" s="67" t="s">
        <v>145</v>
      </c>
      <c r="K79" s="67" t="s">
        <v>27</v>
      </c>
      <c r="L79" s="67" t="s">
        <v>3</v>
      </c>
      <c r="M79" s="67" t="s">
        <v>142</v>
      </c>
      <c r="N79" s="70">
        <v>1000</v>
      </c>
      <c r="O79" s="70">
        <v>1E-3</v>
      </c>
      <c r="P79" s="70"/>
      <c r="Q79" s="98">
        <v>908</v>
      </c>
      <c r="R79" s="70">
        <v>0</v>
      </c>
      <c r="S79" s="70">
        <v>908</v>
      </c>
    </row>
    <row r="80" spans="1:19" s="56" customFormat="1">
      <c r="A80" s="67" t="s">
        <v>470</v>
      </c>
      <c r="B80" s="68" t="s">
        <v>471</v>
      </c>
      <c r="C80" s="67" t="s">
        <v>137</v>
      </c>
      <c r="D80" s="67" t="s">
        <v>138</v>
      </c>
      <c r="E80" s="67" t="s">
        <v>139</v>
      </c>
      <c r="F80" s="67" t="s">
        <v>140</v>
      </c>
      <c r="G80" s="69" t="s">
        <v>305</v>
      </c>
      <c r="H80" s="67">
        <v>0</v>
      </c>
      <c r="I80" s="67">
        <v>7</v>
      </c>
      <c r="J80" s="67" t="s">
        <v>376</v>
      </c>
      <c r="K80" s="67" t="s">
        <v>11</v>
      </c>
      <c r="L80" s="67" t="s">
        <v>3</v>
      </c>
      <c r="M80" s="67" t="s">
        <v>142</v>
      </c>
      <c r="N80" s="70">
        <v>1000</v>
      </c>
      <c r="O80" s="70">
        <v>1E-3</v>
      </c>
      <c r="P80" s="70"/>
      <c r="Q80" s="98">
        <v>2</v>
      </c>
      <c r="R80" s="70">
        <v>0</v>
      </c>
      <c r="S80" s="70">
        <v>2</v>
      </c>
    </row>
    <row r="81" spans="1:19" s="56" customFormat="1">
      <c r="A81" s="67" t="s">
        <v>470</v>
      </c>
      <c r="B81" s="68" t="s">
        <v>471</v>
      </c>
      <c r="C81" s="67" t="s">
        <v>137</v>
      </c>
      <c r="D81" s="67" t="s">
        <v>138</v>
      </c>
      <c r="E81" s="67" t="s">
        <v>139</v>
      </c>
      <c r="F81" s="67" t="s">
        <v>140</v>
      </c>
      <c r="G81" s="69" t="s">
        <v>305</v>
      </c>
      <c r="H81" s="67">
        <v>0</v>
      </c>
      <c r="I81" s="67">
        <v>8</v>
      </c>
      <c r="J81" s="67" t="s">
        <v>146</v>
      </c>
      <c r="K81" s="67" t="s">
        <v>46</v>
      </c>
      <c r="L81" s="67" t="s">
        <v>3</v>
      </c>
      <c r="M81" s="67" t="s">
        <v>142</v>
      </c>
      <c r="N81" s="70">
        <v>1000</v>
      </c>
      <c r="O81" s="70">
        <v>1E-3</v>
      </c>
      <c r="P81" s="70"/>
      <c r="Q81" s="98">
        <v>1091</v>
      </c>
      <c r="R81" s="70">
        <v>1</v>
      </c>
      <c r="S81" s="70">
        <v>91</v>
      </c>
    </row>
    <row r="82" spans="1:19" s="56" customFormat="1">
      <c r="A82" s="67" t="s">
        <v>470</v>
      </c>
      <c r="B82" s="68" t="s">
        <v>471</v>
      </c>
      <c r="C82" s="67" t="s">
        <v>137</v>
      </c>
      <c r="D82" s="67" t="s">
        <v>138</v>
      </c>
      <c r="E82" s="67" t="s">
        <v>139</v>
      </c>
      <c r="F82" s="67" t="s">
        <v>140</v>
      </c>
      <c r="G82" s="69" t="s">
        <v>305</v>
      </c>
      <c r="H82" s="67">
        <v>0</v>
      </c>
      <c r="I82" s="67">
        <v>9</v>
      </c>
      <c r="J82" s="67" t="s">
        <v>147</v>
      </c>
      <c r="K82" s="67" t="s">
        <v>41</v>
      </c>
      <c r="L82" s="67" t="s">
        <v>3</v>
      </c>
      <c r="M82" s="67" t="s">
        <v>142</v>
      </c>
      <c r="N82" s="70">
        <v>1000</v>
      </c>
      <c r="O82" s="70">
        <v>1E-3</v>
      </c>
      <c r="P82" s="70"/>
      <c r="Q82" s="98">
        <v>5457</v>
      </c>
      <c r="R82" s="70">
        <v>5</v>
      </c>
      <c r="S82" s="70">
        <v>457</v>
      </c>
    </row>
    <row r="83" spans="1:19" s="56" customFormat="1">
      <c r="A83" s="67" t="s">
        <v>470</v>
      </c>
      <c r="B83" s="68" t="s">
        <v>471</v>
      </c>
      <c r="C83" s="67" t="s">
        <v>137</v>
      </c>
      <c r="D83" s="67" t="s">
        <v>138</v>
      </c>
      <c r="E83" s="67" t="s">
        <v>139</v>
      </c>
      <c r="F83" s="67" t="s">
        <v>140</v>
      </c>
      <c r="G83" s="69" t="s">
        <v>305</v>
      </c>
      <c r="H83" s="67">
        <v>0</v>
      </c>
      <c r="I83" s="67">
        <v>10</v>
      </c>
      <c r="J83" s="67" t="s">
        <v>151</v>
      </c>
      <c r="K83" s="67" t="s">
        <v>28</v>
      </c>
      <c r="L83" s="67" t="s">
        <v>3</v>
      </c>
      <c r="M83" s="67" t="s">
        <v>142</v>
      </c>
      <c r="N83" s="70">
        <v>1000</v>
      </c>
      <c r="O83" s="70">
        <v>1E-3</v>
      </c>
      <c r="P83" s="70"/>
      <c r="Q83" s="98">
        <v>37</v>
      </c>
      <c r="R83" s="70">
        <v>0</v>
      </c>
      <c r="S83" s="70">
        <v>37</v>
      </c>
    </row>
    <row r="84" spans="1:19" s="56" customFormat="1">
      <c r="A84" s="67" t="s">
        <v>470</v>
      </c>
      <c r="B84" s="68" t="s">
        <v>471</v>
      </c>
      <c r="C84" s="67" t="s">
        <v>137</v>
      </c>
      <c r="D84" s="67" t="s">
        <v>138</v>
      </c>
      <c r="E84" s="67" t="s">
        <v>139</v>
      </c>
      <c r="F84" s="67" t="s">
        <v>140</v>
      </c>
      <c r="G84" s="69" t="s">
        <v>305</v>
      </c>
      <c r="H84" s="67">
        <v>0</v>
      </c>
      <c r="I84" s="67">
        <v>11</v>
      </c>
      <c r="J84" s="67" t="s">
        <v>148</v>
      </c>
      <c r="K84" s="67" t="s">
        <v>30</v>
      </c>
      <c r="L84" s="67" t="s">
        <v>3</v>
      </c>
      <c r="M84" s="67" t="s">
        <v>142</v>
      </c>
      <c r="N84" s="70">
        <v>1000</v>
      </c>
      <c r="O84" s="70">
        <v>1E-3</v>
      </c>
      <c r="P84" s="70"/>
      <c r="Q84" s="98">
        <v>1780</v>
      </c>
      <c r="R84" s="70">
        <v>1</v>
      </c>
      <c r="S84" s="70">
        <v>780</v>
      </c>
    </row>
    <row r="85" spans="1:19" s="56" customFormat="1">
      <c r="A85" s="67" t="s">
        <v>470</v>
      </c>
      <c r="B85" s="68" t="s">
        <v>471</v>
      </c>
      <c r="C85" s="67" t="s">
        <v>137</v>
      </c>
      <c r="D85" s="67" t="s">
        <v>138</v>
      </c>
      <c r="E85" s="67" t="s">
        <v>139</v>
      </c>
      <c r="F85" s="67" t="s">
        <v>140</v>
      </c>
      <c r="G85" s="69" t="s">
        <v>305</v>
      </c>
      <c r="H85" s="67">
        <v>0</v>
      </c>
      <c r="I85" s="67">
        <v>12</v>
      </c>
      <c r="J85" s="67" t="s">
        <v>314</v>
      </c>
      <c r="K85" s="67" t="s">
        <v>281</v>
      </c>
      <c r="L85" s="67" t="s">
        <v>3</v>
      </c>
      <c r="M85" s="67" t="s">
        <v>142</v>
      </c>
      <c r="N85" s="70">
        <v>1000</v>
      </c>
      <c r="O85" s="70">
        <v>1E-3</v>
      </c>
      <c r="P85" s="70"/>
      <c r="Q85" s="98">
        <v>420000</v>
      </c>
      <c r="R85" s="70">
        <v>420</v>
      </c>
      <c r="S85" s="70">
        <v>0</v>
      </c>
    </row>
    <row r="86" spans="1:19" s="56" customFormat="1">
      <c r="A86" s="67" t="s">
        <v>470</v>
      </c>
      <c r="B86" s="68" t="s">
        <v>471</v>
      </c>
      <c r="C86" s="67" t="s">
        <v>137</v>
      </c>
      <c r="D86" s="67" t="s">
        <v>138</v>
      </c>
      <c r="E86" s="67" t="s">
        <v>139</v>
      </c>
      <c r="F86" s="67" t="s">
        <v>153</v>
      </c>
      <c r="G86" s="69" t="s">
        <v>305</v>
      </c>
      <c r="H86" s="67">
        <v>0</v>
      </c>
      <c r="I86" s="67">
        <v>13</v>
      </c>
      <c r="J86" s="67" t="s">
        <v>154</v>
      </c>
      <c r="K86" s="67" t="s">
        <v>23</v>
      </c>
      <c r="L86" s="67" t="s">
        <v>3</v>
      </c>
      <c r="M86" s="67" t="s">
        <v>142</v>
      </c>
      <c r="N86" s="70">
        <v>1000</v>
      </c>
      <c r="O86" s="70">
        <v>32.021000000000001</v>
      </c>
      <c r="P86" s="70"/>
      <c r="Q86" s="98">
        <v>150000</v>
      </c>
      <c r="R86" s="70">
        <v>150</v>
      </c>
      <c r="S86" s="70">
        <v>0</v>
      </c>
    </row>
    <row r="87" spans="1:19" s="56" customFormat="1">
      <c r="A87" s="67" t="s">
        <v>470</v>
      </c>
      <c r="B87" s="68" t="s">
        <v>471</v>
      </c>
      <c r="C87" s="67" t="s">
        <v>137</v>
      </c>
      <c r="D87" s="67" t="s">
        <v>138</v>
      </c>
      <c r="E87" s="67" t="s">
        <v>139</v>
      </c>
      <c r="F87" s="67" t="s">
        <v>153</v>
      </c>
      <c r="G87" s="69" t="s">
        <v>305</v>
      </c>
      <c r="H87" s="67">
        <v>0</v>
      </c>
      <c r="I87" s="67">
        <v>14</v>
      </c>
      <c r="J87" s="67" t="s">
        <v>155</v>
      </c>
      <c r="K87" s="67" t="s">
        <v>33</v>
      </c>
      <c r="L87" s="67" t="s">
        <v>3</v>
      </c>
      <c r="M87" s="67" t="s">
        <v>142</v>
      </c>
      <c r="N87" s="70">
        <v>1000</v>
      </c>
      <c r="O87" s="70">
        <v>13.6</v>
      </c>
      <c r="P87" s="70"/>
      <c r="Q87" s="98">
        <v>150000</v>
      </c>
      <c r="R87" s="70">
        <v>150</v>
      </c>
      <c r="S87" s="70">
        <v>0</v>
      </c>
    </row>
    <row r="88" spans="1:19" s="56" customFormat="1">
      <c r="A88" s="67" t="s">
        <v>470</v>
      </c>
      <c r="B88" s="68" t="s">
        <v>471</v>
      </c>
      <c r="C88" s="67" t="s">
        <v>137</v>
      </c>
      <c r="D88" s="67" t="s">
        <v>138</v>
      </c>
      <c r="E88" s="67" t="s">
        <v>139</v>
      </c>
      <c r="F88" s="67" t="s">
        <v>153</v>
      </c>
      <c r="G88" s="69" t="s">
        <v>305</v>
      </c>
      <c r="H88" s="67">
        <v>0</v>
      </c>
      <c r="I88" s="67">
        <v>15</v>
      </c>
      <c r="J88" s="67" t="s">
        <v>251</v>
      </c>
      <c r="K88" s="67" t="s">
        <v>249</v>
      </c>
      <c r="L88" s="67" t="s">
        <v>3</v>
      </c>
      <c r="M88" s="67" t="s">
        <v>142</v>
      </c>
      <c r="N88" s="70">
        <v>1000</v>
      </c>
      <c r="O88" s="70">
        <v>1E-3</v>
      </c>
      <c r="P88" s="70"/>
      <c r="Q88" s="98">
        <v>25000</v>
      </c>
      <c r="R88" s="70">
        <v>25</v>
      </c>
      <c r="S88" s="70">
        <v>0</v>
      </c>
    </row>
    <row r="89" spans="1:19" s="56" customFormat="1">
      <c r="A89" s="67" t="s">
        <v>470</v>
      </c>
      <c r="B89" s="68" t="s">
        <v>471</v>
      </c>
      <c r="C89" s="67" t="s">
        <v>137</v>
      </c>
      <c r="D89" s="67" t="s">
        <v>138</v>
      </c>
      <c r="E89" s="67" t="s">
        <v>139</v>
      </c>
      <c r="F89" s="67" t="s">
        <v>153</v>
      </c>
      <c r="G89" s="69" t="s">
        <v>305</v>
      </c>
      <c r="H89" s="67">
        <v>0</v>
      </c>
      <c r="I89" s="67">
        <v>16</v>
      </c>
      <c r="J89" s="67" t="s">
        <v>472</v>
      </c>
      <c r="K89" s="67" t="s">
        <v>370</v>
      </c>
      <c r="L89" s="67" t="s">
        <v>3</v>
      </c>
      <c r="M89" s="67" t="s">
        <v>142</v>
      </c>
      <c r="N89" s="70">
        <v>1000</v>
      </c>
      <c r="O89" s="70">
        <v>1E-3</v>
      </c>
      <c r="P89" s="70"/>
      <c r="Q89" s="98">
        <v>20000</v>
      </c>
      <c r="R89" s="70">
        <v>20</v>
      </c>
      <c r="S89" s="70">
        <v>0</v>
      </c>
    </row>
    <row r="90" spans="1:19" s="56" customFormat="1">
      <c r="A90" s="67" t="s">
        <v>470</v>
      </c>
      <c r="B90" s="68" t="s">
        <v>471</v>
      </c>
      <c r="C90" s="67" t="s">
        <v>137</v>
      </c>
      <c r="D90" s="67" t="s">
        <v>138</v>
      </c>
      <c r="E90" s="67" t="s">
        <v>139</v>
      </c>
      <c r="F90" s="67" t="s">
        <v>153</v>
      </c>
      <c r="G90" s="69" t="s">
        <v>305</v>
      </c>
      <c r="H90" s="67">
        <v>0</v>
      </c>
      <c r="I90" s="67">
        <v>17</v>
      </c>
      <c r="J90" s="67" t="s">
        <v>168</v>
      </c>
      <c r="K90" s="67" t="s">
        <v>34</v>
      </c>
      <c r="L90" s="67" t="s">
        <v>3</v>
      </c>
      <c r="M90" s="67" t="s">
        <v>142</v>
      </c>
      <c r="N90" s="70">
        <v>1000</v>
      </c>
      <c r="O90" s="70">
        <v>1E-3</v>
      </c>
      <c r="P90" s="70"/>
      <c r="Q90" s="98">
        <v>2400</v>
      </c>
      <c r="R90" s="70">
        <v>2</v>
      </c>
      <c r="S90" s="70">
        <v>400</v>
      </c>
    </row>
    <row r="91" spans="1:19" s="56" customFormat="1">
      <c r="A91" s="67" t="s">
        <v>470</v>
      </c>
      <c r="B91" s="68" t="s">
        <v>471</v>
      </c>
      <c r="C91" s="67" t="s">
        <v>137</v>
      </c>
      <c r="D91" s="67" t="s">
        <v>138</v>
      </c>
      <c r="E91" s="67" t="s">
        <v>139</v>
      </c>
      <c r="F91" s="67" t="s">
        <v>159</v>
      </c>
      <c r="G91" s="69" t="s">
        <v>305</v>
      </c>
      <c r="H91" s="67">
        <v>0</v>
      </c>
      <c r="I91" s="67">
        <v>18</v>
      </c>
      <c r="J91" s="67" t="s">
        <v>160</v>
      </c>
      <c r="K91" s="67" t="s">
        <v>62</v>
      </c>
      <c r="L91" s="67" t="s">
        <v>3</v>
      </c>
      <c r="M91" s="67" t="s">
        <v>142</v>
      </c>
      <c r="N91" s="70">
        <v>1000</v>
      </c>
      <c r="O91" s="70">
        <v>24</v>
      </c>
      <c r="P91" s="70"/>
      <c r="Q91" s="98">
        <v>60000</v>
      </c>
      <c r="R91" s="70">
        <v>60</v>
      </c>
      <c r="S91" s="70">
        <v>0</v>
      </c>
    </row>
    <row r="92" spans="1:19" s="56" customFormat="1">
      <c r="A92" s="67" t="s">
        <v>470</v>
      </c>
      <c r="B92" s="68" t="s">
        <v>471</v>
      </c>
      <c r="C92" s="67" t="s">
        <v>137</v>
      </c>
      <c r="D92" s="67" t="s">
        <v>138</v>
      </c>
      <c r="E92" s="67" t="s">
        <v>139</v>
      </c>
      <c r="F92" s="67" t="s">
        <v>159</v>
      </c>
      <c r="G92" s="69" t="s">
        <v>305</v>
      </c>
      <c r="H92" s="67">
        <v>0</v>
      </c>
      <c r="I92" s="67">
        <v>19</v>
      </c>
      <c r="J92" s="67" t="s">
        <v>161</v>
      </c>
      <c r="K92" s="67" t="s">
        <v>63</v>
      </c>
      <c r="L92" s="67" t="s">
        <v>3</v>
      </c>
      <c r="M92" s="67" t="s">
        <v>142</v>
      </c>
      <c r="N92" s="70">
        <v>1000</v>
      </c>
      <c r="O92" s="70">
        <v>23</v>
      </c>
      <c r="P92" s="70"/>
      <c r="Q92" s="98">
        <v>60000</v>
      </c>
      <c r="R92" s="70">
        <v>60</v>
      </c>
      <c r="S92" s="70">
        <v>0</v>
      </c>
    </row>
    <row r="93" spans="1:19" s="56" customFormat="1">
      <c r="A93" s="67" t="s">
        <v>470</v>
      </c>
      <c r="B93" s="68" t="s">
        <v>471</v>
      </c>
      <c r="C93" s="67" t="s">
        <v>137</v>
      </c>
      <c r="D93" s="67" t="s">
        <v>138</v>
      </c>
      <c r="E93" s="67" t="s">
        <v>139</v>
      </c>
      <c r="F93" s="67" t="s">
        <v>162</v>
      </c>
      <c r="G93" s="69" t="s">
        <v>305</v>
      </c>
      <c r="H93" s="67">
        <v>0</v>
      </c>
      <c r="I93" s="67">
        <v>20</v>
      </c>
      <c r="J93" s="67" t="s">
        <v>377</v>
      </c>
      <c r="K93" s="67" t="s">
        <v>372</v>
      </c>
      <c r="L93" s="67" t="s">
        <v>3</v>
      </c>
      <c r="M93" s="67" t="s">
        <v>142</v>
      </c>
      <c r="N93" s="70">
        <v>1000</v>
      </c>
      <c r="O93" s="70">
        <v>1E-3</v>
      </c>
      <c r="P93" s="70"/>
      <c r="Q93" s="98">
        <v>525000</v>
      </c>
      <c r="R93" s="70">
        <v>525</v>
      </c>
      <c r="S93" s="70">
        <v>0</v>
      </c>
    </row>
    <row r="94" spans="1:19" s="56" customFormat="1">
      <c r="A94" s="67" t="s">
        <v>470</v>
      </c>
      <c r="B94" s="68" t="s">
        <v>471</v>
      </c>
      <c r="C94" s="67" t="s">
        <v>137</v>
      </c>
      <c r="D94" s="67" t="s">
        <v>138</v>
      </c>
      <c r="E94" s="67" t="s">
        <v>139</v>
      </c>
      <c r="F94" s="67" t="s">
        <v>162</v>
      </c>
      <c r="G94" s="69" t="s">
        <v>305</v>
      </c>
      <c r="H94" s="67">
        <v>0</v>
      </c>
      <c r="I94" s="67">
        <v>21</v>
      </c>
      <c r="J94" s="67" t="s">
        <v>262</v>
      </c>
      <c r="K94" s="67" t="s">
        <v>258</v>
      </c>
      <c r="L94" s="67" t="s">
        <v>3</v>
      </c>
      <c r="M94" s="67" t="s">
        <v>142</v>
      </c>
      <c r="N94" s="70">
        <v>1000</v>
      </c>
      <c r="O94" s="70">
        <v>1E-3</v>
      </c>
      <c r="P94" s="70"/>
      <c r="Q94" s="98">
        <v>11000</v>
      </c>
      <c r="R94" s="70">
        <v>11</v>
      </c>
      <c r="S94" s="70">
        <v>0</v>
      </c>
    </row>
    <row r="95" spans="1:19" s="56" customFormat="1">
      <c r="A95" s="67" t="s">
        <v>470</v>
      </c>
      <c r="B95" s="68" t="s">
        <v>471</v>
      </c>
      <c r="C95" s="67" t="s">
        <v>137</v>
      </c>
      <c r="D95" s="67" t="s">
        <v>138</v>
      </c>
      <c r="E95" s="67" t="s">
        <v>139</v>
      </c>
      <c r="F95" s="67" t="s">
        <v>162</v>
      </c>
      <c r="G95" s="69" t="s">
        <v>305</v>
      </c>
      <c r="H95" s="67">
        <v>0</v>
      </c>
      <c r="I95" s="67">
        <v>22</v>
      </c>
      <c r="J95" s="67" t="s">
        <v>263</v>
      </c>
      <c r="K95" s="67" t="s">
        <v>259</v>
      </c>
      <c r="L95" s="67" t="s">
        <v>3</v>
      </c>
      <c r="M95" s="67" t="s">
        <v>142</v>
      </c>
      <c r="N95" s="70">
        <v>1000</v>
      </c>
      <c r="O95" s="70">
        <v>1E-3</v>
      </c>
      <c r="P95" s="70"/>
      <c r="Q95" s="98">
        <v>14000</v>
      </c>
      <c r="R95" s="70">
        <v>14</v>
      </c>
      <c r="S95" s="70">
        <v>0</v>
      </c>
    </row>
    <row r="96" spans="1:19" s="56" customFormat="1">
      <c r="A96" s="67" t="s">
        <v>470</v>
      </c>
      <c r="B96" s="68" t="s">
        <v>471</v>
      </c>
      <c r="C96" s="67" t="s">
        <v>137</v>
      </c>
      <c r="D96" s="67" t="s">
        <v>138</v>
      </c>
      <c r="E96" s="67" t="s">
        <v>139</v>
      </c>
      <c r="F96" s="67" t="s">
        <v>162</v>
      </c>
      <c r="G96" s="69" t="s">
        <v>305</v>
      </c>
      <c r="H96" s="67">
        <v>0</v>
      </c>
      <c r="I96" s="67">
        <v>23</v>
      </c>
      <c r="J96" s="67" t="s">
        <v>163</v>
      </c>
      <c r="K96" s="67" t="s">
        <v>14</v>
      </c>
      <c r="L96" s="67" t="s">
        <v>3</v>
      </c>
      <c r="M96" s="67" t="s">
        <v>142</v>
      </c>
      <c r="N96" s="70">
        <v>1000</v>
      </c>
      <c r="O96" s="70">
        <v>1E-3</v>
      </c>
      <c r="P96" s="70"/>
      <c r="Q96" s="98">
        <v>20000</v>
      </c>
      <c r="R96" s="70">
        <v>20</v>
      </c>
      <c r="S96" s="70">
        <v>0</v>
      </c>
    </row>
    <row r="97" spans="1:19" s="56" customFormat="1">
      <c r="A97" s="67" t="s">
        <v>470</v>
      </c>
      <c r="B97" s="68" t="s">
        <v>471</v>
      </c>
      <c r="C97" s="67" t="s">
        <v>137</v>
      </c>
      <c r="D97" s="67" t="s">
        <v>138</v>
      </c>
      <c r="E97" s="67" t="s">
        <v>139</v>
      </c>
      <c r="F97" s="67" t="s">
        <v>162</v>
      </c>
      <c r="G97" s="69" t="s">
        <v>305</v>
      </c>
      <c r="H97" s="67">
        <v>0</v>
      </c>
      <c r="I97" s="67">
        <v>24</v>
      </c>
      <c r="J97" s="67" t="s">
        <v>164</v>
      </c>
      <c r="K97" s="67" t="s">
        <v>74</v>
      </c>
      <c r="L97" s="67" t="s">
        <v>5</v>
      </c>
      <c r="M97" s="67" t="s">
        <v>142</v>
      </c>
      <c r="N97" s="70">
        <v>1000</v>
      </c>
      <c r="O97" s="70">
        <v>1E-3</v>
      </c>
      <c r="P97" s="70"/>
      <c r="Q97" s="98">
        <v>15000</v>
      </c>
      <c r="R97" s="70">
        <v>15</v>
      </c>
      <c r="S97" s="70">
        <v>0</v>
      </c>
    </row>
    <row r="98" spans="1:19" s="56" customFormat="1">
      <c r="A98" s="67" t="s">
        <v>470</v>
      </c>
      <c r="B98" s="68" t="s">
        <v>471</v>
      </c>
      <c r="C98" s="67" t="s">
        <v>137</v>
      </c>
      <c r="D98" s="67" t="s">
        <v>138</v>
      </c>
      <c r="E98" s="67" t="s">
        <v>139</v>
      </c>
      <c r="F98" s="67" t="s">
        <v>162</v>
      </c>
      <c r="G98" s="69" t="s">
        <v>305</v>
      </c>
      <c r="H98" s="67">
        <v>0</v>
      </c>
      <c r="I98" s="67">
        <v>25</v>
      </c>
      <c r="J98" s="67" t="s">
        <v>165</v>
      </c>
      <c r="K98" s="67" t="s">
        <v>80</v>
      </c>
      <c r="L98" s="67" t="s">
        <v>3</v>
      </c>
      <c r="M98" s="67" t="s">
        <v>142</v>
      </c>
      <c r="N98" s="70">
        <v>1000</v>
      </c>
      <c r="O98" s="70">
        <v>1E-3</v>
      </c>
      <c r="P98" s="70"/>
      <c r="Q98" s="98">
        <v>50</v>
      </c>
      <c r="R98" s="70">
        <v>0</v>
      </c>
      <c r="S98" s="70">
        <v>50</v>
      </c>
    </row>
    <row r="99" spans="1:19" s="56" customFormat="1">
      <c r="A99" s="67" t="s">
        <v>473</v>
      </c>
      <c r="B99" s="68" t="s">
        <v>474</v>
      </c>
      <c r="C99" s="67" t="s">
        <v>137</v>
      </c>
      <c r="D99" s="67" t="s">
        <v>138</v>
      </c>
      <c r="E99" s="67" t="s">
        <v>139</v>
      </c>
      <c r="F99" s="67" t="s">
        <v>140</v>
      </c>
      <c r="G99" s="69" t="s">
        <v>305</v>
      </c>
      <c r="H99" s="67">
        <v>0</v>
      </c>
      <c r="I99" s="67">
        <v>1</v>
      </c>
      <c r="J99" s="67" t="s">
        <v>141</v>
      </c>
      <c r="K99" s="67" t="s">
        <v>37</v>
      </c>
      <c r="L99" s="67" t="s">
        <v>3</v>
      </c>
      <c r="M99" s="67" t="s">
        <v>142</v>
      </c>
      <c r="N99" s="70">
        <v>1000</v>
      </c>
      <c r="O99" s="70">
        <v>200</v>
      </c>
      <c r="P99" s="70"/>
      <c r="Q99" s="98">
        <v>12166</v>
      </c>
      <c r="R99" s="70">
        <v>12</v>
      </c>
      <c r="S99" s="70">
        <v>166</v>
      </c>
    </row>
    <row r="100" spans="1:19" s="56" customFormat="1">
      <c r="A100" s="67" t="s">
        <v>473</v>
      </c>
      <c r="B100" s="68" t="s">
        <v>474</v>
      </c>
      <c r="C100" s="67" t="s">
        <v>137</v>
      </c>
      <c r="D100" s="67" t="s">
        <v>138</v>
      </c>
      <c r="E100" s="67" t="s">
        <v>139</v>
      </c>
      <c r="F100" s="67" t="s">
        <v>140</v>
      </c>
      <c r="G100" s="69" t="s">
        <v>305</v>
      </c>
      <c r="H100" s="67">
        <v>0</v>
      </c>
      <c r="I100" s="67">
        <v>2</v>
      </c>
      <c r="J100" s="67" t="s">
        <v>346</v>
      </c>
      <c r="K100" s="67" t="s">
        <v>343</v>
      </c>
      <c r="L100" s="67" t="s">
        <v>3</v>
      </c>
      <c r="M100" s="67" t="s">
        <v>142</v>
      </c>
      <c r="N100" s="70">
        <v>1000</v>
      </c>
      <c r="O100" s="70">
        <v>1E-3</v>
      </c>
      <c r="P100" s="70"/>
      <c r="Q100" s="98">
        <v>22563</v>
      </c>
      <c r="R100" s="70">
        <v>22</v>
      </c>
      <c r="S100" s="70">
        <v>563</v>
      </c>
    </row>
    <row r="101" spans="1:19" s="56" customFormat="1">
      <c r="A101" s="67" t="s">
        <v>473</v>
      </c>
      <c r="B101" s="68" t="s">
        <v>474</v>
      </c>
      <c r="C101" s="67" t="s">
        <v>137</v>
      </c>
      <c r="D101" s="67" t="s">
        <v>138</v>
      </c>
      <c r="E101" s="67" t="s">
        <v>139</v>
      </c>
      <c r="F101" s="67" t="s">
        <v>140</v>
      </c>
      <c r="G101" s="69" t="s">
        <v>305</v>
      </c>
      <c r="H101" s="67">
        <v>0</v>
      </c>
      <c r="I101" s="67">
        <v>3</v>
      </c>
      <c r="J101" s="67" t="s">
        <v>169</v>
      </c>
      <c r="K101" s="67" t="s">
        <v>64</v>
      </c>
      <c r="L101" s="67" t="s">
        <v>3</v>
      </c>
      <c r="M101" s="67" t="s">
        <v>142</v>
      </c>
      <c r="N101" s="70">
        <v>1000</v>
      </c>
      <c r="O101" s="70">
        <v>1E-3</v>
      </c>
      <c r="P101" s="70"/>
      <c r="Q101" s="98">
        <v>91</v>
      </c>
      <c r="R101" s="70">
        <v>0</v>
      </c>
      <c r="S101" s="70">
        <v>91</v>
      </c>
    </row>
    <row r="102" spans="1:19" s="56" customFormat="1">
      <c r="A102" s="67" t="s">
        <v>473</v>
      </c>
      <c r="B102" s="68" t="s">
        <v>474</v>
      </c>
      <c r="C102" s="67" t="s">
        <v>137</v>
      </c>
      <c r="D102" s="67" t="s">
        <v>138</v>
      </c>
      <c r="E102" s="67" t="s">
        <v>139</v>
      </c>
      <c r="F102" s="67" t="s">
        <v>140</v>
      </c>
      <c r="G102" s="69" t="s">
        <v>305</v>
      </c>
      <c r="H102" s="67">
        <v>0</v>
      </c>
      <c r="I102" s="67">
        <v>4</v>
      </c>
      <c r="J102" s="67" t="s">
        <v>143</v>
      </c>
      <c r="K102" s="67" t="s">
        <v>90</v>
      </c>
      <c r="L102" s="67" t="s">
        <v>3</v>
      </c>
      <c r="M102" s="67" t="s">
        <v>142</v>
      </c>
      <c r="N102" s="70">
        <v>1000</v>
      </c>
      <c r="O102" s="70">
        <v>359.59699999999998</v>
      </c>
      <c r="P102" s="70"/>
      <c r="Q102" s="98">
        <v>1438</v>
      </c>
      <c r="R102" s="70">
        <v>1</v>
      </c>
      <c r="S102" s="70">
        <v>438</v>
      </c>
    </row>
    <row r="103" spans="1:19" s="56" customFormat="1">
      <c r="A103" s="67" t="s">
        <v>473</v>
      </c>
      <c r="B103" s="68" t="s">
        <v>474</v>
      </c>
      <c r="C103" s="67" t="s">
        <v>137</v>
      </c>
      <c r="D103" s="67" t="s">
        <v>138</v>
      </c>
      <c r="E103" s="67" t="s">
        <v>139</v>
      </c>
      <c r="F103" s="67" t="s">
        <v>140</v>
      </c>
      <c r="G103" s="69" t="s">
        <v>305</v>
      </c>
      <c r="H103" s="67">
        <v>0</v>
      </c>
      <c r="I103" s="67">
        <v>5</v>
      </c>
      <c r="J103" s="67" t="s">
        <v>144</v>
      </c>
      <c r="K103" s="67" t="s">
        <v>26</v>
      </c>
      <c r="L103" s="67" t="s">
        <v>3</v>
      </c>
      <c r="M103" s="67" t="s">
        <v>142</v>
      </c>
      <c r="N103" s="70">
        <v>1000</v>
      </c>
      <c r="O103" s="70">
        <v>1E-3</v>
      </c>
      <c r="P103" s="70"/>
      <c r="Q103" s="98">
        <v>9599</v>
      </c>
      <c r="R103" s="70">
        <v>9</v>
      </c>
      <c r="S103" s="70">
        <v>599</v>
      </c>
    </row>
    <row r="104" spans="1:19" s="56" customFormat="1">
      <c r="A104" s="67" t="s">
        <v>473</v>
      </c>
      <c r="B104" s="68" t="s">
        <v>474</v>
      </c>
      <c r="C104" s="67" t="s">
        <v>137</v>
      </c>
      <c r="D104" s="67" t="s">
        <v>138</v>
      </c>
      <c r="E104" s="67" t="s">
        <v>139</v>
      </c>
      <c r="F104" s="67" t="s">
        <v>140</v>
      </c>
      <c r="G104" s="69" t="s">
        <v>305</v>
      </c>
      <c r="H104" s="67">
        <v>0</v>
      </c>
      <c r="I104" s="67">
        <v>6</v>
      </c>
      <c r="J104" s="67" t="s">
        <v>145</v>
      </c>
      <c r="K104" s="67" t="s">
        <v>27</v>
      </c>
      <c r="L104" s="67" t="s">
        <v>3</v>
      </c>
      <c r="M104" s="67" t="s">
        <v>142</v>
      </c>
      <c r="N104" s="70">
        <v>1000</v>
      </c>
      <c r="O104" s="70">
        <v>1E-3</v>
      </c>
      <c r="P104" s="70"/>
      <c r="Q104" s="98">
        <v>4211</v>
      </c>
      <c r="R104" s="70">
        <v>4</v>
      </c>
      <c r="S104" s="70">
        <v>211</v>
      </c>
    </row>
    <row r="105" spans="1:19" s="56" customFormat="1">
      <c r="A105" s="67" t="s">
        <v>473</v>
      </c>
      <c r="B105" s="68" t="s">
        <v>474</v>
      </c>
      <c r="C105" s="67" t="s">
        <v>137</v>
      </c>
      <c r="D105" s="67" t="s">
        <v>138</v>
      </c>
      <c r="E105" s="67" t="s">
        <v>139</v>
      </c>
      <c r="F105" s="67" t="s">
        <v>140</v>
      </c>
      <c r="G105" s="69" t="s">
        <v>305</v>
      </c>
      <c r="H105" s="67">
        <v>0</v>
      </c>
      <c r="I105" s="67">
        <v>7</v>
      </c>
      <c r="J105" s="67" t="s">
        <v>146</v>
      </c>
      <c r="K105" s="67" t="s">
        <v>46</v>
      </c>
      <c r="L105" s="67" t="s">
        <v>3</v>
      </c>
      <c r="M105" s="67" t="s">
        <v>142</v>
      </c>
      <c r="N105" s="70">
        <v>1000</v>
      </c>
      <c r="O105" s="70">
        <v>1E-3</v>
      </c>
      <c r="P105" s="70"/>
      <c r="Q105" s="98">
        <v>466</v>
      </c>
      <c r="R105" s="70">
        <v>0</v>
      </c>
      <c r="S105" s="70">
        <v>466</v>
      </c>
    </row>
    <row r="106" spans="1:19" s="56" customFormat="1">
      <c r="A106" s="67" t="s">
        <v>473</v>
      </c>
      <c r="B106" s="68" t="s">
        <v>474</v>
      </c>
      <c r="C106" s="67" t="s">
        <v>137</v>
      </c>
      <c r="D106" s="67" t="s">
        <v>138</v>
      </c>
      <c r="E106" s="67" t="s">
        <v>139</v>
      </c>
      <c r="F106" s="67" t="s">
        <v>140</v>
      </c>
      <c r="G106" s="69" t="s">
        <v>305</v>
      </c>
      <c r="H106" s="67">
        <v>0</v>
      </c>
      <c r="I106" s="67">
        <v>8</v>
      </c>
      <c r="J106" s="67" t="s">
        <v>147</v>
      </c>
      <c r="K106" s="67" t="s">
        <v>41</v>
      </c>
      <c r="L106" s="67" t="s">
        <v>3</v>
      </c>
      <c r="M106" s="67" t="s">
        <v>142</v>
      </c>
      <c r="N106" s="70">
        <v>1000</v>
      </c>
      <c r="O106" s="70">
        <v>1E-3</v>
      </c>
      <c r="P106" s="70"/>
      <c r="Q106" s="98">
        <v>3051</v>
      </c>
      <c r="R106" s="70">
        <v>3</v>
      </c>
      <c r="S106" s="70">
        <v>51</v>
      </c>
    </row>
    <row r="107" spans="1:19" s="56" customFormat="1">
      <c r="A107" s="67" t="s">
        <v>473</v>
      </c>
      <c r="B107" s="68" t="s">
        <v>474</v>
      </c>
      <c r="C107" s="67" t="s">
        <v>137</v>
      </c>
      <c r="D107" s="67" t="s">
        <v>138</v>
      </c>
      <c r="E107" s="67" t="s">
        <v>139</v>
      </c>
      <c r="F107" s="67" t="s">
        <v>140</v>
      </c>
      <c r="G107" s="69" t="s">
        <v>305</v>
      </c>
      <c r="H107" s="67">
        <v>0</v>
      </c>
      <c r="I107" s="67">
        <v>9</v>
      </c>
      <c r="J107" s="67" t="s">
        <v>151</v>
      </c>
      <c r="K107" s="67" t="s">
        <v>28</v>
      </c>
      <c r="L107" s="67" t="s">
        <v>3</v>
      </c>
      <c r="M107" s="67" t="s">
        <v>142</v>
      </c>
      <c r="N107" s="70">
        <v>1000</v>
      </c>
      <c r="O107" s="70">
        <v>1E-3</v>
      </c>
      <c r="P107" s="70"/>
      <c r="Q107" s="98">
        <v>75</v>
      </c>
      <c r="R107" s="70">
        <v>0</v>
      </c>
      <c r="S107" s="70">
        <v>75</v>
      </c>
    </row>
    <row r="108" spans="1:19" s="56" customFormat="1">
      <c r="A108" s="67" t="s">
        <v>473</v>
      </c>
      <c r="B108" s="68" t="s">
        <v>474</v>
      </c>
      <c r="C108" s="67" t="s">
        <v>137</v>
      </c>
      <c r="D108" s="67" t="s">
        <v>138</v>
      </c>
      <c r="E108" s="67" t="s">
        <v>139</v>
      </c>
      <c r="F108" s="67" t="s">
        <v>140</v>
      </c>
      <c r="G108" s="69" t="s">
        <v>305</v>
      </c>
      <c r="H108" s="67">
        <v>0</v>
      </c>
      <c r="I108" s="67">
        <v>10</v>
      </c>
      <c r="J108" s="67" t="s">
        <v>148</v>
      </c>
      <c r="K108" s="67" t="s">
        <v>30</v>
      </c>
      <c r="L108" s="67" t="s">
        <v>3</v>
      </c>
      <c r="M108" s="67" t="s">
        <v>142</v>
      </c>
      <c r="N108" s="70">
        <v>1000</v>
      </c>
      <c r="O108" s="70">
        <v>1E-3</v>
      </c>
      <c r="P108" s="70"/>
      <c r="Q108" s="98">
        <v>12529</v>
      </c>
      <c r="R108" s="70">
        <v>12</v>
      </c>
      <c r="S108" s="70">
        <v>529</v>
      </c>
    </row>
    <row r="109" spans="1:19" s="56" customFormat="1">
      <c r="A109" s="67" t="s">
        <v>473</v>
      </c>
      <c r="B109" s="68" t="s">
        <v>474</v>
      </c>
      <c r="C109" s="67" t="s">
        <v>137</v>
      </c>
      <c r="D109" s="67" t="s">
        <v>138</v>
      </c>
      <c r="E109" s="67" t="s">
        <v>139</v>
      </c>
      <c r="F109" s="67" t="s">
        <v>153</v>
      </c>
      <c r="G109" s="69" t="s">
        <v>305</v>
      </c>
      <c r="H109" s="67">
        <v>0</v>
      </c>
      <c r="I109" s="67">
        <v>12</v>
      </c>
      <c r="J109" s="67" t="s">
        <v>155</v>
      </c>
      <c r="K109" s="67" t="s">
        <v>33</v>
      </c>
      <c r="L109" s="67" t="s">
        <v>3</v>
      </c>
      <c r="M109" s="67" t="s">
        <v>142</v>
      </c>
      <c r="N109" s="70">
        <v>1000</v>
      </c>
      <c r="O109" s="70">
        <v>13.6</v>
      </c>
      <c r="P109" s="70"/>
      <c r="Q109" s="98">
        <v>75000</v>
      </c>
      <c r="R109" s="70">
        <v>75</v>
      </c>
      <c r="S109" s="70">
        <v>0</v>
      </c>
    </row>
    <row r="110" spans="1:19" s="56" customFormat="1">
      <c r="A110" s="67" t="s">
        <v>473</v>
      </c>
      <c r="B110" s="68" t="s">
        <v>474</v>
      </c>
      <c r="C110" s="67" t="s">
        <v>137</v>
      </c>
      <c r="D110" s="67" t="s">
        <v>138</v>
      </c>
      <c r="E110" s="67" t="s">
        <v>139</v>
      </c>
      <c r="F110" s="67" t="s">
        <v>153</v>
      </c>
      <c r="G110" s="69" t="s">
        <v>305</v>
      </c>
      <c r="H110" s="67">
        <v>0</v>
      </c>
      <c r="I110" s="67">
        <v>13</v>
      </c>
      <c r="J110" s="67" t="s">
        <v>251</v>
      </c>
      <c r="K110" s="67" t="s">
        <v>249</v>
      </c>
      <c r="L110" s="67" t="s">
        <v>3</v>
      </c>
      <c r="M110" s="67" t="s">
        <v>142</v>
      </c>
      <c r="N110" s="70">
        <v>1000</v>
      </c>
      <c r="O110" s="70">
        <v>1E-3</v>
      </c>
      <c r="P110" s="70"/>
      <c r="Q110" s="98">
        <v>20000</v>
      </c>
      <c r="R110" s="70">
        <v>20</v>
      </c>
      <c r="S110" s="70">
        <v>0</v>
      </c>
    </row>
    <row r="111" spans="1:19" s="56" customFormat="1">
      <c r="A111" s="67" t="s">
        <v>473</v>
      </c>
      <c r="B111" s="68" t="s">
        <v>474</v>
      </c>
      <c r="C111" s="67" t="s">
        <v>137</v>
      </c>
      <c r="D111" s="67" t="s">
        <v>138</v>
      </c>
      <c r="E111" s="67" t="s">
        <v>139</v>
      </c>
      <c r="F111" s="67" t="s">
        <v>153</v>
      </c>
      <c r="G111" s="69" t="s">
        <v>305</v>
      </c>
      <c r="H111" s="67">
        <v>0</v>
      </c>
      <c r="I111" s="67">
        <v>14</v>
      </c>
      <c r="J111" s="67" t="s">
        <v>317</v>
      </c>
      <c r="K111" s="67" t="s">
        <v>17</v>
      </c>
      <c r="L111" s="67" t="s">
        <v>3</v>
      </c>
      <c r="M111" s="67" t="s">
        <v>142</v>
      </c>
      <c r="N111" s="70">
        <v>1000</v>
      </c>
      <c r="O111" s="70">
        <v>1E-3</v>
      </c>
      <c r="P111" s="70"/>
      <c r="Q111" s="98">
        <v>18000</v>
      </c>
      <c r="R111" s="70">
        <v>18</v>
      </c>
      <c r="S111" s="70">
        <v>0</v>
      </c>
    </row>
    <row r="112" spans="1:19" s="56" customFormat="1">
      <c r="A112" s="67" t="s">
        <v>473</v>
      </c>
      <c r="B112" s="68" t="s">
        <v>474</v>
      </c>
      <c r="C112" s="67" t="s">
        <v>137</v>
      </c>
      <c r="D112" s="67" t="s">
        <v>138</v>
      </c>
      <c r="E112" s="67" t="s">
        <v>139</v>
      </c>
      <c r="F112" s="67" t="s">
        <v>153</v>
      </c>
      <c r="G112" s="69" t="s">
        <v>305</v>
      </c>
      <c r="H112" s="67">
        <v>0</v>
      </c>
      <c r="I112" s="67">
        <v>15</v>
      </c>
      <c r="J112" s="67" t="s">
        <v>472</v>
      </c>
      <c r="K112" s="67" t="s">
        <v>370</v>
      </c>
      <c r="L112" s="67" t="s">
        <v>3</v>
      </c>
      <c r="M112" s="67" t="s">
        <v>142</v>
      </c>
      <c r="N112" s="70">
        <v>1000</v>
      </c>
      <c r="O112" s="70">
        <v>0</v>
      </c>
      <c r="P112" s="70"/>
      <c r="Q112" s="98">
        <v>30000</v>
      </c>
      <c r="R112" s="70">
        <v>30</v>
      </c>
      <c r="S112" s="70">
        <v>0</v>
      </c>
    </row>
    <row r="113" spans="1:19" s="56" customFormat="1">
      <c r="A113" s="67" t="s">
        <v>473</v>
      </c>
      <c r="B113" s="68" t="s">
        <v>474</v>
      </c>
      <c r="C113" s="67" t="s">
        <v>137</v>
      </c>
      <c r="D113" s="67" t="s">
        <v>138</v>
      </c>
      <c r="E113" s="67" t="s">
        <v>139</v>
      </c>
      <c r="F113" s="67" t="s">
        <v>153</v>
      </c>
      <c r="G113" s="69" t="s">
        <v>305</v>
      </c>
      <c r="H113" s="67">
        <v>0</v>
      </c>
      <c r="I113" s="67">
        <v>16</v>
      </c>
      <c r="J113" s="67" t="s">
        <v>168</v>
      </c>
      <c r="K113" s="67" t="s">
        <v>34</v>
      </c>
      <c r="L113" s="67" t="s">
        <v>3</v>
      </c>
      <c r="M113" s="67" t="s">
        <v>142</v>
      </c>
      <c r="N113" s="70">
        <v>1000</v>
      </c>
      <c r="O113" s="70">
        <v>1E-3</v>
      </c>
      <c r="P113" s="70"/>
      <c r="Q113" s="98">
        <v>1400</v>
      </c>
      <c r="R113" s="70">
        <v>1</v>
      </c>
      <c r="S113" s="70">
        <v>400</v>
      </c>
    </row>
    <row r="114" spans="1:19" s="56" customFormat="1">
      <c r="A114" s="67" t="s">
        <v>473</v>
      </c>
      <c r="B114" s="68" t="s">
        <v>474</v>
      </c>
      <c r="C114" s="67" t="s">
        <v>137</v>
      </c>
      <c r="D114" s="67" t="s">
        <v>138</v>
      </c>
      <c r="E114" s="67" t="s">
        <v>139</v>
      </c>
      <c r="F114" s="67" t="s">
        <v>153</v>
      </c>
      <c r="G114" s="69" t="s">
        <v>305</v>
      </c>
      <c r="H114" s="67">
        <v>0</v>
      </c>
      <c r="I114" s="67">
        <v>17</v>
      </c>
      <c r="J114" s="67" t="s">
        <v>315</v>
      </c>
      <c r="K114" s="67" t="s">
        <v>47</v>
      </c>
      <c r="L114" s="67" t="s">
        <v>3</v>
      </c>
      <c r="M114" s="67" t="s">
        <v>142</v>
      </c>
      <c r="N114" s="70">
        <v>1000</v>
      </c>
      <c r="O114" s="70">
        <v>1E-3</v>
      </c>
      <c r="P114" s="70"/>
      <c r="Q114" s="98">
        <v>6000</v>
      </c>
      <c r="R114" s="70">
        <v>6</v>
      </c>
      <c r="S114" s="70">
        <v>0</v>
      </c>
    </row>
    <row r="115" spans="1:19" s="56" customFormat="1">
      <c r="A115" s="67" t="s">
        <v>473</v>
      </c>
      <c r="B115" s="68" t="s">
        <v>474</v>
      </c>
      <c r="C115" s="67" t="s">
        <v>137</v>
      </c>
      <c r="D115" s="67" t="s">
        <v>138</v>
      </c>
      <c r="E115" s="67" t="s">
        <v>139</v>
      </c>
      <c r="F115" s="67" t="s">
        <v>153</v>
      </c>
      <c r="G115" s="69" t="s">
        <v>305</v>
      </c>
      <c r="H115" s="67">
        <v>0</v>
      </c>
      <c r="I115" s="67">
        <v>18</v>
      </c>
      <c r="J115" s="67" t="s">
        <v>172</v>
      </c>
      <c r="K115" s="67" t="s">
        <v>8</v>
      </c>
      <c r="L115" s="67" t="s">
        <v>3</v>
      </c>
      <c r="M115" s="67" t="s">
        <v>142</v>
      </c>
      <c r="N115" s="70">
        <v>1000</v>
      </c>
      <c r="O115" s="70">
        <v>1E-3</v>
      </c>
      <c r="P115" s="70"/>
      <c r="Q115" s="98">
        <v>1914</v>
      </c>
      <c r="R115" s="70">
        <v>1</v>
      </c>
      <c r="S115" s="70">
        <v>914</v>
      </c>
    </row>
    <row r="116" spans="1:19" s="56" customFormat="1">
      <c r="A116" s="67" t="s">
        <v>473</v>
      </c>
      <c r="B116" s="68" t="s">
        <v>474</v>
      </c>
      <c r="C116" s="67" t="s">
        <v>137</v>
      </c>
      <c r="D116" s="67" t="s">
        <v>138</v>
      </c>
      <c r="E116" s="67" t="s">
        <v>139</v>
      </c>
      <c r="F116" s="67" t="s">
        <v>153</v>
      </c>
      <c r="G116" s="69" t="s">
        <v>305</v>
      </c>
      <c r="H116" s="67">
        <v>0</v>
      </c>
      <c r="I116" s="67">
        <v>19</v>
      </c>
      <c r="J116" s="67" t="s">
        <v>173</v>
      </c>
      <c r="K116" s="67" t="s">
        <v>9</v>
      </c>
      <c r="L116" s="67" t="s">
        <v>3</v>
      </c>
      <c r="M116" s="67" t="s">
        <v>142</v>
      </c>
      <c r="N116" s="70">
        <v>1000</v>
      </c>
      <c r="O116" s="70">
        <v>1E-3</v>
      </c>
      <c r="P116" s="70"/>
      <c r="Q116" s="98">
        <v>1158</v>
      </c>
      <c r="R116" s="70">
        <v>1</v>
      </c>
      <c r="S116" s="70">
        <v>158</v>
      </c>
    </row>
    <row r="117" spans="1:19" s="56" customFormat="1">
      <c r="A117" s="67" t="s">
        <v>473</v>
      </c>
      <c r="B117" s="68" t="s">
        <v>474</v>
      </c>
      <c r="C117" s="67" t="s">
        <v>137</v>
      </c>
      <c r="D117" s="67" t="s">
        <v>138</v>
      </c>
      <c r="E117" s="67" t="s">
        <v>139</v>
      </c>
      <c r="F117" s="67" t="s">
        <v>153</v>
      </c>
      <c r="G117" s="69" t="s">
        <v>305</v>
      </c>
      <c r="H117" s="67">
        <v>0</v>
      </c>
      <c r="I117" s="67">
        <v>20</v>
      </c>
      <c r="J117" s="67" t="s">
        <v>174</v>
      </c>
      <c r="K117" s="67" t="s">
        <v>13</v>
      </c>
      <c r="L117" s="67" t="s">
        <v>3</v>
      </c>
      <c r="M117" s="67" t="s">
        <v>142</v>
      </c>
      <c r="N117" s="70">
        <v>1000</v>
      </c>
      <c r="O117" s="70">
        <v>1E-3</v>
      </c>
      <c r="P117" s="70"/>
      <c r="Q117" s="98">
        <v>2461</v>
      </c>
      <c r="R117" s="70">
        <v>2</v>
      </c>
      <c r="S117" s="70">
        <v>461</v>
      </c>
    </row>
    <row r="118" spans="1:19" s="56" customFormat="1">
      <c r="A118" s="67" t="s">
        <v>473</v>
      </c>
      <c r="B118" s="68" t="s">
        <v>474</v>
      </c>
      <c r="C118" s="67" t="s">
        <v>137</v>
      </c>
      <c r="D118" s="67" t="s">
        <v>138</v>
      </c>
      <c r="E118" s="67" t="s">
        <v>139</v>
      </c>
      <c r="F118" s="67" t="s">
        <v>153</v>
      </c>
      <c r="G118" s="69" t="s">
        <v>305</v>
      </c>
      <c r="H118" s="67">
        <v>0</v>
      </c>
      <c r="I118" s="67">
        <v>21</v>
      </c>
      <c r="J118" s="67" t="s">
        <v>246</v>
      </c>
      <c r="K118" s="67" t="s">
        <v>7</v>
      </c>
      <c r="L118" s="67" t="s">
        <v>3</v>
      </c>
      <c r="M118" s="67" t="s">
        <v>142</v>
      </c>
      <c r="N118" s="70">
        <v>1000</v>
      </c>
      <c r="O118" s="70">
        <v>1E-3</v>
      </c>
      <c r="P118" s="70"/>
      <c r="Q118" s="98">
        <v>12000</v>
      </c>
      <c r="R118" s="70">
        <v>12</v>
      </c>
      <c r="S118" s="70">
        <v>0</v>
      </c>
    </row>
    <row r="119" spans="1:19" s="56" customFormat="1">
      <c r="A119" s="67" t="s">
        <v>473</v>
      </c>
      <c r="B119" s="68" t="s">
        <v>474</v>
      </c>
      <c r="C119" s="67" t="s">
        <v>137</v>
      </c>
      <c r="D119" s="67" t="s">
        <v>138</v>
      </c>
      <c r="E119" s="67" t="s">
        <v>139</v>
      </c>
      <c r="F119" s="67" t="s">
        <v>153</v>
      </c>
      <c r="G119" s="69" t="s">
        <v>305</v>
      </c>
      <c r="H119" s="67">
        <v>0</v>
      </c>
      <c r="I119" s="67">
        <v>22</v>
      </c>
      <c r="J119" s="67" t="s">
        <v>247</v>
      </c>
      <c r="K119" s="67" t="s">
        <v>79</v>
      </c>
      <c r="L119" s="67" t="s">
        <v>3</v>
      </c>
      <c r="M119" s="67" t="s">
        <v>142</v>
      </c>
      <c r="N119" s="70">
        <v>1000</v>
      </c>
      <c r="O119" s="70">
        <v>1E-3</v>
      </c>
      <c r="P119" s="70"/>
      <c r="Q119" s="98">
        <v>12000</v>
      </c>
      <c r="R119" s="70">
        <v>12</v>
      </c>
      <c r="S119" s="70">
        <v>0</v>
      </c>
    </row>
    <row r="120" spans="1:19" s="56" customFormat="1">
      <c r="A120" s="67" t="s">
        <v>473</v>
      </c>
      <c r="B120" s="68" t="s">
        <v>474</v>
      </c>
      <c r="C120" s="67" t="s">
        <v>137</v>
      </c>
      <c r="D120" s="67" t="s">
        <v>138</v>
      </c>
      <c r="E120" s="67" t="s">
        <v>139</v>
      </c>
      <c r="F120" s="67" t="s">
        <v>162</v>
      </c>
      <c r="G120" s="69" t="s">
        <v>305</v>
      </c>
      <c r="H120" s="67">
        <v>0</v>
      </c>
      <c r="I120" s="67">
        <v>23</v>
      </c>
      <c r="J120" s="67" t="s">
        <v>377</v>
      </c>
      <c r="K120" s="67" t="s">
        <v>372</v>
      </c>
      <c r="L120" s="67" t="s">
        <v>3</v>
      </c>
      <c r="M120" s="67" t="s">
        <v>142</v>
      </c>
      <c r="N120" s="70">
        <v>1000</v>
      </c>
      <c r="O120" s="70">
        <v>1E-3</v>
      </c>
      <c r="P120" s="70"/>
      <c r="Q120" s="98">
        <v>500000</v>
      </c>
      <c r="R120" s="70">
        <v>500</v>
      </c>
      <c r="S120" s="70">
        <v>0</v>
      </c>
    </row>
    <row r="121" spans="1:19" s="56" customFormat="1">
      <c r="A121" s="67" t="s">
        <v>473</v>
      </c>
      <c r="B121" s="68" t="s">
        <v>474</v>
      </c>
      <c r="C121" s="67" t="s">
        <v>137</v>
      </c>
      <c r="D121" s="67" t="s">
        <v>138</v>
      </c>
      <c r="E121" s="67" t="s">
        <v>139</v>
      </c>
      <c r="F121" s="67" t="s">
        <v>162</v>
      </c>
      <c r="G121" s="69" t="s">
        <v>305</v>
      </c>
      <c r="H121" s="67">
        <v>0</v>
      </c>
      <c r="I121" s="67">
        <v>24</v>
      </c>
      <c r="J121" s="67" t="s">
        <v>262</v>
      </c>
      <c r="K121" s="67" t="s">
        <v>258</v>
      </c>
      <c r="L121" s="67" t="s">
        <v>3</v>
      </c>
      <c r="M121" s="67" t="s">
        <v>142</v>
      </c>
      <c r="N121" s="70">
        <v>1000</v>
      </c>
      <c r="O121" s="70">
        <v>1E-3</v>
      </c>
      <c r="P121" s="70"/>
      <c r="Q121" s="98">
        <v>15000</v>
      </c>
      <c r="R121" s="70">
        <v>15</v>
      </c>
      <c r="S121" s="70">
        <v>0</v>
      </c>
    </row>
    <row r="122" spans="1:19" s="56" customFormat="1">
      <c r="A122" s="67" t="s">
        <v>473</v>
      </c>
      <c r="B122" s="68" t="s">
        <v>474</v>
      </c>
      <c r="C122" s="67" t="s">
        <v>137</v>
      </c>
      <c r="D122" s="67" t="s">
        <v>138</v>
      </c>
      <c r="E122" s="67" t="s">
        <v>139</v>
      </c>
      <c r="F122" s="67" t="s">
        <v>162</v>
      </c>
      <c r="G122" s="69" t="s">
        <v>305</v>
      </c>
      <c r="H122" s="67">
        <v>0</v>
      </c>
      <c r="I122" s="67">
        <v>25</v>
      </c>
      <c r="J122" s="67" t="s">
        <v>263</v>
      </c>
      <c r="K122" s="67" t="s">
        <v>259</v>
      </c>
      <c r="L122" s="67" t="s">
        <v>3</v>
      </c>
      <c r="M122" s="67" t="s">
        <v>142</v>
      </c>
      <c r="N122" s="70">
        <v>1000</v>
      </c>
      <c r="O122" s="70">
        <v>1E-3</v>
      </c>
      <c r="P122" s="70"/>
      <c r="Q122" s="98">
        <v>15000</v>
      </c>
      <c r="R122" s="70">
        <v>15</v>
      </c>
      <c r="S122" s="70">
        <v>0</v>
      </c>
    </row>
    <row r="123" spans="1:19" s="56" customFormat="1">
      <c r="A123" s="67" t="s">
        <v>473</v>
      </c>
      <c r="B123" s="68" t="s">
        <v>474</v>
      </c>
      <c r="C123" s="67" t="s">
        <v>137</v>
      </c>
      <c r="D123" s="67" t="s">
        <v>138</v>
      </c>
      <c r="E123" s="67" t="s">
        <v>139</v>
      </c>
      <c r="F123" s="67" t="s">
        <v>162</v>
      </c>
      <c r="G123" s="69" t="s">
        <v>305</v>
      </c>
      <c r="H123" s="67">
        <v>0</v>
      </c>
      <c r="I123" s="67">
        <v>26</v>
      </c>
      <c r="J123" s="67" t="s">
        <v>240</v>
      </c>
      <c r="K123" s="67" t="s">
        <v>237</v>
      </c>
      <c r="L123" s="67" t="s">
        <v>3</v>
      </c>
      <c r="M123" s="67" t="s">
        <v>142</v>
      </c>
      <c r="N123" s="70">
        <v>1000</v>
      </c>
      <c r="O123" s="70">
        <v>1E-3</v>
      </c>
      <c r="P123" s="70"/>
      <c r="Q123" s="98">
        <v>45000</v>
      </c>
      <c r="R123" s="70">
        <v>45</v>
      </c>
      <c r="S123" s="70">
        <v>0</v>
      </c>
    </row>
    <row r="124" spans="1:19" s="56" customFormat="1">
      <c r="A124" s="67" t="s">
        <v>473</v>
      </c>
      <c r="B124" s="68" t="s">
        <v>474</v>
      </c>
      <c r="C124" s="67" t="s">
        <v>137</v>
      </c>
      <c r="D124" s="67" t="s">
        <v>138</v>
      </c>
      <c r="E124" s="67" t="s">
        <v>139</v>
      </c>
      <c r="F124" s="67" t="s">
        <v>162</v>
      </c>
      <c r="G124" s="69" t="s">
        <v>305</v>
      </c>
      <c r="H124" s="67">
        <v>0</v>
      </c>
      <c r="I124" s="67">
        <v>27</v>
      </c>
      <c r="J124" s="67" t="s">
        <v>163</v>
      </c>
      <c r="K124" s="67" t="s">
        <v>14</v>
      </c>
      <c r="L124" s="67" t="s">
        <v>3</v>
      </c>
      <c r="M124" s="67" t="s">
        <v>142</v>
      </c>
      <c r="N124" s="70">
        <v>1000</v>
      </c>
      <c r="O124" s="70">
        <v>1E-3</v>
      </c>
      <c r="P124" s="70"/>
      <c r="Q124" s="98">
        <v>25000</v>
      </c>
      <c r="R124" s="70">
        <v>25</v>
      </c>
      <c r="S124" s="70">
        <v>0</v>
      </c>
    </row>
    <row r="125" spans="1:19" s="56" customFormat="1">
      <c r="A125" s="67" t="s">
        <v>473</v>
      </c>
      <c r="B125" s="68" t="s">
        <v>474</v>
      </c>
      <c r="C125" s="67" t="s">
        <v>137</v>
      </c>
      <c r="D125" s="67" t="s">
        <v>138</v>
      </c>
      <c r="E125" s="67" t="s">
        <v>139</v>
      </c>
      <c r="F125" s="67" t="s">
        <v>162</v>
      </c>
      <c r="G125" s="69" t="s">
        <v>305</v>
      </c>
      <c r="H125" s="67">
        <v>0</v>
      </c>
      <c r="I125" s="67">
        <v>28</v>
      </c>
      <c r="J125" s="67" t="s">
        <v>164</v>
      </c>
      <c r="K125" s="67" t="s">
        <v>74</v>
      </c>
      <c r="L125" s="67" t="s">
        <v>5</v>
      </c>
      <c r="M125" s="67" t="s">
        <v>142</v>
      </c>
      <c r="N125" s="70">
        <v>1000</v>
      </c>
      <c r="O125" s="70">
        <v>1E-3</v>
      </c>
      <c r="P125" s="70"/>
      <c r="Q125" s="98">
        <v>15000</v>
      </c>
      <c r="R125" s="70">
        <v>15</v>
      </c>
      <c r="S125" s="70">
        <v>0</v>
      </c>
    </row>
    <row r="126" spans="1:19" s="56" customFormat="1">
      <c r="A126" s="67" t="s">
        <v>473</v>
      </c>
      <c r="B126" s="68" t="s">
        <v>474</v>
      </c>
      <c r="C126" s="67" t="s">
        <v>137</v>
      </c>
      <c r="D126" s="67" t="s">
        <v>138</v>
      </c>
      <c r="E126" s="67" t="s">
        <v>139</v>
      </c>
      <c r="F126" s="67" t="s">
        <v>162</v>
      </c>
      <c r="G126" s="69" t="s">
        <v>305</v>
      </c>
      <c r="H126" s="67">
        <v>0</v>
      </c>
      <c r="I126" s="67">
        <v>29</v>
      </c>
      <c r="J126" s="67" t="s">
        <v>165</v>
      </c>
      <c r="K126" s="67" t="s">
        <v>80</v>
      </c>
      <c r="L126" s="67" t="s">
        <v>3</v>
      </c>
      <c r="M126" s="67" t="s">
        <v>142</v>
      </c>
      <c r="N126" s="70">
        <v>1000</v>
      </c>
      <c r="O126" s="70">
        <v>1E-3</v>
      </c>
      <c r="P126" s="70"/>
      <c r="Q126" s="98">
        <v>50</v>
      </c>
      <c r="R126" s="70">
        <v>0</v>
      </c>
      <c r="S126" s="70">
        <v>50</v>
      </c>
    </row>
    <row r="127" spans="1:19" s="56" customFormat="1">
      <c r="A127" s="67" t="s">
        <v>473</v>
      </c>
      <c r="B127" s="68" t="s">
        <v>474</v>
      </c>
      <c r="C127" s="67" t="s">
        <v>137</v>
      </c>
      <c r="D127" s="67" t="s">
        <v>138</v>
      </c>
      <c r="E127" s="67" t="s">
        <v>139</v>
      </c>
      <c r="F127" s="67" t="s">
        <v>153</v>
      </c>
      <c r="G127" s="69" t="s">
        <v>305</v>
      </c>
      <c r="H127" s="67">
        <v>0</v>
      </c>
      <c r="I127" s="67">
        <v>30</v>
      </c>
      <c r="J127" s="67" t="s">
        <v>154</v>
      </c>
      <c r="K127" s="67" t="s">
        <v>23</v>
      </c>
      <c r="L127" s="67" t="s">
        <v>3</v>
      </c>
      <c r="M127" s="67" t="s">
        <v>142</v>
      </c>
      <c r="N127" s="70">
        <v>1000</v>
      </c>
      <c r="O127" s="70">
        <v>32.021000000000001</v>
      </c>
      <c r="P127" s="70"/>
      <c r="Q127" s="98">
        <v>100000</v>
      </c>
      <c r="R127" s="70">
        <v>100</v>
      </c>
      <c r="S127" s="70">
        <v>0</v>
      </c>
    </row>
    <row r="128" spans="1:19" s="56" customFormat="1">
      <c r="A128" s="67" t="s">
        <v>475</v>
      </c>
      <c r="B128" s="68" t="s">
        <v>476</v>
      </c>
      <c r="C128" s="67" t="s">
        <v>137</v>
      </c>
      <c r="D128" s="67" t="s">
        <v>138</v>
      </c>
      <c r="E128" s="67" t="s">
        <v>139</v>
      </c>
      <c r="F128" s="67" t="s">
        <v>140</v>
      </c>
      <c r="G128" s="69" t="s">
        <v>305</v>
      </c>
      <c r="H128" s="67">
        <v>0</v>
      </c>
      <c r="I128" s="67">
        <v>1</v>
      </c>
      <c r="J128" s="67" t="s">
        <v>141</v>
      </c>
      <c r="K128" s="67" t="s">
        <v>37</v>
      </c>
      <c r="L128" s="67" t="s">
        <v>3</v>
      </c>
      <c r="M128" s="67" t="s">
        <v>142</v>
      </c>
      <c r="N128" s="70">
        <v>1000</v>
      </c>
      <c r="O128" s="70">
        <v>200</v>
      </c>
      <c r="P128" s="70"/>
      <c r="Q128" s="98">
        <v>9593</v>
      </c>
      <c r="R128" s="70">
        <v>9</v>
      </c>
      <c r="S128" s="70">
        <v>593</v>
      </c>
    </row>
    <row r="129" spans="1:19" s="56" customFormat="1">
      <c r="A129" s="67" t="s">
        <v>475</v>
      </c>
      <c r="B129" s="68" t="s">
        <v>476</v>
      </c>
      <c r="C129" s="67" t="s">
        <v>137</v>
      </c>
      <c r="D129" s="67" t="s">
        <v>138</v>
      </c>
      <c r="E129" s="67" t="s">
        <v>139</v>
      </c>
      <c r="F129" s="67" t="s">
        <v>140</v>
      </c>
      <c r="G129" s="69" t="s">
        <v>305</v>
      </c>
      <c r="H129" s="67">
        <v>0</v>
      </c>
      <c r="I129" s="67">
        <v>2</v>
      </c>
      <c r="J129" s="67" t="s">
        <v>346</v>
      </c>
      <c r="K129" s="67" t="s">
        <v>343</v>
      </c>
      <c r="L129" s="67" t="s">
        <v>3</v>
      </c>
      <c r="M129" s="67" t="s">
        <v>142</v>
      </c>
      <c r="N129" s="70">
        <v>1000</v>
      </c>
      <c r="O129" s="70">
        <v>1E-3</v>
      </c>
      <c r="P129" s="70"/>
      <c r="Q129" s="98">
        <v>11810</v>
      </c>
      <c r="R129" s="70">
        <v>11</v>
      </c>
      <c r="S129" s="70">
        <v>810</v>
      </c>
    </row>
    <row r="130" spans="1:19" s="56" customFormat="1">
      <c r="A130" s="67" t="s">
        <v>475</v>
      </c>
      <c r="B130" s="68" t="s">
        <v>476</v>
      </c>
      <c r="C130" s="67" t="s">
        <v>137</v>
      </c>
      <c r="D130" s="67" t="s">
        <v>138</v>
      </c>
      <c r="E130" s="67" t="s">
        <v>139</v>
      </c>
      <c r="F130" s="67" t="s">
        <v>140</v>
      </c>
      <c r="G130" s="69" t="s">
        <v>305</v>
      </c>
      <c r="H130" s="67">
        <v>0</v>
      </c>
      <c r="I130" s="67">
        <v>3</v>
      </c>
      <c r="J130" s="67" t="s">
        <v>143</v>
      </c>
      <c r="K130" s="67" t="s">
        <v>90</v>
      </c>
      <c r="L130" s="67" t="s">
        <v>3</v>
      </c>
      <c r="M130" s="67" t="s">
        <v>142</v>
      </c>
      <c r="N130" s="70">
        <v>1000</v>
      </c>
      <c r="O130" s="70">
        <v>359.59699999999998</v>
      </c>
      <c r="P130" s="70"/>
      <c r="Q130" s="98">
        <v>1048</v>
      </c>
      <c r="R130" s="70">
        <v>1</v>
      </c>
      <c r="S130" s="70">
        <v>48</v>
      </c>
    </row>
    <row r="131" spans="1:19" s="56" customFormat="1">
      <c r="A131" s="67" t="s">
        <v>475</v>
      </c>
      <c r="B131" s="68" t="s">
        <v>476</v>
      </c>
      <c r="C131" s="67" t="s">
        <v>137</v>
      </c>
      <c r="D131" s="67" t="s">
        <v>138</v>
      </c>
      <c r="E131" s="67" t="s">
        <v>139</v>
      </c>
      <c r="F131" s="67" t="s">
        <v>140</v>
      </c>
      <c r="G131" s="69" t="s">
        <v>305</v>
      </c>
      <c r="H131" s="67">
        <v>0</v>
      </c>
      <c r="I131" s="67">
        <v>4</v>
      </c>
      <c r="J131" s="67" t="s">
        <v>169</v>
      </c>
      <c r="K131" s="67" t="s">
        <v>64</v>
      </c>
      <c r="L131" s="67" t="s">
        <v>3</v>
      </c>
      <c r="M131" s="67" t="s">
        <v>142</v>
      </c>
      <c r="N131" s="70">
        <v>1000</v>
      </c>
      <c r="O131" s="70">
        <v>1E-3</v>
      </c>
      <c r="P131" s="70"/>
      <c r="Q131" s="98">
        <v>70</v>
      </c>
      <c r="R131" s="70">
        <v>0</v>
      </c>
      <c r="S131" s="70">
        <v>70</v>
      </c>
    </row>
    <row r="132" spans="1:19" s="56" customFormat="1">
      <c r="A132" s="67" t="s">
        <v>475</v>
      </c>
      <c r="B132" s="68" t="s">
        <v>476</v>
      </c>
      <c r="C132" s="67" t="s">
        <v>137</v>
      </c>
      <c r="D132" s="67" t="s">
        <v>138</v>
      </c>
      <c r="E132" s="67" t="s">
        <v>139</v>
      </c>
      <c r="F132" s="67" t="s">
        <v>140</v>
      </c>
      <c r="G132" s="69" t="s">
        <v>305</v>
      </c>
      <c r="H132" s="67">
        <v>0</v>
      </c>
      <c r="I132" s="67">
        <v>5</v>
      </c>
      <c r="J132" s="67" t="s">
        <v>250</v>
      </c>
      <c r="K132" s="67" t="s">
        <v>38</v>
      </c>
      <c r="L132" s="67" t="s">
        <v>3</v>
      </c>
      <c r="M132" s="67" t="s">
        <v>142</v>
      </c>
      <c r="N132" s="70">
        <v>1000</v>
      </c>
      <c r="O132" s="70">
        <v>1E-3</v>
      </c>
      <c r="P132" s="70"/>
      <c r="Q132" s="98">
        <v>1346</v>
      </c>
      <c r="R132" s="70">
        <v>1</v>
      </c>
      <c r="S132" s="70">
        <v>346</v>
      </c>
    </row>
    <row r="133" spans="1:19" s="56" customFormat="1">
      <c r="A133" s="67" t="s">
        <v>475</v>
      </c>
      <c r="B133" s="68" t="s">
        <v>476</v>
      </c>
      <c r="C133" s="67" t="s">
        <v>137</v>
      </c>
      <c r="D133" s="67" t="s">
        <v>138</v>
      </c>
      <c r="E133" s="67" t="s">
        <v>139</v>
      </c>
      <c r="F133" s="67" t="s">
        <v>140</v>
      </c>
      <c r="G133" s="69" t="s">
        <v>305</v>
      </c>
      <c r="H133" s="67">
        <v>0</v>
      </c>
      <c r="I133" s="67">
        <v>6</v>
      </c>
      <c r="J133" s="67" t="s">
        <v>144</v>
      </c>
      <c r="K133" s="67" t="s">
        <v>26</v>
      </c>
      <c r="L133" s="67" t="s">
        <v>3</v>
      </c>
      <c r="M133" s="67" t="s">
        <v>142</v>
      </c>
      <c r="N133" s="70">
        <v>1000</v>
      </c>
      <c r="O133" s="70">
        <v>1E-3</v>
      </c>
      <c r="P133" s="70"/>
      <c r="Q133" s="98">
        <v>10374</v>
      </c>
      <c r="R133" s="70">
        <v>10</v>
      </c>
      <c r="S133" s="70">
        <v>374</v>
      </c>
    </row>
    <row r="134" spans="1:19" s="56" customFormat="1">
      <c r="A134" s="67" t="s">
        <v>475</v>
      </c>
      <c r="B134" s="68" t="s">
        <v>476</v>
      </c>
      <c r="C134" s="67" t="s">
        <v>137</v>
      </c>
      <c r="D134" s="67" t="s">
        <v>138</v>
      </c>
      <c r="E134" s="67" t="s">
        <v>139</v>
      </c>
      <c r="F134" s="67" t="s">
        <v>140</v>
      </c>
      <c r="G134" s="69" t="s">
        <v>305</v>
      </c>
      <c r="H134" s="67">
        <v>0</v>
      </c>
      <c r="I134" s="67">
        <v>7</v>
      </c>
      <c r="J134" s="67" t="s">
        <v>145</v>
      </c>
      <c r="K134" s="67" t="s">
        <v>27</v>
      </c>
      <c r="L134" s="67" t="s">
        <v>3</v>
      </c>
      <c r="M134" s="67" t="s">
        <v>142</v>
      </c>
      <c r="N134" s="70">
        <v>1000</v>
      </c>
      <c r="O134" s="70">
        <v>1E-3</v>
      </c>
      <c r="P134" s="70"/>
      <c r="Q134" s="98">
        <v>6054</v>
      </c>
      <c r="R134" s="70">
        <v>6</v>
      </c>
      <c r="S134" s="70">
        <v>54</v>
      </c>
    </row>
    <row r="135" spans="1:19" s="56" customFormat="1">
      <c r="A135" s="67" t="s">
        <v>475</v>
      </c>
      <c r="B135" s="68" t="s">
        <v>476</v>
      </c>
      <c r="C135" s="67" t="s">
        <v>137</v>
      </c>
      <c r="D135" s="67" t="s">
        <v>138</v>
      </c>
      <c r="E135" s="67" t="s">
        <v>139</v>
      </c>
      <c r="F135" s="67" t="s">
        <v>140</v>
      </c>
      <c r="G135" s="69" t="s">
        <v>305</v>
      </c>
      <c r="H135" s="67">
        <v>0</v>
      </c>
      <c r="I135" s="67">
        <v>8</v>
      </c>
      <c r="J135" s="67" t="s">
        <v>376</v>
      </c>
      <c r="K135" s="67" t="s">
        <v>11</v>
      </c>
      <c r="L135" s="67" t="s">
        <v>3</v>
      </c>
      <c r="M135" s="67" t="s">
        <v>142</v>
      </c>
      <c r="N135" s="70">
        <v>1000</v>
      </c>
      <c r="O135" s="70">
        <v>1E-3</v>
      </c>
      <c r="P135" s="70"/>
      <c r="Q135" s="98">
        <v>5</v>
      </c>
      <c r="R135" s="70">
        <v>0</v>
      </c>
      <c r="S135" s="70">
        <v>5</v>
      </c>
    </row>
    <row r="136" spans="1:19" s="56" customFormat="1">
      <c r="A136" s="67" t="s">
        <v>475</v>
      </c>
      <c r="B136" s="68" t="s">
        <v>476</v>
      </c>
      <c r="C136" s="67" t="s">
        <v>137</v>
      </c>
      <c r="D136" s="67" t="s">
        <v>138</v>
      </c>
      <c r="E136" s="67" t="s">
        <v>139</v>
      </c>
      <c r="F136" s="67" t="s">
        <v>140</v>
      </c>
      <c r="G136" s="69" t="s">
        <v>305</v>
      </c>
      <c r="H136" s="67">
        <v>0</v>
      </c>
      <c r="I136" s="67">
        <v>9</v>
      </c>
      <c r="J136" s="67" t="s">
        <v>171</v>
      </c>
      <c r="K136" s="67" t="s">
        <v>102</v>
      </c>
      <c r="L136" s="67" t="s">
        <v>3</v>
      </c>
      <c r="M136" s="67" t="s">
        <v>142</v>
      </c>
      <c r="N136" s="70">
        <v>1000</v>
      </c>
      <c r="O136" s="70">
        <v>1E-3</v>
      </c>
      <c r="P136" s="70"/>
      <c r="Q136" s="98">
        <v>31</v>
      </c>
      <c r="R136" s="70">
        <v>0</v>
      </c>
      <c r="S136" s="70">
        <v>31</v>
      </c>
    </row>
    <row r="137" spans="1:19" s="56" customFormat="1">
      <c r="A137" s="67" t="s">
        <v>475</v>
      </c>
      <c r="B137" s="68" t="s">
        <v>476</v>
      </c>
      <c r="C137" s="67" t="s">
        <v>137</v>
      </c>
      <c r="D137" s="67" t="s">
        <v>138</v>
      </c>
      <c r="E137" s="67" t="s">
        <v>139</v>
      </c>
      <c r="F137" s="67" t="s">
        <v>140</v>
      </c>
      <c r="G137" s="69" t="s">
        <v>305</v>
      </c>
      <c r="H137" s="67">
        <v>0</v>
      </c>
      <c r="I137" s="67">
        <v>10</v>
      </c>
      <c r="J137" s="67" t="s">
        <v>146</v>
      </c>
      <c r="K137" s="67" t="s">
        <v>46</v>
      </c>
      <c r="L137" s="67" t="s">
        <v>3</v>
      </c>
      <c r="M137" s="67" t="s">
        <v>142</v>
      </c>
      <c r="N137" s="70">
        <v>1000</v>
      </c>
      <c r="O137" s="70">
        <v>1E-3</v>
      </c>
      <c r="P137" s="70"/>
      <c r="Q137" s="98">
        <v>1667</v>
      </c>
      <c r="R137" s="70">
        <v>1</v>
      </c>
      <c r="S137" s="70">
        <v>667</v>
      </c>
    </row>
    <row r="138" spans="1:19" s="56" customFormat="1">
      <c r="A138" s="67" t="s">
        <v>475</v>
      </c>
      <c r="B138" s="68" t="s">
        <v>476</v>
      </c>
      <c r="C138" s="67" t="s">
        <v>137</v>
      </c>
      <c r="D138" s="67" t="s">
        <v>138</v>
      </c>
      <c r="E138" s="67" t="s">
        <v>139</v>
      </c>
      <c r="F138" s="67" t="s">
        <v>140</v>
      </c>
      <c r="G138" s="69" t="s">
        <v>305</v>
      </c>
      <c r="H138" s="67">
        <v>0</v>
      </c>
      <c r="I138" s="67">
        <v>11</v>
      </c>
      <c r="J138" s="67" t="s">
        <v>147</v>
      </c>
      <c r="K138" s="67" t="s">
        <v>41</v>
      </c>
      <c r="L138" s="67" t="s">
        <v>3</v>
      </c>
      <c r="M138" s="67" t="s">
        <v>142</v>
      </c>
      <c r="N138" s="70">
        <v>1000</v>
      </c>
      <c r="O138" s="70">
        <v>1E-3</v>
      </c>
      <c r="P138" s="70"/>
      <c r="Q138" s="98">
        <v>10913</v>
      </c>
      <c r="R138" s="70">
        <v>10</v>
      </c>
      <c r="S138" s="70">
        <v>913</v>
      </c>
    </row>
    <row r="139" spans="1:19" s="56" customFormat="1">
      <c r="A139" s="67" t="s">
        <v>475</v>
      </c>
      <c r="B139" s="68" t="s">
        <v>476</v>
      </c>
      <c r="C139" s="67" t="s">
        <v>137</v>
      </c>
      <c r="D139" s="67" t="s">
        <v>138</v>
      </c>
      <c r="E139" s="67" t="s">
        <v>139</v>
      </c>
      <c r="F139" s="67" t="s">
        <v>140</v>
      </c>
      <c r="G139" s="69" t="s">
        <v>305</v>
      </c>
      <c r="H139" s="67">
        <v>0</v>
      </c>
      <c r="I139" s="67">
        <v>12</v>
      </c>
      <c r="J139" s="67" t="s">
        <v>151</v>
      </c>
      <c r="K139" s="67" t="s">
        <v>28</v>
      </c>
      <c r="L139" s="67" t="s">
        <v>3</v>
      </c>
      <c r="M139" s="67" t="s">
        <v>142</v>
      </c>
      <c r="N139" s="70">
        <v>1000</v>
      </c>
      <c r="O139" s="70">
        <v>1E-3</v>
      </c>
      <c r="P139" s="70"/>
      <c r="Q139" s="98">
        <v>104</v>
      </c>
      <c r="R139" s="70">
        <v>0</v>
      </c>
      <c r="S139" s="70">
        <v>104</v>
      </c>
    </row>
    <row r="140" spans="1:19" s="56" customFormat="1">
      <c r="A140" s="67" t="s">
        <v>475</v>
      </c>
      <c r="B140" s="68" t="s">
        <v>476</v>
      </c>
      <c r="C140" s="67" t="s">
        <v>137</v>
      </c>
      <c r="D140" s="67" t="s">
        <v>138</v>
      </c>
      <c r="E140" s="67" t="s">
        <v>139</v>
      </c>
      <c r="F140" s="67" t="s">
        <v>140</v>
      </c>
      <c r="G140" s="69" t="s">
        <v>305</v>
      </c>
      <c r="H140" s="67">
        <v>0</v>
      </c>
      <c r="I140" s="67">
        <v>13</v>
      </c>
      <c r="J140" s="67" t="s">
        <v>148</v>
      </c>
      <c r="K140" s="67" t="s">
        <v>30</v>
      </c>
      <c r="L140" s="67" t="s">
        <v>3</v>
      </c>
      <c r="M140" s="67" t="s">
        <v>142</v>
      </c>
      <c r="N140" s="70">
        <v>1000</v>
      </c>
      <c r="O140" s="70">
        <v>1E-3</v>
      </c>
      <c r="P140" s="70"/>
      <c r="Q140" s="98">
        <v>11035</v>
      </c>
      <c r="R140" s="70">
        <v>11</v>
      </c>
      <c r="S140" s="70">
        <v>35</v>
      </c>
    </row>
    <row r="141" spans="1:19" s="56" customFormat="1">
      <c r="A141" s="67" t="s">
        <v>475</v>
      </c>
      <c r="B141" s="68" t="s">
        <v>476</v>
      </c>
      <c r="C141" s="67" t="s">
        <v>137</v>
      </c>
      <c r="D141" s="67" t="s">
        <v>138</v>
      </c>
      <c r="E141" s="67" t="s">
        <v>139</v>
      </c>
      <c r="F141" s="67" t="s">
        <v>140</v>
      </c>
      <c r="G141" s="69" t="s">
        <v>305</v>
      </c>
      <c r="H141" s="67">
        <v>0</v>
      </c>
      <c r="I141" s="67">
        <v>14</v>
      </c>
      <c r="J141" s="67" t="s">
        <v>314</v>
      </c>
      <c r="K141" s="67" t="s">
        <v>281</v>
      </c>
      <c r="L141" s="67" t="s">
        <v>3</v>
      </c>
      <c r="M141" s="67" t="s">
        <v>142</v>
      </c>
      <c r="N141" s="70">
        <v>1000</v>
      </c>
      <c r="O141" s="70">
        <v>1E-3</v>
      </c>
      <c r="P141" s="70"/>
      <c r="Q141" s="98">
        <v>240000</v>
      </c>
      <c r="R141" s="70">
        <v>240</v>
      </c>
      <c r="S141" s="70">
        <v>0</v>
      </c>
    </row>
    <row r="142" spans="1:19" s="56" customFormat="1">
      <c r="A142" s="67" t="s">
        <v>475</v>
      </c>
      <c r="B142" s="68" t="s">
        <v>476</v>
      </c>
      <c r="C142" s="67" t="s">
        <v>137</v>
      </c>
      <c r="D142" s="67" t="s">
        <v>138</v>
      </c>
      <c r="E142" s="67" t="s">
        <v>139</v>
      </c>
      <c r="F142" s="67" t="s">
        <v>140</v>
      </c>
      <c r="G142" s="69" t="s">
        <v>305</v>
      </c>
      <c r="H142" s="67">
        <v>0</v>
      </c>
      <c r="I142" s="67">
        <v>15</v>
      </c>
      <c r="J142" s="67" t="s">
        <v>152</v>
      </c>
      <c r="K142" s="67" t="s">
        <v>57</v>
      </c>
      <c r="L142" s="67" t="s">
        <v>3</v>
      </c>
      <c r="M142" s="67" t="s">
        <v>142</v>
      </c>
      <c r="N142" s="70">
        <v>1000</v>
      </c>
      <c r="O142" s="70">
        <v>16</v>
      </c>
      <c r="P142" s="70"/>
      <c r="Q142" s="98">
        <v>200000</v>
      </c>
      <c r="R142" s="70">
        <v>200</v>
      </c>
      <c r="S142" s="70">
        <v>0</v>
      </c>
    </row>
    <row r="143" spans="1:19" s="56" customFormat="1">
      <c r="A143" s="67" t="s">
        <v>475</v>
      </c>
      <c r="B143" s="68" t="s">
        <v>476</v>
      </c>
      <c r="C143" s="67" t="s">
        <v>137</v>
      </c>
      <c r="D143" s="67" t="s">
        <v>138</v>
      </c>
      <c r="E143" s="67" t="s">
        <v>139</v>
      </c>
      <c r="F143" s="67" t="s">
        <v>140</v>
      </c>
      <c r="G143" s="69" t="s">
        <v>305</v>
      </c>
      <c r="H143" s="67">
        <v>0</v>
      </c>
      <c r="I143" s="67">
        <v>16</v>
      </c>
      <c r="J143" s="67" t="s">
        <v>149</v>
      </c>
      <c r="K143" s="67" t="s">
        <v>24</v>
      </c>
      <c r="L143" s="67" t="s">
        <v>3</v>
      </c>
      <c r="M143" s="67" t="s">
        <v>142</v>
      </c>
      <c r="N143" s="70">
        <v>1000</v>
      </c>
      <c r="O143" s="70">
        <v>19</v>
      </c>
      <c r="P143" s="70"/>
      <c r="Q143" s="98">
        <v>16000</v>
      </c>
      <c r="R143" s="70">
        <v>16</v>
      </c>
      <c r="S143" s="70">
        <v>0</v>
      </c>
    </row>
    <row r="144" spans="1:19" s="56" customFormat="1">
      <c r="A144" s="67" t="s">
        <v>475</v>
      </c>
      <c r="B144" s="68" t="s">
        <v>476</v>
      </c>
      <c r="C144" s="67" t="s">
        <v>137</v>
      </c>
      <c r="D144" s="67" t="s">
        <v>138</v>
      </c>
      <c r="E144" s="67" t="s">
        <v>139</v>
      </c>
      <c r="F144" s="67" t="s">
        <v>140</v>
      </c>
      <c r="G144" s="69" t="s">
        <v>305</v>
      </c>
      <c r="H144" s="67">
        <v>0</v>
      </c>
      <c r="I144" s="67">
        <v>17</v>
      </c>
      <c r="J144" s="67" t="s">
        <v>150</v>
      </c>
      <c r="K144" s="67" t="s">
        <v>32</v>
      </c>
      <c r="L144" s="67" t="s">
        <v>3</v>
      </c>
      <c r="M144" s="67" t="s">
        <v>142</v>
      </c>
      <c r="N144" s="70">
        <v>1000</v>
      </c>
      <c r="O144" s="70">
        <v>20.5</v>
      </c>
      <c r="P144" s="70"/>
      <c r="Q144" s="98">
        <v>4000</v>
      </c>
      <c r="R144" s="70">
        <v>4</v>
      </c>
      <c r="S144" s="70">
        <v>0</v>
      </c>
    </row>
    <row r="145" spans="1:19" s="56" customFormat="1">
      <c r="A145" s="67" t="s">
        <v>475</v>
      </c>
      <c r="B145" s="68" t="s">
        <v>476</v>
      </c>
      <c r="C145" s="67" t="s">
        <v>137</v>
      </c>
      <c r="D145" s="67" t="s">
        <v>138</v>
      </c>
      <c r="E145" s="67" t="s">
        <v>139</v>
      </c>
      <c r="F145" s="67" t="s">
        <v>156</v>
      </c>
      <c r="G145" s="69" t="s">
        <v>305</v>
      </c>
      <c r="H145" s="67">
        <v>0</v>
      </c>
      <c r="I145" s="67">
        <v>18</v>
      </c>
      <c r="J145" s="67" t="s">
        <v>157</v>
      </c>
      <c r="K145" s="67" t="s">
        <v>48</v>
      </c>
      <c r="L145" s="67" t="s">
        <v>93</v>
      </c>
      <c r="M145" s="67" t="s">
        <v>158</v>
      </c>
      <c r="N145" s="70">
        <v>1000</v>
      </c>
      <c r="O145" s="70">
        <v>1E-3</v>
      </c>
      <c r="P145" s="70"/>
      <c r="Q145" s="98">
        <v>2000</v>
      </c>
      <c r="R145" s="70">
        <v>2</v>
      </c>
      <c r="S145" s="70">
        <v>0</v>
      </c>
    </row>
    <row r="146" spans="1:19" s="56" customFormat="1">
      <c r="A146" s="67" t="s">
        <v>475</v>
      </c>
      <c r="B146" s="68" t="s">
        <v>476</v>
      </c>
      <c r="C146" s="67" t="s">
        <v>137</v>
      </c>
      <c r="D146" s="67" t="s">
        <v>138</v>
      </c>
      <c r="E146" s="67" t="s">
        <v>139</v>
      </c>
      <c r="F146" s="67" t="s">
        <v>156</v>
      </c>
      <c r="G146" s="69" t="s">
        <v>305</v>
      </c>
      <c r="H146" s="67">
        <v>0</v>
      </c>
      <c r="I146" s="67">
        <v>19</v>
      </c>
      <c r="J146" s="67" t="s">
        <v>373</v>
      </c>
      <c r="K146" s="67" t="s">
        <v>35</v>
      </c>
      <c r="L146" s="67" t="s">
        <v>3</v>
      </c>
      <c r="M146" s="67" t="s">
        <v>142</v>
      </c>
      <c r="N146" s="70">
        <v>1000</v>
      </c>
      <c r="O146" s="70">
        <v>1E-3</v>
      </c>
      <c r="P146" s="70"/>
      <c r="Q146" s="98">
        <v>3000</v>
      </c>
      <c r="R146" s="70">
        <v>3</v>
      </c>
      <c r="S146" s="70">
        <v>0</v>
      </c>
    </row>
    <row r="147" spans="1:19" s="56" customFormat="1">
      <c r="A147" s="67" t="s">
        <v>475</v>
      </c>
      <c r="B147" s="68" t="s">
        <v>476</v>
      </c>
      <c r="C147" s="67" t="s">
        <v>137</v>
      </c>
      <c r="D147" s="67" t="s">
        <v>138</v>
      </c>
      <c r="E147" s="67" t="s">
        <v>139</v>
      </c>
      <c r="F147" s="67" t="s">
        <v>156</v>
      </c>
      <c r="G147" s="69" t="s">
        <v>305</v>
      </c>
      <c r="H147" s="67">
        <v>0</v>
      </c>
      <c r="I147" s="67">
        <v>20</v>
      </c>
      <c r="J147" s="67" t="s">
        <v>374</v>
      </c>
      <c r="K147" s="67" t="s">
        <v>44</v>
      </c>
      <c r="L147" s="67" t="s">
        <v>3</v>
      </c>
      <c r="M147" s="67" t="s">
        <v>142</v>
      </c>
      <c r="N147" s="70">
        <v>1000</v>
      </c>
      <c r="O147" s="70">
        <v>1E-3</v>
      </c>
      <c r="P147" s="70"/>
      <c r="Q147" s="98">
        <v>2000</v>
      </c>
      <c r="R147" s="70">
        <v>2</v>
      </c>
      <c r="S147" s="70">
        <v>0</v>
      </c>
    </row>
    <row r="148" spans="1:19" s="56" customFormat="1">
      <c r="A148" s="67" t="s">
        <v>475</v>
      </c>
      <c r="B148" s="68" t="s">
        <v>476</v>
      </c>
      <c r="C148" s="67" t="s">
        <v>137</v>
      </c>
      <c r="D148" s="67" t="s">
        <v>138</v>
      </c>
      <c r="E148" s="67" t="s">
        <v>139</v>
      </c>
      <c r="F148" s="67" t="s">
        <v>162</v>
      </c>
      <c r="G148" s="69" t="s">
        <v>305</v>
      </c>
      <c r="H148" s="67">
        <v>0</v>
      </c>
      <c r="I148" s="67">
        <v>21</v>
      </c>
      <c r="J148" s="67" t="s">
        <v>377</v>
      </c>
      <c r="K148" s="67" t="s">
        <v>372</v>
      </c>
      <c r="L148" s="67" t="s">
        <v>3</v>
      </c>
      <c r="M148" s="67" t="s">
        <v>142</v>
      </c>
      <c r="N148" s="70">
        <v>1000</v>
      </c>
      <c r="O148" s="70">
        <v>1E-3</v>
      </c>
      <c r="P148" s="70"/>
      <c r="Q148" s="98">
        <v>50000</v>
      </c>
      <c r="R148" s="70">
        <v>50</v>
      </c>
      <c r="S148" s="70">
        <v>0</v>
      </c>
    </row>
    <row r="149" spans="1:19" s="56" customFormat="1">
      <c r="A149" s="67" t="s">
        <v>475</v>
      </c>
      <c r="B149" s="68" t="s">
        <v>476</v>
      </c>
      <c r="C149" s="67" t="s">
        <v>137</v>
      </c>
      <c r="D149" s="67" t="s">
        <v>138</v>
      </c>
      <c r="E149" s="67" t="s">
        <v>139</v>
      </c>
      <c r="F149" s="67" t="s">
        <v>162</v>
      </c>
      <c r="G149" s="69" t="s">
        <v>305</v>
      </c>
      <c r="H149" s="67">
        <v>0</v>
      </c>
      <c r="I149" s="67">
        <v>22</v>
      </c>
      <c r="J149" s="67" t="s">
        <v>262</v>
      </c>
      <c r="K149" s="67" t="s">
        <v>258</v>
      </c>
      <c r="L149" s="67" t="s">
        <v>3</v>
      </c>
      <c r="M149" s="67" t="s">
        <v>142</v>
      </c>
      <c r="N149" s="70">
        <v>1000</v>
      </c>
      <c r="O149" s="70">
        <v>1E-3</v>
      </c>
      <c r="P149" s="70"/>
      <c r="Q149" s="98">
        <v>6000</v>
      </c>
      <c r="R149" s="70">
        <v>6</v>
      </c>
      <c r="S149" s="70">
        <v>0</v>
      </c>
    </row>
    <row r="150" spans="1:19" s="56" customFormat="1">
      <c r="A150" s="67" t="s">
        <v>475</v>
      </c>
      <c r="B150" s="68" t="s">
        <v>476</v>
      </c>
      <c r="C150" s="67" t="s">
        <v>137</v>
      </c>
      <c r="D150" s="67" t="s">
        <v>138</v>
      </c>
      <c r="E150" s="67" t="s">
        <v>139</v>
      </c>
      <c r="F150" s="67" t="s">
        <v>162</v>
      </c>
      <c r="G150" s="69" t="s">
        <v>305</v>
      </c>
      <c r="H150" s="67">
        <v>0</v>
      </c>
      <c r="I150" s="67">
        <v>23</v>
      </c>
      <c r="J150" s="67" t="s">
        <v>263</v>
      </c>
      <c r="K150" s="67" t="s">
        <v>259</v>
      </c>
      <c r="L150" s="67" t="s">
        <v>3</v>
      </c>
      <c r="M150" s="67" t="s">
        <v>142</v>
      </c>
      <c r="N150" s="70">
        <v>1000</v>
      </c>
      <c r="O150" s="70">
        <v>1E-3</v>
      </c>
      <c r="P150" s="70"/>
      <c r="Q150" s="98">
        <v>10000</v>
      </c>
      <c r="R150" s="70">
        <v>10</v>
      </c>
      <c r="S150" s="70">
        <v>0</v>
      </c>
    </row>
    <row r="151" spans="1:19" s="56" customFormat="1">
      <c r="A151" s="67" t="s">
        <v>475</v>
      </c>
      <c r="B151" s="68" t="s">
        <v>476</v>
      </c>
      <c r="C151" s="67" t="s">
        <v>137</v>
      </c>
      <c r="D151" s="67" t="s">
        <v>138</v>
      </c>
      <c r="E151" s="67" t="s">
        <v>139</v>
      </c>
      <c r="F151" s="67" t="s">
        <v>162</v>
      </c>
      <c r="G151" s="69" t="s">
        <v>305</v>
      </c>
      <c r="H151" s="67">
        <v>0</v>
      </c>
      <c r="I151" s="67">
        <v>24</v>
      </c>
      <c r="J151" s="67" t="s">
        <v>164</v>
      </c>
      <c r="K151" s="67" t="s">
        <v>74</v>
      </c>
      <c r="L151" s="67" t="s">
        <v>5</v>
      </c>
      <c r="M151" s="67" t="s">
        <v>142</v>
      </c>
      <c r="N151" s="70">
        <v>1000</v>
      </c>
      <c r="O151" s="70">
        <v>1E-3</v>
      </c>
      <c r="P151" s="70"/>
      <c r="Q151" s="98">
        <v>15000</v>
      </c>
      <c r="R151" s="70">
        <v>15</v>
      </c>
      <c r="S151" s="70">
        <v>0</v>
      </c>
    </row>
    <row r="152" spans="1:19" s="56" customFormat="1">
      <c r="A152" s="67" t="s">
        <v>475</v>
      </c>
      <c r="B152" s="68" t="s">
        <v>476</v>
      </c>
      <c r="C152" s="67" t="s">
        <v>137</v>
      </c>
      <c r="D152" s="67" t="s">
        <v>138</v>
      </c>
      <c r="E152" s="67" t="s">
        <v>139</v>
      </c>
      <c r="F152" s="67" t="s">
        <v>162</v>
      </c>
      <c r="G152" s="69" t="s">
        <v>305</v>
      </c>
      <c r="H152" s="67">
        <v>0</v>
      </c>
      <c r="I152" s="67">
        <v>25</v>
      </c>
      <c r="J152" s="67" t="s">
        <v>165</v>
      </c>
      <c r="K152" s="67" t="s">
        <v>80</v>
      </c>
      <c r="L152" s="67" t="s">
        <v>3</v>
      </c>
      <c r="M152" s="67" t="s">
        <v>142</v>
      </c>
      <c r="N152" s="70">
        <v>1000</v>
      </c>
      <c r="O152" s="70">
        <v>1E-3</v>
      </c>
      <c r="P152" s="70"/>
      <c r="Q152" s="98">
        <v>50</v>
      </c>
      <c r="R152" s="70">
        <v>0</v>
      </c>
      <c r="S152" s="70">
        <v>50</v>
      </c>
    </row>
    <row r="153" spans="1:19" s="56" customFormat="1">
      <c r="A153" s="67" t="s">
        <v>477</v>
      </c>
      <c r="B153" s="68" t="s">
        <v>478</v>
      </c>
      <c r="C153" s="67" t="s">
        <v>137</v>
      </c>
      <c r="D153" s="67" t="s">
        <v>138</v>
      </c>
      <c r="E153" s="67" t="s">
        <v>139</v>
      </c>
      <c r="F153" s="67" t="s">
        <v>140</v>
      </c>
      <c r="G153" s="69" t="s">
        <v>305</v>
      </c>
      <c r="H153" s="67">
        <v>0</v>
      </c>
      <c r="I153" s="67">
        <v>1</v>
      </c>
      <c r="J153" s="67" t="s">
        <v>141</v>
      </c>
      <c r="K153" s="67" t="s">
        <v>37</v>
      </c>
      <c r="L153" s="67" t="s">
        <v>3</v>
      </c>
      <c r="M153" s="67" t="s">
        <v>142</v>
      </c>
      <c r="N153" s="70">
        <v>1000</v>
      </c>
      <c r="O153" s="70">
        <v>200</v>
      </c>
      <c r="P153" s="70"/>
      <c r="Q153" s="98">
        <v>14258</v>
      </c>
      <c r="R153" s="70">
        <v>14</v>
      </c>
      <c r="S153" s="70">
        <v>258</v>
      </c>
    </row>
    <row r="154" spans="1:19" s="56" customFormat="1">
      <c r="A154" s="67" t="s">
        <v>477</v>
      </c>
      <c r="B154" s="68" t="s">
        <v>478</v>
      </c>
      <c r="C154" s="67" t="s">
        <v>137</v>
      </c>
      <c r="D154" s="67" t="s">
        <v>138</v>
      </c>
      <c r="E154" s="67" t="s">
        <v>139</v>
      </c>
      <c r="F154" s="67" t="s">
        <v>140</v>
      </c>
      <c r="G154" s="69" t="s">
        <v>305</v>
      </c>
      <c r="H154" s="67">
        <v>0</v>
      </c>
      <c r="I154" s="67">
        <v>2</v>
      </c>
      <c r="J154" s="67" t="s">
        <v>346</v>
      </c>
      <c r="K154" s="67" t="s">
        <v>343</v>
      </c>
      <c r="L154" s="67" t="s">
        <v>3</v>
      </c>
      <c r="M154" s="67" t="s">
        <v>142</v>
      </c>
      <c r="N154" s="70">
        <v>1000</v>
      </c>
      <c r="O154" s="70">
        <v>1E-3</v>
      </c>
      <c r="P154" s="70"/>
      <c r="Q154" s="98">
        <v>4566</v>
      </c>
      <c r="R154" s="70">
        <v>4</v>
      </c>
      <c r="S154" s="70">
        <v>566</v>
      </c>
    </row>
    <row r="155" spans="1:19" s="56" customFormat="1">
      <c r="A155" s="67" t="s">
        <v>477</v>
      </c>
      <c r="B155" s="68" t="s">
        <v>478</v>
      </c>
      <c r="C155" s="67" t="s">
        <v>137</v>
      </c>
      <c r="D155" s="67" t="s">
        <v>138</v>
      </c>
      <c r="E155" s="67" t="s">
        <v>139</v>
      </c>
      <c r="F155" s="67" t="s">
        <v>140</v>
      </c>
      <c r="G155" s="69" t="s">
        <v>305</v>
      </c>
      <c r="H155" s="67">
        <v>0</v>
      </c>
      <c r="I155" s="67">
        <v>3</v>
      </c>
      <c r="J155" s="67" t="s">
        <v>169</v>
      </c>
      <c r="K155" s="67" t="s">
        <v>64</v>
      </c>
      <c r="L155" s="67" t="s">
        <v>3</v>
      </c>
      <c r="M155" s="67" t="s">
        <v>142</v>
      </c>
      <c r="N155" s="70">
        <v>1000</v>
      </c>
      <c r="O155" s="70">
        <v>1E-3</v>
      </c>
      <c r="P155" s="70"/>
      <c r="Q155" s="98">
        <v>44</v>
      </c>
      <c r="R155" s="70">
        <v>0</v>
      </c>
      <c r="S155" s="70">
        <v>44</v>
      </c>
    </row>
    <row r="156" spans="1:19" s="56" customFormat="1">
      <c r="A156" s="67" t="s">
        <v>477</v>
      </c>
      <c r="B156" s="68" t="s">
        <v>478</v>
      </c>
      <c r="C156" s="67" t="s">
        <v>137</v>
      </c>
      <c r="D156" s="67" t="s">
        <v>138</v>
      </c>
      <c r="E156" s="67" t="s">
        <v>139</v>
      </c>
      <c r="F156" s="67" t="s">
        <v>140</v>
      </c>
      <c r="G156" s="69" t="s">
        <v>305</v>
      </c>
      <c r="H156" s="67">
        <v>0</v>
      </c>
      <c r="I156" s="67">
        <v>4</v>
      </c>
      <c r="J156" s="67" t="s">
        <v>143</v>
      </c>
      <c r="K156" s="67" t="s">
        <v>90</v>
      </c>
      <c r="L156" s="67" t="s">
        <v>3</v>
      </c>
      <c r="M156" s="67" t="s">
        <v>142</v>
      </c>
      <c r="N156" s="70">
        <v>1000</v>
      </c>
      <c r="O156" s="70">
        <v>359.59699999999998</v>
      </c>
      <c r="P156" s="70"/>
      <c r="Q156" s="98">
        <v>2794</v>
      </c>
      <c r="R156" s="70">
        <v>2</v>
      </c>
      <c r="S156" s="70">
        <v>794</v>
      </c>
    </row>
    <row r="157" spans="1:19" s="56" customFormat="1">
      <c r="A157" s="67" t="s">
        <v>477</v>
      </c>
      <c r="B157" s="68" t="s">
        <v>478</v>
      </c>
      <c r="C157" s="67" t="s">
        <v>137</v>
      </c>
      <c r="D157" s="67" t="s">
        <v>138</v>
      </c>
      <c r="E157" s="67" t="s">
        <v>139</v>
      </c>
      <c r="F157" s="67" t="s">
        <v>140</v>
      </c>
      <c r="G157" s="69" t="s">
        <v>305</v>
      </c>
      <c r="H157" s="67">
        <v>0</v>
      </c>
      <c r="I157" s="67">
        <v>5</v>
      </c>
      <c r="J157" s="67" t="s">
        <v>250</v>
      </c>
      <c r="K157" s="67" t="s">
        <v>38</v>
      </c>
      <c r="L157" s="67" t="s">
        <v>3</v>
      </c>
      <c r="M157" s="67" t="s">
        <v>142</v>
      </c>
      <c r="N157" s="70">
        <v>1000</v>
      </c>
      <c r="O157" s="70">
        <v>1E-3</v>
      </c>
      <c r="P157" s="70"/>
      <c r="Q157" s="98">
        <v>2155</v>
      </c>
      <c r="R157" s="70">
        <v>2</v>
      </c>
      <c r="S157" s="70">
        <v>155</v>
      </c>
    </row>
    <row r="158" spans="1:19" s="56" customFormat="1">
      <c r="A158" s="67" t="s">
        <v>477</v>
      </c>
      <c r="B158" s="68" t="s">
        <v>478</v>
      </c>
      <c r="C158" s="67" t="s">
        <v>137</v>
      </c>
      <c r="D158" s="67" t="s">
        <v>138</v>
      </c>
      <c r="E158" s="67" t="s">
        <v>139</v>
      </c>
      <c r="F158" s="67" t="s">
        <v>140</v>
      </c>
      <c r="G158" s="69" t="s">
        <v>305</v>
      </c>
      <c r="H158" s="67">
        <v>0</v>
      </c>
      <c r="I158" s="67">
        <v>6</v>
      </c>
      <c r="J158" s="67" t="s">
        <v>144</v>
      </c>
      <c r="K158" s="67" t="s">
        <v>26</v>
      </c>
      <c r="L158" s="67" t="s">
        <v>3</v>
      </c>
      <c r="M158" s="67" t="s">
        <v>142</v>
      </c>
      <c r="N158" s="70">
        <v>1000</v>
      </c>
      <c r="O158" s="70">
        <v>1E-3</v>
      </c>
      <c r="P158" s="70"/>
      <c r="Q158" s="98">
        <v>9145</v>
      </c>
      <c r="R158" s="70">
        <v>9</v>
      </c>
      <c r="S158" s="70">
        <v>145</v>
      </c>
    </row>
    <row r="159" spans="1:19" s="56" customFormat="1">
      <c r="A159" s="67" t="s">
        <v>477</v>
      </c>
      <c r="B159" s="68" t="s">
        <v>478</v>
      </c>
      <c r="C159" s="67" t="s">
        <v>137</v>
      </c>
      <c r="D159" s="67" t="s">
        <v>138</v>
      </c>
      <c r="E159" s="67" t="s">
        <v>139</v>
      </c>
      <c r="F159" s="67" t="s">
        <v>140</v>
      </c>
      <c r="G159" s="69" t="s">
        <v>305</v>
      </c>
      <c r="H159" s="67">
        <v>0</v>
      </c>
      <c r="I159" s="67">
        <v>7</v>
      </c>
      <c r="J159" s="67" t="s">
        <v>145</v>
      </c>
      <c r="K159" s="67" t="s">
        <v>27</v>
      </c>
      <c r="L159" s="67" t="s">
        <v>3</v>
      </c>
      <c r="M159" s="67" t="s">
        <v>142</v>
      </c>
      <c r="N159" s="70">
        <v>1000</v>
      </c>
      <c r="O159" s="70">
        <v>1E-3</v>
      </c>
      <c r="P159" s="70"/>
      <c r="Q159" s="98">
        <v>7674</v>
      </c>
      <c r="R159" s="70">
        <v>7</v>
      </c>
      <c r="S159" s="70">
        <v>674</v>
      </c>
    </row>
    <row r="160" spans="1:19" s="56" customFormat="1">
      <c r="A160" s="67" t="s">
        <v>477</v>
      </c>
      <c r="B160" s="68" t="s">
        <v>478</v>
      </c>
      <c r="C160" s="67" t="s">
        <v>137</v>
      </c>
      <c r="D160" s="67" t="s">
        <v>138</v>
      </c>
      <c r="E160" s="67" t="s">
        <v>139</v>
      </c>
      <c r="F160" s="67" t="s">
        <v>140</v>
      </c>
      <c r="G160" s="69" t="s">
        <v>305</v>
      </c>
      <c r="H160" s="67">
        <v>0</v>
      </c>
      <c r="I160" s="67">
        <v>8</v>
      </c>
      <c r="J160" s="67" t="s">
        <v>171</v>
      </c>
      <c r="K160" s="67" t="s">
        <v>102</v>
      </c>
      <c r="L160" s="67" t="s">
        <v>3</v>
      </c>
      <c r="M160" s="67" t="s">
        <v>142</v>
      </c>
      <c r="N160" s="70">
        <v>1000</v>
      </c>
      <c r="O160" s="70">
        <v>1E-3</v>
      </c>
      <c r="P160" s="70"/>
      <c r="Q160" s="98">
        <v>32</v>
      </c>
      <c r="R160" s="70">
        <v>0</v>
      </c>
      <c r="S160" s="70">
        <v>32</v>
      </c>
    </row>
    <row r="161" spans="1:19" s="56" customFormat="1">
      <c r="A161" s="67" t="s">
        <v>477</v>
      </c>
      <c r="B161" s="68" t="s">
        <v>478</v>
      </c>
      <c r="C161" s="67" t="s">
        <v>137</v>
      </c>
      <c r="D161" s="67" t="s">
        <v>138</v>
      </c>
      <c r="E161" s="67" t="s">
        <v>139</v>
      </c>
      <c r="F161" s="67" t="s">
        <v>140</v>
      </c>
      <c r="G161" s="69" t="s">
        <v>305</v>
      </c>
      <c r="H161" s="67">
        <v>0</v>
      </c>
      <c r="I161" s="67">
        <v>9</v>
      </c>
      <c r="J161" s="67" t="s">
        <v>376</v>
      </c>
      <c r="K161" s="67" t="s">
        <v>11</v>
      </c>
      <c r="L161" s="67" t="s">
        <v>3</v>
      </c>
      <c r="M161" s="67" t="s">
        <v>142</v>
      </c>
      <c r="N161" s="70">
        <v>1000</v>
      </c>
      <c r="O161" s="70">
        <v>1E-3</v>
      </c>
      <c r="P161" s="70"/>
      <c r="Q161" s="98">
        <v>23</v>
      </c>
      <c r="R161" s="70">
        <v>0</v>
      </c>
      <c r="S161" s="70">
        <v>23</v>
      </c>
    </row>
    <row r="162" spans="1:19" s="56" customFormat="1">
      <c r="A162" s="67" t="s">
        <v>477</v>
      </c>
      <c r="B162" s="68" t="s">
        <v>478</v>
      </c>
      <c r="C162" s="67" t="s">
        <v>137</v>
      </c>
      <c r="D162" s="67" t="s">
        <v>138</v>
      </c>
      <c r="E162" s="67" t="s">
        <v>139</v>
      </c>
      <c r="F162" s="67" t="s">
        <v>140</v>
      </c>
      <c r="G162" s="69" t="s">
        <v>305</v>
      </c>
      <c r="H162" s="67">
        <v>0</v>
      </c>
      <c r="I162" s="67">
        <v>10</v>
      </c>
      <c r="J162" s="67" t="s">
        <v>146</v>
      </c>
      <c r="K162" s="67" t="s">
        <v>46</v>
      </c>
      <c r="L162" s="67" t="s">
        <v>3</v>
      </c>
      <c r="M162" s="67" t="s">
        <v>142</v>
      </c>
      <c r="N162" s="70">
        <v>1000</v>
      </c>
      <c r="O162" s="70">
        <v>1E-3</v>
      </c>
      <c r="P162" s="70"/>
      <c r="Q162" s="98">
        <v>997</v>
      </c>
      <c r="R162" s="70">
        <v>0</v>
      </c>
      <c r="S162" s="70">
        <v>997</v>
      </c>
    </row>
    <row r="163" spans="1:19" s="56" customFormat="1">
      <c r="A163" s="67" t="s">
        <v>477</v>
      </c>
      <c r="B163" s="68" t="s">
        <v>478</v>
      </c>
      <c r="C163" s="67" t="s">
        <v>137</v>
      </c>
      <c r="D163" s="67" t="s">
        <v>138</v>
      </c>
      <c r="E163" s="67" t="s">
        <v>139</v>
      </c>
      <c r="F163" s="67" t="s">
        <v>140</v>
      </c>
      <c r="G163" s="69" t="s">
        <v>305</v>
      </c>
      <c r="H163" s="67">
        <v>0</v>
      </c>
      <c r="I163" s="67">
        <v>11</v>
      </c>
      <c r="J163" s="67" t="s">
        <v>147</v>
      </c>
      <c r="K163" s="67" t="s">
        <v>41</v>
      </c>
      <c r="L163" s="67" t="s">
        <v>3</v>
      </c>
      <c r="M163" s="67" t="s">
        <v>142</v>
      </c>
      <c r="N163" s="70">
        <v>1000</v>
      </c>
      <c r="O163" s="70">
        <v>1E-3</v>
      </c>
      <c r="P163" s="70"/>
      <c r="Q163" s="98">
        <v>1869</v>
      </c>
      <c r="R163" s="70">
        <v>1</v>
      </c>
      <c r="S163" s="70">
        <v>869</v>
      </c>
    </row>
    <row r="164" spans="1:19" s="56" customFormat="1">
      <c r="A164" s="67" t="s">
        <v>477</v>
      </c>
      <c r="B164" s="68" t="s">
        <v>478</v>
      </c>
      <c r="C164" s="67" t="s">
        <v>137</v>
      </c>
      <c r="D164" s="67" t="s">
        <v>138</v>
      </c>
      <c r="E164" s="67" t="s">
        <v>139</v>
      </c>
      <c r="F164" s="67" t="s">
        <v>140</v>
      </c>
      <c r="G164" s="69" t="s">
        <v>305</v>
      </c>
      <c r="H164" s="67">
        <v>0</v>
      </c>
      <c r="I164" s="67">
        <v>12</v>
      </c>
      <c r="J164" s="67" t="s">
        <v>151</v>
      </c>
      <c r="K164" s="67" t="s">
        <v>28</v>
      </c>
      <c r="L164" s="67" t="s">
        <v>3</v>
      </c>
      <c r="M164" s="67" t="s">
        <v>142</v>
      </c>
      <c r="N164" s="70">
        <v>1000</v>
      </c>
      <c r="O164" s="70">
        <v>1E-3</v>
      </c>
      <c r="P164" s="70"/>
      <c r="Q164" s="98">
        <v>138</v>
      </c>
      <c r="R164" s="70">
        <v>0</v>
      </c>
      <c r="S164" s="70">
        <v>138</v>
      </c>
    </row>
    <row r="165" spans="1:19" s="56" customFormat="1">
      <c r="A165" s="67" t="s">
        <v>477</v>
      </c>
      <c r="B165" s="68" t="s">
        <v>478</v>
      </c>
      <c r="C165" s="67" t="s">
        <v>137</v>
      </c>
      <c r="D165" s="67" t="s">
        <v>138</v>
      </c>
      <c r="E165" s="67" t="s">
        <v>139</v>
      </c>
      <c r="F165" s="67" t="s">
        <v>140</v>
      </c>
      <c r="G165" s="69" t="s">
        <v>305</v>
      </c>
      <c r="H165" s="67">
        <v>0</v>
      </c>
      <c r="I165" s="67">
        <v>13</v>
      </c>
      <c r="J165" s="67" t="s">
        <v>170</v>
      </c>
      <c r="K165" s="67" t="s">
        <v>29</v>
      </c>
      <c r="L165" s="67" t="s">
        <v>3</v>
      </c>
      <c r="M165" s="67" t="s">
        <v>142</v>
      </c>
      <c r="N165" s="70">
        <v>1000</v>
      </c>
      <c r="O165" s="70">
        <v>1E-3</v>
      </c>
      <c r="P165" s="70"/>
      <c r="Q165" s="98">
        <v>900</v>
      </c>
      <c r="R165" s="70">
        <v>0</v>
      </c>
      <c r="S165" s="70">
        <v>900</v>
      </c>
    </row>
    <row r="166" spans="1:19" s="56" customFormat="1">
      <c r="A166" s="67" t="s">
        <v>477</v>
      </c>
      <c r="B166" s="68" t="s">
        <v>478</v>
      </c>
      <c r="C166" s="67" t="s">
        <v>137</v>
      </c>
      <c r="D166" s="67" t="s">
        <v>138</v>
      </c>
      <c r="E166" s="67" t="s">
        <v>139</v>
      </c>
      <c r="F166" s="67" t="s">
        <v>140</v>
      </c>
      <c r="G166" s="69" t="s">
        <v>305</v>
      </c>
      <c r="H166" s="67">
        <v>0</v>
      </c>
      <c r="I166" s="67">
        <v>14</v>
      </c>
      <c r="J166" s="67" t="s">
        <v>148</v>
      </c>
      <c r="K166" s="67" t="s">
        <v>30</v>
      </c>
      <c r="L166" s="67" t="s">
        <v>3</v>
      </c>
      <c r="M166" s="67" t="s">
        <v>142</v>
      </c>
      <c r="N166" s="70">
        <v>1000</v>
      </c>
      <c r="O166" s="70">
        <v>1E-3</v>
      </c>
      <c r="P166" s="70"/>
      <c r="Q166" s="98">
        <v>25426</v>
      </c>
      <c r="R166" s="70">
        <v>25</v>
      </c>
      <c r="S166" s="70">
        <v>426</v>
      </c>
    </row>
    <row r="167" spans="1:19" s="56" customFormat="1">
      <c r="A167" s="67" t="s">
        <v>477</v>
      </c>
      <c r="B167" s="68" t="s">
        <v>478</v>
      </c>
      <c r="C167" s="67" t="s">
        <v>137</v>
      </c>
      <c r="D167" s="67" t="s">
        <v>138</v>
      </c>
      <c r="E167" s="67" t="s">
        <v>139</v>
      </c>
      <c r="F167" s="67" t="s">
        <v>153</v>
      </c>
      <c r="G167" s="69" t="s">
        <v>305</v>
      </c>
      <c r="H167" s="67">
        <v>0</v>
      </c>
      <c r="I167" s="67">
        <v>15</v>
      </c>
      <c r="J167" s="67" t="s">
        <v>315</v>
      </c>
      <c r="K167" s="67" t="s">
        <v>47</v>
      </c>
      <c r="L167" s="67" t="s">
        <v>3</v>
      </c>
      <c r="M167" s="67" t="s">
        <v>142</v>
      </c>
      <c r="N167" s="70">
        <v>1000</v>
      </c>
      <c r="O167" s="70">
        <v>1E-3</v>
      </c>
      <c r="P167" s="70"/>
      <c r="Q167" s="98">
        <v>4000</v>
      </c>
      <c r="R167" s="70">
        <v>4</v>
      </c>
      <c r="S167" s="70">
        <v>0</v>
      </c>
    </row>
    <row r="168" spans="1:19" s="56" customFormat="1">
      <c r="A168" s="67" t="s">
        <v>477</v>
      </c>
      <c r="B168" s="68" t="s">
        <v>478</v>
      </c>
      <c r="C168" s="67" t="s">
        <v>137</v>
      </c>
      <c r="D168" s="67" t="s">
        <v>138</v>
      </c>
      <c r="E168" s="67" t="s">
        <v>139</v>
      </c>
      <c r="F168" s="67" t="s">
        <v>153</v>
      </c>
      <c r="G168" s="69" t="s">
        <v>305</v>
      </c>
      <c r="H168" s="67">
        <v>0</v>
      </c>
      <c r="I168" s="67">
        <v>16</v>
      </c>
      <c r="J168" s="67" t="s">
        <v>246</v>
      </c>
      <c r="K168" s="67" t="s">
        <v>7</v>
      </c>
      <c r="L168" s="67" t="s">
        <v>3</v>
      </c>
      <c r="M168" s="67" t="s">
        <v>142</v>
      </c>
      <c r="N168" s="70">
        <v>1000</v>
      </c>
      <c r="O168" s="70">
        <v>1E-3</v>
      </c>
      <c r="P168" s="70"/>
      <c r="Q168" s="98">
        <v>8000</v>
      </c>
      <c r="R168" s="70">
        <v>8</v>
      </c>
      <c r="S168" s="70">
        <v>0</v>
      </c>
    </row>
    <row r="169" spans="1:19" s="56" customFormat="1">
      <c r="A169" s="67" t="s">
        <v>477</v>
      </c>
      <c r="B169" s="68" t="s">
        <v>478</v>
      </c>
      <c r="C169" s="67" t="s">
        <v>137</v>
      </c>
      <c r="D169" s="67" t="s">
        <v>138</v>
      </c>
      <c r="E169" s="67" t="s">
        <v>139</v>
      </c>
      <c r="F169" s="67" t="s">
        <v>153</v>
      </c>
      <c r="G169" s="69" t="s">
        <v>305</v>
      </c>
      <c r="H169" s="67">
        <v>0</v>
      </c>
      <c r="I169" s="67">
        <v>17</v>
      </c>
      <c r="J169" s="67" t="s">
        <v>247</v>
      </c>
      <c r="K169" s="67" t="s">
        <v>79</v>
      </c>
      <c r="L169" s="67" t="s">
        <v>3</v>
      </c>
      <c r="M169" s="67" t="s">
        <v>142</v>
      </c>
      <c r="N169" s="70">
        <v>1000</v>
      </c>
      <c r="O169" s="70">
        <v>0</v>
      </c>
      <c r="P169" s="70"/>
      <c r="Q169" s="98">
        <v>8000</v>
      </c>
      <c r="R169" s="70">
        <v>8</v>
      </c>
      <c r="S169" s="70">
        <v>0</v>
      </c>
    </row>
    <row r="170" spans="1:19" s="56" customFormat="1">
      <c r="A170" s="67" t="s">
        <v>477</v>
      </c>
      <c r="B170" s="68" t="s">
        <v>478</v>
      </c>
      <c r="C170" s="67" t="s">
        <v>137</v>
      </c>
      <c r="D170" s="67" t="s">
        <v>138</v>
      </c>
      <c r="E170" s="67" t="s">
        <v>139</v>
      </c>
      <c r="F170" s="67" t="s">
        <v>153</v>
      </c>
      <c r="G170" s="69" t="s">
        <v>305</v>
      </c>
      <c r="H170" s="67">
        <v>0</v>
      </c>
      <c r="I170" s="67">
        <v>18</v>
      </c>
      <c r="J170" s="67" t="s">
        <v>174</v>
      </c>
      <c r="K170" s="67" t="s">
        <v>13</v>
      </c>
      <c r="L170" s="67" t="s">
        <v>3</v>
      </c>
      <c r="M170" s="67" t="s">
        <v>142</v>
      </c>
      <c r="N170" s="70">
        <v>1000</v>
      </c>
      <c r="O170" s="70">
        <v>0</v>
      </c>
      <c r="P170" s="70"/>
      <c r="Q170" s="98">
        <v>401</v>
      </c>
      <c r="R170" s="70">
        <v>0</v>
      </c>
      <c r="S170" s="70">
        <v>401</v>
      </c>
    </row>
    <row r="171" spans="1:19" s="56" customFormat="1">
      <c r="A171" s="67" t="s">
        <v>477</v>
      </c>
      <c r="B171" s="68" t="s">
        <v>478</v>
      </c>
      <c r="C171" s="67" t="s">
        <v>137</v>
      </c>
      <c r="D171" s="67" t="s">
        <v>138</v>
      </c>
      <c r="E171" s="67" t="s">
        <v>139</v>
      </c>
      <c r="F171" s="67" t="s">
        <v>153</v>
      </c>
      <c r="G171" s="69" t="s">
        <v>305</v>
      </c>
      <c r="H171" s="67">
        <v>0</v>
      </c>
      <c r="I171" s="67">
        <v>19</v>
      </c>
      <c r="J171" s="67" t="s">
        <v>173</v>
      </c>
      <c r="K171" s="67" t="s">
        <v>9</v>
      </c>
      <c r="L171" s="67" t="s">
        <v>3</v>
      </c>
      <c r="M171" s="67" t="s">
        <v>142</v>
      </c>
      <c r="N171" s="70">
        <v>1000</v>
      </c>
      <c r="O171" s="70">
        <v>1E-3</v>
      </c>
      <c r="P171" s="70"/>
      <c r="Q171" s="98">
        <v>1128</v>
      </c>
      <c r="R171" s="70">
        <v>1</v>
      </c>
      <c r="S171" s="70">
        <v>128</v>
      </c>
    </row>
    <row r="172" spans="1:19" s="56" customFormat="1">
      <c r="A172" s="67" t="s">
        <v>477</v>
      </c>
      <c r="B172" s="68" t="s">
        <v>478</v>
      </c>
      <c r="C172" s="67" t="s">
        <v>137</v>
      </c>
      <c r="D172" s="67" t="s">
        <v>138</v>
      </c>
      <c r="E172" s="67" t="s">
        <v>139</v>
      </c>
      <c r="F172" s="67" t="s">
        <v>153</v>
      </c>
      <c r="G172" s="69" t="s">
        <v>305</v>
      </c>
      <c r="H172" s="67">
        <v>0</v>
      </c>
      <c r="I172" s="67">
        <v>20</v>
      </c>
      <c r="J172" s="67" t="s">
        <v>172</v>
      </c>
      <c r="K172" s="67" t="s">
        <v>8</v>
      </c>
      <c r="L172" s="67" t="s">
        <v>3</v>
      </c>
      <c r="M172" s="67" t="s">
        <v>142</v>
      </c>
      <c r="N172" s="70">
        <v>1000</v>
      </c>
      <c r="O172" s="70">
        <v>1E-3</v>
      </c>
      <c r="P172" s="70"/>
      <c r="Q172" s="98">
        <v>1867</v>
      </c>
      <c r="R172" s="70">
        <v>1</v>
      </c>
      <c r="S172" s="70">
        <v>867</v>
      </c>
    </row>
    <row r="173" spans="1:19" s="56" customFormat="1">
      <c r="A173" s="67" t="s">
        <v>477</v>
      </c>
      <c r="B173" s="68" t="s">
        <v>478</v>
      </c>
      <c r="C173" s="67" t="s">
        <v>137</v>
      </c>
      <c r="D173" s="67" t="s">
        <v>138</v>
      </c>
      <c r="E173" s="67" t="s">
        <v>139</v>
      </c>
      <c r="F173" s="67" t="s">
        <v>166</v>
      </c>
      <c r="G173" s="69" t="s">
        <v>305</v>
      </c>
      <c r="H173" s="67">
        <v>0</v>
      </c>
      <c r="I173" s="67">
        <v>21</v>
      </c>
      <c r="J173" s="67" t="s">
        <v>318</v>
      </c>
      <c r="K173" s="67" t="s">
        <v>56</v>
      </c>
      <c r="L173" s="67" t="s">
        <v>3</v>
      </c>
      <c r="M173" s="67" t="s">
        <v>142</v>
      </c>
      <c r="N173" s="70">
        <v>1000</v>
      </c>
      <c r="O173" s="70">
        <v>1E-3</v>
      </c>
      <c r="P173" s="70"/>
      <c r="Q173" s="98">
        <v>25000</v>
      </c>
      <c r="R173" s="70">
        <v>25</v>
      </c>
      <c r="S173" s="70">
        <v>0</v>
      </c>
    </row>
    <row r="174" spans="1:19" s="56" customFormat="1">
      <c r="A174" s="67" t="s">
        <v>477</v>
      </c>
      <c r="B174" s="68" t="s">
        <v>478</v>
      </c>
      <c r="C174" s="67" t="s">
        <v>137</v>
      </c>
      <c r="D174" s="67" t="s">
        <v>138</v>
      </c>
      <c r="E174" s="67" t="s">
        <v>139</v>
      </c>
      <c r="F174" s="67" t="s">
        <v>166</v>
      </c>
      <c r="G174" s="69" t="s">
        <v>305</v>
      </c>
      <c r="H174" s="67">
        <v>0</v>
      </c>
      <c r="I174" s="67">
        <v>22</v>
      </c>
      <c r="J174" s="67" t="s">
        <v>306</v>
      </c>
      <c r="K174" s="67" t="s">
        <v>52</v>
      </c>
      <c r="L174" s="67" t="s">
        <v>3</v>
      </c>
      <c r="M174" s="67" t="s">
        <v>142</v>
      </c>
      <c r="N174" s="70">
        <v>1000</v>
      </c>
      <c r="O174" s="70">
        <v>1E-3</v>
      </c>
      <c r="P174" s="70"/>
      <c r="Q174" s="98">
        <v>300000</v>
      </c>
      <c r="R174" s="70">
        <v>300</v>
      </c>
      <c r="S174" s="70">
        <v>0</v>
      </c>
    </row>
    <row r="175" spans="1:19" s="56" customFormat="1">
      <c r="A175" s="67" t="s">
        <v>477</v>
      </c>
      <c r="B175" s="68" t="s">
        <v>478</v>
      </c>
      <c r="C175" s="67" t="s">
        <v>137</v>
      </c>
      <c r="D175" s="67" t="s">
        <v>138</v>
      </c>
      <c r="E175" s="67" t="s">
        <v>139</v>
      </c>
      <c r="F175" s="67" t="s">
        <v>153</v>
      </c>
      <c r="G175" s="69" t="s">
        <v>305</v>
      </c>
      <c r="H175" s="67">
        <v>0</v>
      </c>
      <c r="I175" s="67">
        <v>23</v>
      </c>
      <c r="J175" s="67" t="s">
        <v>154</v>
      </c>
      <c r="K175" s="67" t="s">
        <v>23</v>
      </c>
      <c r="L175" s="67" t="s">
        <v>3</v>
      </c>
      <c r="M175" s="67" t="s">
        <v>142</v>
      </c>
      <c r="N175" s="70">
        <v>1000</v>
      </c>
      <c r="O175" s="70">
        <v>32.021000000000001</v>
      </c>
      <c r="P175" s="70"/>
      <c r="Q175" s="98">
        <v>100000</v>
      </c>
      <c r="R175" s="70">
        <v>100</v>
      </c>
      <c r="S175" s="70">
        <v>0</v>
      </c>
    </row>
    <row r="176" spans="1:19" s="56" customFormat="1">
      <c r="A176" s="67" t="s">
        <v>477</v>
      </c>
      <c r="B176" s="68" t="s">
        <v>478</v>
      </c>
      <c r="C176" s="67" t="s">
        <v>137</v>
      </c>
      <c r="D176" s="67" t="s">
        <v>138</v>
      </c>
      <c r="E176" s="67" t="s">
        <v>139</v>
      </c>
      <c r="F176" s="67" t="s">
        <v>153</v>
      </c>
      <c r="G176" s="69" t="s">
        <v>305</v>
      </c>
      <c r="H176" s="67">
        <v>0</v>
      </c>
      <c r="I176" s="67">
        <v>24</v>
      </c>
      <c r="J176" s="67" t="s">
        <v>155</v>
      </c>
      <c r="K176" s="67" t="s">
        <v>33</v>
      </c>
      <c r="L176" s="67" t="s">
        <v>3</v>
      </c>
      <c r="M176" s="67" t="s">
        <v>142</v>
      </c>
      <c r="N176" s="70">
        <v>1000</v>
      </c>
      <c r="O176" s="70">
        <v>13.6</v>
      </c>
      <c r="P176" s="70"/>
      <c r="Q176" s="98">
        <v>150000</v>
      </c>
      <c r="R176" s="70">
        <v>150</v>
      </c>
      <c r="S176" s="70">
        <v>0</v>
      </c>
    </row>
    <row r="177" spans="1:19" s="56" customFormat="1">
      <c r="A177" s="67" t="s">
        <v>477</v>
      </c>
      <c r="B177" s="68" t="s">
        <v>478</v>
      </c>
      <c r="C177" s="67" t="s">
        <v>137</v>
      </c>
      <c r="D177" s="67" t="s">
        <v>138</v>
      </c>
      <c r="E177" s="67" t="s">
        <v>139</v>
      </c>
      <c r="F177" s="67" t="s">
        <v>153</v>
      </c>
      <c r="G177" s="69" t="s">
        <v>305</v>
      </c>
      <c r="H177" s="67">
        <v>0</v>
      </c>
      <c r="I177" s="67">
        <v>25</v>
      </c>
      <c r="J177" s="67" t="s">
        <v>251</v>
      </c>
      <c r="K177" s="67" t="s">
        <v>249</v>
      </c>
      <c r="L177" s="67" t="s">
        <v>3</v>
      </c>
      <c r="M177" s="67" t="s">
        <v>142</v>
      </c>
      <c r="N177" s="70">
        <v>1000</v>
      </c>
      <c r="O177" s="70">
        <v>1E-3</v>
      </c>
      <c r="P177" s="70"/>
      <c r="Q177" s="98">
        <v>10000</v>
      </c>
      <c r="R177" s="70">
        <v>10</v>
      </c>
      <c r="S177" s="70">
        <v>0</v>
      </c>
    </row>
    <row r="178" spans="1:19" s="56" customFormat="1">
      <c r="A178" s="67" t="s">
        <v>477</v>
      </c>
      <c r="B178" s="68" t="s">
        <v>478</v>
      </c>
      <c r="C178" s="67" t="s">
        <v>137</v>
      </c>
      <c r="D178" s="67" t="s">
        <v>138</v>
      </c>
      <c r="E178" s="67" t="s">
        <v>139</v>
      </c>
      <c r="F178" s="67" t="s">
        <v>153</v>
      </c>
      <c r="G178" s="69" t="s">
        <v>305</v>
      </c>
      <c r="H178" s="67">
        <v>0</v>
      </c>
      <c r="I178" s="67">
        <v>26</v>
      </c>
      <c r="J178" s="67" t="s">
        <v>317</v>
      </c>
      <c r="K178" s="67" t="s">
        <v>17</v>
      </c>
      <c r="L178" s="67" t="s">
        <v>3</v>
      </c>
      <c r="M178" s="67" t="s">
        <v>142</v>
      </c>
      <c r="N178" s="70">
        <v>1000</v>
      </c>
      <c r="O178" s="70">
        <v>1E-3</v>
      </c>
      <c r="P178" s="70"/>
      <c r="Q178" s="98">
        <v>20000</v>
      </c>
      <c r="R178" s="70">
        <v>20</v>
      </c>
      <c r="S178" s="70">
        <v>0</v>
      </c>
    </row>
    <row r="179" spans="1:19" s="56" customFormat="1">
      <c r="A179" s="67" t="s">
        <v>477</v>
      </c>
      <c r="B179" s="68" t="s">
        <v>478</v>
      </c>
      <c r="C179" s="67" t="s">
        <v>137</v>
      </c>
      <c r="D179" s="67" t="s">
        <v>138</v>
      </c>
      <c r="E179" s="67" t="s">
        <v>139</v>
      </c>
      <c r="F179" s="67" t="s">
        <v>153</v>
      </c>
      <c r="G179" s="69" t="s">
        <v>305</v>
      </c>
      <c r="H179" s="67">
        <v>0</v>
      </c>
      <c r="I179" s="67">
        <v>27</v>
      </c>
      <c r="J179" s="67" t="s">
        <v>168</v>
      </c>
      <c r="K179" s="67" t="s">
        <v>34</v>
      </c>
      <c r="L179" s="67" t="s">
        <v>3</v>
      </c>
      <c r="M179" s="67" t="s">
        <v>142</v>
      </c>
      <c r="N179" s="70">
        <v>1000</v>
      </c>
      <c r="O179" s="70">
        <v>1E-3</v>
      </c>
      <c r="P179" s="70"/>
      <c r="Q179" s="98">
        <v>3500</v>
      </c>
      <c r="R179" s="70">
        <v>3</v>
      </c>
      <c r="S179" s="70">
        <v>500</v>
      </c>
    </row>
    <row r="180" spans="1:19" s="56" customFormat="1">
      <c r="A180" s="67" t="s">
        <v>477</v>
      </c>
      <c r="B180" s="68" t="s">
        <v>478</v>
      </c>
      <c r="C180" s="67" t="s">
        <v>137</v>
      </c>
      <c r="D180" s="67" t="s">
        <v>138</v>
      </c>
      <c r="E180" s="67" t="s">
        <v>139</v>
      </c>
      <c r="F180" s="67" t="s">
        <v>162</v>
      </c>
      <c r="G180" s="69" t="s">
        <v>305</v>
      </c>
      <c r="H180" s="67">
        <v>0</v>
      </c>
      <c r="I180" s="67">
        <v>28</v>
      </c>
      <c r="J180" s="67" t="s">
        <v>377</v>
      </c>
      <c r="K180" s="67" t="s">
        <v>372</v>
      </c>
      <c r="L180" s="67" t="s">
        <v>3</v>
      </c>
      <c r="M180" s="67" t="s">
        <v>142</v>
      </c>
      <c r="N180" s="70">
        <v>1000</v>
      </c>
      <c r="O180" s="70">
        <v>1E-3</v>
      </c>
      <c r="P180" s="70"/>
      <c r="Q180" s="98">
        <v>500000</v>
      </c>
      <c r="R180" s="70">
        <v>500</v>
      </c>
      <c r="S180" s="70">
        <v>0</v>
      </c>
    </row>
    <row r="181" spans="1:19" s="56" customFormat="1">
      <c r="A181" s="67" t="s">
        <v>477</v>
      </c>
      <c r="B181" s="68" t="s">
        <v>478</v>
      </c>
      <c r="C181" s="67" t="s">
        <v>137</v>
      </c>
      <c r="D181" s="67" t="s">
        <v>138</v>
      </c>
      <c r="E181" s="67" t="s">
        <v>139</v>
      </c>
      <c r="F181" s="67" t="s">
        <v>162</v>
      </c>
      <c r="G181" s="69" t="s">
        <v>305</v>
      </c>
      <c r="H181" s="67">
        <v>0</v>
      </c>
      <c r="I181" s="67">
        <v>29</v>
      </c>
      <c r="J181" s="67" t="s">
        <v>262</v>
      </c>
      <c r="K181" s="67" t="s">
        <v>258</v>
      </c>
      <c r="L181" s="67" t="s">
        <v>3</v>
      </c>
      <c r="M181" s="67" t="s">
        <v>142</v>
      </c>
      <c r="N181" s="70">
        <v>1000</v>
      </c>
      <c r="O181" s="70">
        <v>1E-3</v>
      </c>
      <c r="P181" s="70"/>
      <c r="Q181" s="98">
        <v>13000</v>
      </c>
      <c r="R181" s="70">
        <v>13</v>
      </c>
      <c r="S181" s="70">
        <v>0</v>
      </c>
    </row>
    <row r="182" spans="1:19" s="56" customFormat="1">
      <c r="A182" s="67" t="s">
        <v>477</v>
      </c>
      <c r="B182" s="68" t="s">
        <v>478</v>
      </c>
      <c r="C182" s="67" t="s">
        <v>137</v>
      </c>
      <c r="D182" s="67" t="s">
        <v>138</v>
      </c>
      <c r="E182" s="67" t="s">
        <v>139</v>
      </c>
      <c r="F182" s="67" t="s">
        <v>162</v>
      </c>
      <c r="G182" s="69" t="s">
        <v>305</v>
      </c>
      <c r="H182" s="67">
        <v>0</v>
      </c>
      <c r="I182" s="67">
        <v>30</v>
      </c>
      <c r="J182" s="67" t="s">
        <v>263</v>
      </c>
      <c r="K182" s="67" t="s">
        <v>259</v>
      </c>
      <c r="L182" s="67" t="s">
        <v>3</v>
      </c>
      <c r="M182" s="67" t="s">
        <v>142</v>
      </c>
      <c r="N182" s="70">
        <v>1000</v>
      </c>
      <c r="O182" s="70">
        <v>1E-3</v>
      </c>
      <c r="P182" s="70"/>
      <c r="Q182" s="98">
        <v>13000</v>
      </c>
      <c r="R182" s="70">
        <v>13</v>
      </c>
      <c r="S182" s="70">
        <v>0</v>
      </c>
    </row>
    <row r="183" spans="1:19" s="56" customFormat="1">
      <c r="A183" s="67" t="s">
        <v>477</v>
      </c>
      <c r="B183" s="68" t="s">
        <v>478</v>
      </c>
      <c r="C183" s="67" t="s">
        <v>137</v>
      </c>
      <c r="D183" s="67" t="s">
        <v>138</v>
      </c>
      <c r="E183" s="67" t="s">
        <v>139</v>
      </c>
      <c r="F183" s="67" t="s">
        <v>162</v>
      </c>
      <c r="G183" s="69" t="s">
        <v>305</v>
      </c>
      <c r="H183" s="67">
        <v>0</v>
      </c>
      <c r="I183" s="67">
        <v>31</v>
      </c>
      <c r="J183" s="67" t="s">
        <v>164</v>
      </c>
      <c r="K183" s="67" t="s">
        <v>74</v>
      </c>
      <c r="L183" s="67" t="s">
        <v>5</v>
      </c>
      <c r="M183" s="67" t="s">
        <v>142</v>
      </c>
      <c r="N183" s="70">
        <v>1000</v>
      </c>
      <c r="O183" s="70">
        <v>1E-3</v>
      </c>
      <c r="P183" s="70"/>
      <c r="Q183" s="98">
        <v>15000</v>
      </c>
      <c r="R183" s="70">
        <v>15</v>
      </c>
      <c r="S183" s="70">
        <v>0</v>
      </c>
    </row>
    <row r="184" spans="1:19" s="56" customFormat="1">
      <c r="A184" s="67" t="s">
        <v>477</v>
      </c>
      <c r="B184" s="68" t="s">
        <v>478</v>
      </c>
      <c r="C184" s="67" t="s">
        <v>137</v>
      </c>
      <c r="D184" s="67" t="s">
        <v>138</v>
      </c>
      <c r="E184" s="67" t="s">
        <v>139</v>
      </c>
      <c r="F184" s="67" t="s">
        <v>162</v>
      </c>
      <c r="G184" s="69" t="s">
        <v>305</v>
      </c>
      <c r="H184" s="67">
        <v>0</v>
      </c>
      <c r="I184" s="67">
        <v>32</v>
      </c>
      <c r="J184" s="67" t="s">
        <v>165</v>
      </c>
      <c r="K184" s="67" t="s">
        <v>80</v>
      </c>
      <c r="L184" s="67" t="s">
        <v>3</v>
      </c>
      <c r="M184" s="67" t="s">
        <v>142</v>
      </c>
      <c r="N184" s="70">
        <v>1000</v>
      </c>
      <c r="O184" s="70">
        <v>1E-3</v>
      </c>
      <c r="P184" s="70"/>
      <c r="Q184" s="98">
        <v>50</v>
      </c>
      <c r="R184" s="70">
        <v>0</v>
      </c>
      <c r="S184" s="70">
        <v>50</v>
      </c>
    </row>
    <row r="185" spans="1:19" s="56" customFormat="1">
      <c r="A185" s="67" t="s">
        <v>477</v>
      </c>
      <c r="B185" s="68" t="s">
        <v>478</v>
      </c>
      <c r="C185" s="67" t="s">
        <v>137</v>
      </c>
      <c r="D185" s="67" t="s">
        <v>138</v>
      </c>
      <c r="E185" s="67" t="s">
        <v>139</v>
      </c>
      <c r="F185" s="67" t="s">
        <v>162</v>
      </c>
      <c r="G185" s="69" t="s">
        <v>305</v>
      </c>
      <c r="H185" s="67">
        <v>0</v>
      </c>
      <c r="I185" s="67">
        <v>33</v>
      </c>
      <c r="J185" s="67" t="s">
        <v>163</v>
      </c>
      <c r="K185" s="67" t="s">
        <v>14</v>
      </c>
      <c r="L185" s="67" t="s">
        <v>3</v>
      </c>
      <c r="M185" s="67" t="s">
        <v>142</v>
      </c>
      <c r="N185" s="70">
        <v>1000</v>
      </c>
      <c r="O185" s="70">
        <v>1E-3</v>
      </c>
      <c r="P185" s="70"/>
      <c r="Q185" s="98">
        <v>30000</v>
      </c>
      <c r="R185" s="70">
        <v>30</v>
      </c>
      <c r="S185" s="70">
        <v>0</v>
      </c>
    </row>
    <row r="186" spans="1:19" s="56" customFormat="1">
      <c r="A186" s="67" t="s">
        <v>477</v>
      </c>
      <c r="B186" s="68" t="s">
        <v>478</v>
      </c>
      <c r="C186" s="67" t="s">
        <v>137</v>
      </c>
      <c r="D186" s="67" t="s">
        <v>138</v>
      </c>
      <c r="E186" s="67" t="s">
        <v>139</v>
      </c>
      <c r="F186" s="67" t="s">
        <v>140</v>
      </c>
      <c r="G186" s="69" t="s">
        <v>305</v>
      </c>
      <c r="H186" s="67">
        <v>0</v>
      </c>
      <c r="I186" s="67">
        <v>34</v>
      </c>
      <c r="J186" s="67" t="s">
        <v>314</v>
      </c>
      <c r="K186" s="67" t="s">
        <v>281</v>
      </c>
      <c r="L186" s="67" t="s">
        <v>3</v>
      </c>
      <c r="M186" s="67" t="s">
        <v>142</v>
      </c>
      <c r="N186" s="70">
        <v>1000</v>
      </c>
      <c r="O186" s="70">
        <v>1E-3</v>
      </c>
      <c r="P186" s="70"/>
      <c r="Q186" s="98">
        <v>180000</v>
      </c>
      <c r="R186" s="70">
        <v>180</v>
      </c>
      <c r="S186" s="70">
        <v>0</v>
      </c>
    </row>
    <row r="187" spans="1:19" s="56" customFormat="1">
      <c r="A187" s="67" t="s">
        <v>479</v>
      </c>
      <c r="B187" s="68" t="s">
        <v>480</v>
      </c>
      <c r="C187" s="67" t="s">
        <v>137</v>
      </c>
      <c r="D187" s="67" t="s">
        <v>138</v>
      </c>
      <c r="E187" s="67" t="s">
        <v>139</v>
      </c>
      <c r="F187" s="67" t="s">
        <v>140</v>
      </c>
      <c r="G187" s="69" t="s">
        <v>305</v>
      </c>
      <c r="H187" s="67">
        <v>0</v>
      </c>
      <c r="I187" s="67">
        <v>1</v>
      </c>
      <c r="J187" s="67" t="s">
        <v>141</v>
      </c>
      <c r="K187" s="67" t="s">
        <v>37</v>
      </c>
      <c r="L187" s="67" t="s">
        <v>3</v>
      </c>
      <c r="M187" s="67" t="s">
        <v>142</v>
      </c>
      <c r="N187" s="70">
        <v>1000</v>
      </c>
      <c r="O187" s="70">
        <v>200</v>
      </c>
      <c r="P187" s="70"/>
      <c r="Q187" s="98">
        <v>20352</v>
      </c>
      <c r="R187" s="70">
        <v>20</v>
      </c>
      <c r="S187" s="70">
        <v>352</v>
      </c>
    </row>
    <row r="188" spans="1:19" s="56" customFormat="1">
      <c r="A188" s="67" t="s">
        <v>479</v>
      </c>
      <c r="B188" s="68" t="s">
        <v>480</v>
      </c>
      <c r="C188" s="67" t="s">
        <v>137</v>
      </c>
      <c r="D188" s="67" t="s">
        <v>138</v>
      </c>
      <c r="E188" s="67" t="s">
        <v>139</v>
      </c>
      <c r="F188" s="67" t="s">
        <v>140</v>
      </c>
      <c r="G188" s="69" t="s">
        <v>305</v>
      </c>
      <c r="H188" s="67">
        <v>0</v>
      </c>
      <c r="I188" s="67">
        <v>2</v>
      </c>
      <c r="J188" s="67" t="s">
        <v>346</v>
      </c>
      <c r="K188" s="67" t="s">
        <v>343</v>
      </c>
      <c r="L188" s="67" t="s">
        <v>3</v>
      </c>
      <c r="M188" s="67" t="s">
        <v>142</v>
      </c>
      <c r="N188" s="70">
        <v>1000</v>
      </c>
      <c r="O188" s="70">
        <v>1E-3</v>
      </c>
      <c r="P188" s="70"/>
      <c r="Q188" s="98">
        <v>5728</v>
      </c>
      <c r="R188" s="70">
        <v>5</v>
      </c>
      <c r="S188" s="70">
        <v>728</v>
      </c>
    </row>
    <row r="189" spans="1:19" s="56" customFormat="1">
      <c r="A189" s="67" t="s">
        <v>479</v>
      </c>
      <c r="B189" s="68" t="s">
        <v>480</v>
      </c>
      <c r="C189" s="67" t="s">
        <v>137</v>
      </c>
      <c r="D189" s="67" t="s">
        <v>138</v>
      </c>
      <c r="E189" s="67" t="s">
        <v>139</v>
      </c>
      <c r="F189" s="67" t="s">
        <v>140</v>
      </c>
      <c r="G189" s="69" t="s">
        <v>305</v>
      </c>
      <c r="H189" s="67">
        <v>0</v>
      </c>
      <c r="I189" s="67">
        <v>3</v>
      </c>
      <c r="J189" s="67" t="s">
        <v>169</v>
      </c>
      <c r="K189" s="67" t="s">
        <v>64</v>
      </c>
      <c r="L189" s="67" t="s">
        <v>3</v>
      </c>
      <c r="M189" s="67" t="s">
        <v>142</v>
      </c>
      <c r="N189" s="70">
        <v>1000</v>
      </c>
      <c r="O189" s="70">
        <v>1E-3</v>
      </c>
      <c r="P189" s="70"/>
      <c r="Q189" s="98">
        <v>180</v>
      </c>
      <c r="R189" s="70">
        <v>0</v>
      </c>
      <c r="S189" s="70">
        <v>180</v>
      </c>
    </row>
    <row r="190" spans="1:19" s="56" customFormat="1">
      <c r="A190" s="67" t="s">
        <v>479</v>
      </c>
      <c r="B190" s="68" t="s">
        <v>480</v>
      </c>
      <c r="C190" s="67" t="s">
        <v>137</v>
      </c>
      <c r="D190" s="67" t="s">
        <v>138</v>
      </c>
      <c r="E190" s="67" t="s">
        <v>139</v>
      </c>
      <c r="F190" s="67" t="s">
        <v>140</v>
      </c>
      <c r="G190" s="69" t="s">
        <v>305</v>
      </c>
      <c r="H190" s="67">
        <v>0</v>
      </c>
      <c r="I190" s="67">
        <v>4</v>
      </c>
      <c r="J190" s="67" t="s">
        <v>144</v>
      </c>
      <c r="K190" s="67" t="s">
        <v>26</v>
      </c>
      <c r="L190" s="67" t="s">
        <v>3</v>
      </c>
      <c r="M190" s="67" t="s">
        <v>142</v>
      </c>
      <c r="N190" s="70">
        <v>1000</v>
      </c>
      <c r="O190" s="70">
        <v>1E-3</v>
      </c>
      <c r="P190" s="70"/>
      <c r="Q190" s="98">
        <v>13546</v>
      </c>
      <c r="R190" s="70">
        <v>13</v>
      </c>
      <c r="S190" s="70">
        <v>546</v>
      </c>
    </row>
    <row r="191" spans="1:19" s="56" customFormat="1">
      <c r="A191" s="67" t="s">
        <v>479</v>
      </c>
      <c r="B191" s="68" t="s">
        <v>480</v>
      </c>
      <c r="C191" s="67" t="s">
        <v>137</v>
      </c>
      <c r="D191" s="67" t="s">
        <v>138</v>
      </c>
      <c r="E191" s="67" t="s">
        <v>139</v>
      </c>
      <c r="F191" s="67" t="s">
        <v>140</v>
      </c>
      <c r="G191" s="69" t="s">
        <v>305</v>
      </c>
      <c r="H191" s="67">
        <v>0</v>
      </c>
      <c r="I191" s="67">
        <v>5</v>
      </c>
      <c r="J191" s="67" t="s">
        <v>145</v>
      </c>
      <c r="K191" s="67" t="s">
        <v>27</v>
      </c>
      <c r="L191" s="67" t="s">
        <v>3</v>
      </c>
      <c r="M191" s="67" t="s">
        <v>142</v>
      </c>
      <c r="N191" s="70">
        <v>1000</v>
      </c>
      <c r="O191" s="70">
        <v>1E-3</v>
      </c>
      <c r="P191" s="70"/>
      <c r="Q191" s="98">
        <v>5117</v>
      </c>
      <c r="R191" s="70">
        <v>5</v>
      </c>
      <c r="S191" s="70">
        <v>117</v>
      </c>
    </row>
    <row r="192" spans="1:19" s="56" customFormat="1">
      <c r="A192" s="67" t="s">
        <v>479</v>
      </c>
      <c r="B192" s="68" t="s">
        <v>480</v>
      </c>
      <c r="C192" s="67" t="s">
        <v>137</v>
      </c>
      <c r="D192" s="67" t="s">
        <v>138</v>
      </c>
      <c r="E192" s="67" t="s">
        <v>139</v>
      </c>
      <c r="F192" s="67" t="s">
        <v>140</v>
      </c>
      <c r="G192" s="69" t="s">
        <v>305</v>
      </c>
      <c r="H192" s="67">
        <v>0</v>
      </c>
      <c r="I192" s="67">
        <v>6</v>
      </c>
      <c r="J192" s="67" t="s">
        <v>289</v>
      </c>
      <c r="K192" s="67" t="s">
        <v>255</v>
      </c>
      <c r="L192" s="67" t="s">
        <v>3</v>
      </c>
      <c r="M192" s="67" t="s">
        <v>142</v>
      </c>
      <c r="N192" s="70">
        <v>1000</v>
      </c>
      <c r="O192" s="70">
        <v>1E-3</v>
      </c>
      <c r="P192" s="70"/>
      <c r="Q192" s="98">
        <v>8</v>
      </c>
      <c r="R192" s="70">
        <v>0</v>
      </c>
      <c r="S192" s="70">
        <v>8</v>
      </c>
    </row>
    <row r="193" spans="1:19" s="56" customFormat="1">
      <c r="A193" s="67" t="s">
        <v>479</v>
      </c>
      <c r="B193" s="68" t="s">
        <v>480</v>
      </c>
      <c r="C193" s="67" t="s">
        <v>137</v>
      </c>
      <c r="D193" s="67" t="s">
        <v>138</v>
      </c>
      <c r="E193" s="67" t="s">
        <v>139</v>
      </c>
      <c r="F193" s="67" t="s">
        <v>140</v>
      </c>
      <c r="G193" s="69" t="s">
        <v>305</v>
      </c>
      <c r="H193" s="67">
        <v>0</v>
      </c>
      <c r="I193" s="67">
        <v>7</v>
      </c>
      <c r="J193" s="67" t="s">
        <v>171</v>
      </c>
      <c r="K193" s="67" t="s">
        <v>102</v>
      </c>
      <c r="L193" s="67" t="s">
        <v>3</v>
      </c>
      <c r="M193" s="67" t="s">
        <v>142</v>
      </c>
      <c r="N193" s="70">
        <v>1000</v>
      </c>
      <c r="O193" s="70">
        <v>1E-3</v>
      </c>
      <c r="P193" s="70"/>
      <c r="Q193" s="98">
        <v>7</v>
      </c>
      <c r="R193" s="70">
        <v>0</v>
      </c>
      <c r="S193" s="70">
        <v>7</v>
      </c>
    </row>
    <row r="194" spans="1:19" s="56" customFormat="1">
      <c r="A194" s="67" t="s">
        <v>479</v>
      </c>
      <c r="B194" s="68" t="s">
        <v>480</v>
      </c>
      <c r="C194" s="67" t="s">
        <v>137</v>
      </c>
      <c r="D194" s="67" t="s">
        <v>138</v>
      </c>
      <c r="E194" s="67" t="s">
        <v>139</v>
      </c>
      <c r="F194" s="67" t="s">
        <v>140</v>
      </c>
      <c r="G194" s="69" t="s">
        <v>305</v>
      </c>
      <c r="H194" s="67">
        <v>0</v>
      </c>
      <c r="I194" s="67">
        <v>8</v>
      </c>
      <c r="J194" s="67" t="s">
        <v>146</v>
      </c>
      <c r="K194" s="67" t="s">
        <v>46</v>
      </c>
      <c r="L194" s="67" t="s">
        <v>3</v>
      </c>
      <c r="M194" s="67" t="s">
        <v>142</v>
      </c>
      <c r="N194" s="70">
        <v>1000</v>
      </c>
      <c r="O194" s="70">
        <v>1E-3</v>
      </c>
      <c r="P194" s="70"/>
      <c r="Q194" s="98">
        <v>1770</v>
      </c>
      <c r="R194" s="70">
        <v>1</v>
      </c>
      <c r="S194" s="70">
        <v>770</v>
      </c>
    </row>
    <row r="195" spans="1:19" s="56" customFormat="1">
      <c r="A195" s="67" t="s">
        <v>479</v>
      </c>
      <c r="B195" s="68" t="s">
        <v>480</v>
      </c>
      <c r="C195" s="67" t="s">
        <v>137</v>
      </c>
      <c r="D195" s="67" t="s">
        <v>138</v>
      </c>
      <c r="E195" s="67" t="s">
        <v>139</v>
      </c>
      <c r="F195" s="67" t="s">
        <v>140</v>
      </c>
      <c r="G195" s="69" t="s">
        <v>305</v>
      </c>
      <c r="H195" s="67">
        <v>0</v>
      </c>
      <c r="I195" s="67">
        <v>9</v>
      </c>
      <c r="J195" s="67" t="s">
        <v>147</v>
      </c>
      <c r="K195" s="67" t="s">
        <v>41</v>
      </c>
      <c r="L195" s="67" t="s">
        <v>3</v>
      </c>
      <c r="M195" s="67" t="s">
        <v>142</v>
      </c>
      <c r="N195" s="70">
        <v>1000</v>
      </c>
      <c r="O195" s="70">
        <v>1E-3</v>
      </c>
      <c r="P195" s="70"/>
      <c r="Q195" s="98">
        <v>7886</v>
      </c>
      <c r="R195" s="70">
        <v>7</v>
      </c>
      <c r="S195" s="70">
        <v>886</v>
      </c>
    </row>
    <row r="196" spans="1:19" s="56" customFormat="1">
      <c r="A196" s="67" t="s">
        <v>479</v>
      </c>
      <c r="B196" s="68" t="s">
        <v>480</v>
      </c>
      <c r="C196" s="67" t="s">
        <v>137</v>
      </c>
      <c r="D196" s="67" t="s">
        <v>138</v>
      </c>
      <c r="E196" s="67" t="s">
        <v>139</v>
      </c>
      <c r="F196" s="67" t="s">
        <v>140</v>
      </c>
      <c r="G196" s="69" t="s">
        <v>305</v>
      </c>
      <c r="H196" s="67">
        <v>0</v>
      </c>
      <c r="I196" s="67">
        <v>10</v>
      </c>
      <c r="J196" s="67" t="s">
        <v>151</v>
      </c>
      <c r="K196" s="67" t="s">
        <v>28</v>
      </c>
      <c r="L196" s="67" t="s">
        <v>3</v>
      </c>
      <c r="M196" s="67" t="s">
        <v>142</v>
      </c>
      <c r="N196" s="70">
        <v>1000</v>
      </c>
      <c r="O196" s="70">
        <v>1E-3</v>
      </c>
      <c r="P196" s="70"/>
      <c r="Q196" s="98">
        <v>184</v>
      </c>
      <c r="R196" s="70">
        <v>0</v>
      </c>
      <c r="S196" s="70">
        <v>184</v>
      </c>
    </row>
    <row r="197" spans="1:19" s="56" customFormat="1">
      <c r="A197" s="67" t="s">
        <v>479</v>
      </c>
      <c r="B197" s="68" t="s">
        <v>480</v>
      </c>
      <c r="C197" s="67" t="s">
        <v>137</v>
      </c>
      <c r="D197" s="67" t="s">
        <v>138</v>
      </c>
      <c r="E197" s="67" t="s">
        <v>139</v>
      </c>
      <c r="F197" s="67" t="s">
        <v>140</v>
      </c>
      <c r="G197" s="69" t="s">
        <v>305</v>
      </c>
      <c r="H197" s="67">
        <v>0</v>
      </c>
      <c r="I197" s="67">
        <v>11</v>
      </c>
      <c r="J197" s="67" t="s">
        <v>170</v>
      </c>
      <c r="K197" s="67" t="s">
        <v>29</v>
      </c>
      <c r="L197" s="67" t="s">
        <v>3</v>
      </c>
      <c r="M197" s="67" t="s">
        <v>142</v>
      </c>
      <c r="N197" s="70">
        <v>1000</v>
      </c>
      <c r="O197" s="70">
        <v>1E-3</v>
      </c>
      <c r="P197" s="70"/>
      <c r="Q197" s="98">
        <v>751</v>
      </c>
      <c r="R197" s="70">
        <v>0</v>
      </c>
      <c r="S197" s="70">
        <v>751</v>
      </c>
    </row>
    <row r="198" spans="1:19" s="56" customFormat="1">
      <c r="A198" s="67" t="s">
        <v>479</v>
      </c>
      <c r="B198" s="68" t="s">
        <v>480</v>
      </c>
      <c r="C198" s="67" t="s">
        <v>137</v>
      </c>
      <c r="D198" s="67" t="s">
        <v>138</v>
      </c>
      <c r="E198" s="67" t="s">
        <v>139</v>
      </c>
      <c r="F198" s="67" t="s">
        <v>140</v>
      </c>
      <c r="G198" s="69" t="s">
        <v>305</v>
      </c>
      <c r="H198" s="67">
        <v>0</v>
      </c>
      <c r="I198" s="67">
        <v>12</v>
      </c>
      <c r="J198" s="67" t="s">
        <v>148</v>
      </c>
      <c r="K198" s="67" t="s">
        <v>30</v>
      </c>
      <c r="L198" s="67" t="s">
        <v>3</v>
      </c>
      <c r="M198" s="67" t="s">
        <v>142</v>
      </c>
      <c r="N198" s="70">
        <v>1000</v>
      </c>
      <c r="O198" s="70">
        <v>1E-3</v>
      </c>
      <c r="P198" s="70"/>
      <c r="Q198" s="98">
        <v>9062</v>
      </c>
      <c r="R198" s="70">
        <v>9</v>
      </c>
      <c r="S198" s="70">
        <v>62</v>
      </c>
    </row>
    <row r="199" spans="1:19" s="56" customFormat="1">
      <c r="A199" s="67" t="s">
        <v>479</v>
      </c>
      <c r="B199" s="68" t="s">
        <v>480</v>
      </c>
      <c r="C199" s="67" t="s">
        <v>137</v>
      </c>
      <c r="D199" s="67" t="s">
        <v>138</v>
      </c>
      <c r="E199" s="67" t="s">
        <v>139</v>
      </c>
      <c r="F199" s="67" t="s">
        <v>140</v>
      </c>
      <c r="G199" s="69" t="s">
        <v>305</v>
      </c>
      <c r="H199" s="67">
        <v>0</v>
      </c>
      <c r="I199" s="67">
        <v>13</v>
      </c>
      <c r="J199" s="67" t="s">
        <v>314</v>
      </c>
      <c r="K199" s="67" t="s">
        <v>281</v>
      </c>
      <c r="L199" s="67" t="s">
        <v>3</v>
      </c>
      <c r="M199" s="67" t="s">
        <v>142</v>
      </c>
      <c r="N199" s="70">
        <v>1000</v>
      </c>
      <c r="O199" s="70">
        <v>1E-3</v>
      </c>
      <c r="P199" s="70"/>
      <c r="Q199" s="98">
        <v>120000</v>
      </c>
      <c r="R199" s="70">
        <v>120</v>
      </c>
      <c r="S199" s="70">
        <v>0</v>
      </c>
    </row>
    <row r="200" spans="1:19" s="56" customFormat="1">
      <c r="A200" s="67" t="s">
        <v>479</v>
      </c>
      <c r="B200" s="68" t="s">
        <v>480</v>
      </c>
      <c r="C200" s="67" t="s">
        <v>137</v>
      </c>
      <c r="D200" s="67" t="s">
        <v>138</v>
      </c>
      <c r="E200" s="67" t="s">
        <v>139</v>
      </c>
      <c r="F200" s="67" t="s">
        <v>153</v>
      </c>
      <c r="G200" s="69" t="s">
        <v>305</v>
      </c>
      <c r="H200" s="67">
        <v>0</v>
      </c>
      <c r="I200" s="67">
        <v>14</v>
      </c>
      <c r="J200" s="67" t="s">
        <v>154</v>
      </c>
      <c r="K200" s="67" t="s">
        <v>23</v>
      </c>
      <c r="L200" s="67" t="s">
        <v>3</v>
      </c>
      <c r="M200" s="67" t="s">
        <v>142</v>
      </c>
      <c r="N200" s="70">
        <v>1000</v>
      </c>
      <c r="O200" s="70">
        <v>32.021000000000001</v>
      </c>
      <c r="P200" s="70"/>
      <c r="Q200" s="98">
        <v>150000</v>
      </c>
      <c r="R200" s="70">
        <v>150</v>
      </c>
      <c r="S200" s="70">
        <v>0</v>
      </c>
    </row>
    <row r="201" spans="1:19" s="56" customFormat="1">
      <c r="A201" s="67" t="s">
        <v>479</v>
      </c>
      <c r="B201" s="68" t="s">
        <v>480</v>
      </c>
      <c r="C201" s="67" t="s">
        <v>137</v>
      </c>
      <c r="D201" s="67" t="s">
        <v>138</v>
      </c>
      <c r="E201" s="67" t="s">
        <v>139</v>
      </c>
      <c r="F201" s="67" t="s">
        <v>153</v>
      </c>
      <c r="G201" s="69" t="s">
        <v>305</v>
      </c>
      <c r="H201" s="67">
        <v>0</v>
      </c>
      <c r="I201" s="67">
        <v>15</v>
      </c>
      <c r="J201" s="67" t="s">
        <v>155</v>
      </c>
      <c r="K201" s="67" t="s">
        <v>33</v>
      </c>
      <c r="L201" s="67" t="s">
        <v>3</v>
      </c>
      <c r="M201" s="67" t="s">
        <v>142</v>
      </c>
      <c r="N201" s="70">
        <v>1000</v>
      </c>
      <c r="O201" s="70">
        <v>13.6</v>
      </c>
      <c r="P201" s="70"/>
      <c r="Q201" s="98">
        <v>100000</v>
      </c>
      <c r="R201" s="70">
        <v>100</v>
      </c>
      <c r="S201" s="70">
        <v>0</v>
      </c>
    </row>
    <row r="202" spans="1:19" s="56" customFormat="1">
      <c r="A202" s="67" t="s">
        <v>479</v>
      </c>
      <c r="B202" s="68" t="s">
        <v>480</v>
      </c>
      <c r="C202" s="67" t="s">
        <v>137</v>
      </c>
      <c r="D202" s="67" t="s">
        <v>138</v>
      </c>
      <c r="E202" s="67" t="s">
        <v>139</v>
      </c>
      <c r="F202" s="67" t="s">
        <v>153</v>
      </c>
      <c r="G202" s="69" t="s">
        <v>305</v>
      </c>
      <c r="H202" s="67">
        <v>0</v>
      </c>
      <c r="I202" s="67">
        <v>16</v>
      </c>
      <c r="J202" s="67" t="s">
        <v>251</v>
      </c>
      <c r="K202" s="67" t="s">
        <v>249</v>
      </c>
      <c r="L202" s="67" t="s">
        <v>3</v>
      </c>
      <c r="M202" s="67" t="s">
        <v>142</v>
      </c>
      <c r="N202" s="70">
        <v>1000</v>
      </c>
      <c r="O202" s="70">
        <v>1E-3</v>
      </c>
      <c r="P202" s="70"/>
      <c r="Q202" s="98">
        <v>15000</v>
      </c>
      <c r="R202" s="70">
        <v>15</v>
      </c>
      <c r="S202" s="70">
        <v>0</v>
      </c>
    </row>
    <row r="203" spans="1:19" s="56" customFormat="1">
      <c r="A203" s="67" t="s">
        <v>479</v>
      </c>
      <c r="B203" s="68" t="s">
        <v>480</v>
      </c>
      <c r="C203" s="67" t="s">
        <v>137</v>
      </c>
      <c r="D203" s="67" t="s">
        <v>138</v>
      </c>
      <c r="E203" s="67" t="s">
        <v>139</v>
      </c>
      <c r="F203" s="67" t="s">
        <v>153</v>
      </c>
      <c r="G203" s="69" t="s">
        <v>305</v>
      </c>
      <c r="H203" s="67">
        <v>0</v>
      </c>
      <c r="I203" s="67">
        <v>17</v>
      </c>
      <c r="J203" s="67" t="s">
        <v>317</v>
      </c>
      <c r="K203" s="67" t="s">
        <v>17</v>
      </c>
      <c r="L203" s="67" t="s">
        <v>3</v>
      </c>
      <c r="M203" s="67" t="s">
        <v>142</v>
      </c>
      <c r="N203" s="70">
        <v>1000</v>
      </c>
      <c r="O203" s="70">
        <v>1E-3</v>
      </c>
      <c r="P203" s="70"/>
      <c r="Q203" s="98">
        <v>28000</v>
      </c>
      <c r="R203" s="70">
        <v>28</v>
      </c>
      <c r="S203" s="70">
        <v>0</v>
      </c>
    </row>
    <row r="204" spans="1:19" s="56" customFormat="1">
      <c r="A204" s="67" t="s">
        <v>479</v>
      </c>
      <c r="B204" s="68" t="s">
        <v>480</v>
      </c>
      <c r="C204" s="67" t="s">
        <v>137</v>
      </c>
      <c r="D204" s="67" t="s">
        <v>138</v>
      </c>
      <c r="E204" s="67" t="s">
        <v>139</v>
      </c>
      <c r="F204" s="67" t="s">
        <v>167</v>
      </c>
      <c r="G204" s="69" t="s">
        <v>305</v>
      </c>
      <c r="H204" s="67">
        <v>0</v>
      </c>
      <c r="I204" s="67">
        <v>18</v>
      </c>
      <c r="J204" s="67" t="s">
        <v>183</v>
      </c>
      <c r="K204" s="67" t="s">
        <v>20</v>
      </c>
      <c r="L204" s="67" t="s">
        <v>3</v>
      </c>
      <c r="M204" s="67" t="s">
        <v>142</v>
      </c>
      <c r="N204" s="70">
        <v>1000</v>
      </c>
      <c r="O204" s="70">
        <v>1E-3</v>
      </c>
      <c r="P204" s="70"/>
      <c r="Q204" s="98">
        <v>4000</v>
      </c>
      <c r="R204" s="70">
        <v>4</v>
      </c>
      <c r="S204" s="70">
        <v>0</v>
      </c>
    </row>
    <row r="205" spans="1:19" s="56" customFormat="1">
      <c r="A205" s="67" t="s">
        <v>479</v>
      </c>
      <c r="B205" s="68" t="s">
        <v>480</v>
      </c>
      <c r="C205" s="67" t="s">
        <v>137</v>
      </c>
      <c r="D205" s="67" t="s">
        <v>138</v>
      </c>
      <c r="E205" s="67" t="s">
        <v>139</v>
      </c>
      <c r="F205" s="67" t="s">
        <v>162</v>
      </c>
      <c r="G205" s="69" t="s">
        <v>305</v>
      </c>
      <c r="H205" s="67">
        <v>0</v>
      </c>
      <c r="I205" s="67">
        <v>19</v>
      </c>
      <c r="J205" s="67" t="s">
        <v>377</v>
      </c>
      <c r="K205" s="67" t="s">
        <v>372</v>
      </c>
      <c r="L205" s="67" t="s">
        <v>3</v>
      </c>
      <c r="M205" s="67" t="s">
        <v>142</v>
      </c>
      <c r="N205" s="70">
        <v>1000</v>
      </c>
      <c r="O205" s="70">
        <v>1E-3</v>
      </c>
      <c r="P205" s="70"/>
      <c r="Q205" s="98">
        <v>775000</v>
      </c>
      <c r="R205" s="70">
        <v>775</v>
      </c>
      <c r="S205" s="70">
        <v>0</v>
      </c>
    </row>
    <row r="206" spans="1:19" s="56" customFormat="1">
      <c r="A206" s="67" t="s">
        <v>479</v>
      </c>
      <c r="B206" s="68" t="s">
        <v>480</v>
      </c>
      <c r="C206" s="67" t="s">
        <v>137</v>
      </c>
      <c r="D206" s="67" t="s">
        <v>138</v>
      </c>
      <c r="E206" s="67" t="s">
        <v>139</v>
      </c>
      <c r="F206" s="67" t="s">
        <v>162</v>
      </c>
      <c r="G206" s="69" t="s">
        <v>305</v>
      </c>
      <c r="H206" s="67">
        <v>0</v>
      </c>
      <c r="I206" s="67">
        <v>20</v>
      </c>
      <c r="J206" s="67" t="s">
        <v>262</v>
      </c>
      <c r="K206" s="67" t="s">
        <v>258</v>
      </c>
      <c r="L206" s="67" t="s">
        <v>3</v>
      </c>
      <c r="M206" s="67" t="s">
        <v>142</v>
      </c>
      <c r="N206" s="70">
        <v>1000</v>
      </c>
      <c r="O206" s="70">
        <v>0</v>
      </c>
      <c r="P206" s="70"/>
      <c r="Q206" s="98">
        <v>14000</v>
      </c>
      <c r="R206" s="70">
        <v>14</v>
      </c>
      <c r="S206" s="70">
        <v>0</v>
      </c>
    </row>
    <row r="207" spans="1:19" s="56" customFormat="1">
      <c r="A207" s="67" t="s">
        <v>479</v>
      </c>
      <c r="B207" s="68" t="s">
        <v>480</v>
      </c>
      <c r="C207" s="67" t="s">
        <v>137</v>
      </c>
      <c r="D207" s="67" t="s">
        <v>138</v>
      </c>
      <c r="E207" s="67" t="s">
        <v>139</v>
      </c>
      <c r="F207" s="67" t="s">
        <v>162</v>
      </c>
      <c r="G207" s="69" t="s">
        <v>305</v>
      </c>
      <c r="H207" s="67">
        <v>0</v>
      </c>
      <c r="I207" s="67">
        <v>21</v>
      </c>
      <c r="J207" s="67" t="s">
        <v>263</v>
      </c>
      <c r="K207" s="67" t="s">
        <v>259</v>
      </c>
      <c r="L207" s="67" t="s">
        <v>3</v>
      </c>
      <c r="M207" s="67" t="s">
        <v>142</v>
      </c>
      <c r="N207" s="70">
        <v>1000</v>
      </c>
      <c r="O207" s="70">
        <v>1E-3</v>
      </c>
      <c r="P207" s="70"/>
      <c r="Q207" s="98">
        <v>14000</v>
      </c>
      <c r="R207" s="70">
        <v>14</v>
      </c>
      <c r="S207" s="70">
        <v>0</v>
      </c>
    </row>
    <row r="208" spans="1:19" s="56" customFormat="1">
      <c r="A208" s="67" t="s">
        <v>479</v>
      </c>
      <c r="B208" s="68" t="s">
        <v>480</v>
      </c>
      <c r="C208" s="67" t="s">
        <v>137</v>
      </c>
      <c r="D208" s="67" t="s">
        <v>138</v>
      </c>
      <c r="E208" s="67" t="s">
        <v>139</v>
      </c>
      <c r="F208" s="67" t="s">
        <v>162</v>
      </c>
      <c r="G208" s="69" t="s">
        <v>305</v>
      </c>
      <c r="H208" s="67">
        <v>0</v>
      </c>
      <c r="I208" s="67">
        <v>22</v>
      </c>
      <c r="J208" s="67" t="s">
        <v>240</v>
      </c>
      <c r="K208" s="67" t="s">
        <v>237</v>
      </c>
      <c r="L208" s="67" t="s">
        <v>3</v>
      </c>
      <c r="M208" s="67" t="s">
        <v>142</v>
      </c>
      <c r="N208" s="70">
        <v>1000</v>
      </c>
      <c r="O208" s="70">
        <v>1E-3</v>
      </c>
      <c r="P208" s="70"/>
      <c r="Q208" s="98">
        <v>20000</v>
      </c>
      <c r="R208" s="70">
        <v>20</v>
      </c>
      <c r="S208" s="70">
        <v>0</v>
      </c>
    </row>
    <row r="209" spans="1:19" s="56" customFormat="1">
      <c r="A209" s="67" t="s">
        <v>479</v>
      </c>
      <c r="B209" s="68" t="s">
        <v>480</v>
      </c>
      <c r="C209" s="67" t="s">
        <v>137</v>
      </c>
      <c r="D209" s="67" t="s">
        <v>138</v>
      </c>
      <c r="E209" s="67" t="s">
        <v>139</v>
      </c>
      <c r="F209" s="67" t="s">
        <v>162</v>
      </c>
      <c r="G209" s="69" t="s">
        <v>305</v>
      </c>
      <c r="H209" s="67">
        <v>0</v>
      </c>
      <c r="I209" s="67">
        <v>23</v>
      </c>
      <c r="J209" s="67" t="s">
        <v>163</v>
      </c>
      <c r="K209" s="67" t="s">
        <v>14</v>
      </c>
      <c r="L209" s="67" t="s">
        <v>3</v>
      </c>
      <c r="M209" s="67" t="s">
        <v>142</v>
      </c>
      <c r="N209" s="70">
        <v>1000</v>
      </c>
      <c r="O209" s="70">
        <v>1E-3</v>
      </c>
      <c r="P209" s="70"/>
      <c r="Q209" s="98">
        <v>25000</v>
      </c>
      <c r="R209" s="70">
        <v>25</v>
      </c>
      <c r="S209" s="70">
        <v>0</v>
      </c>
    </row>
    <row r="210" spans="1:19" s="56" customFormat="1">
      <c r="A210" s="67" t="s">
        <v>479</v>
      </c>
      <c r="B210" s="68" t="s">
        <v>480</v>
      </c>
      <c r="C210" s="67" t="s">
        <v>137</v>
      </c>
      <c r="D210" s="67" t="s">
        <v>138</v>
      </c>
      <c r="E210" s="67" t="s">
        <v>139</v>
      </c>
      <c r="F210" s="67" t="s">
        <v>162</v>
      </c>
      <c r="G210" s="69" t="s">
        <v>305</v>
      </c>
      <c r="H210" s="67">
        <v>0</v>
      </c>
      <c r="I210" s="67">
        <v>24</v>
      </c>
      <c r="J210" s="67" t="s">
        <v>164</v>
      </c>
      <c r="K210" s="67" t="s">
        <v>74</v>
      </c>
      <c r="L210" s="67" t="s">
        <v>5</v>
      </c>
      <c r="M210" s="67" t="s">
        <v>142</v>
      </c>
      <c r="N210" s="70">
        <v>1000</v>
      </c>
      <c r="O210" s="70">
        <v>1E-3</v>
      </c>
      <c r="P210" s="70"/>
      <c r="Q210" s="98">
        <v>15000</v>
      </c>
      <c r="R210" s="70">
        <v>15</v>
      </c>
      <c r="S210" s="70">
        <v>0</v>
      </c>
    </row>
    <row r="211" spans="1:19" s="56" customFormat="1">
      <c r="A211" s="67" t="s">
        <v>479</v>
      </c>
      <c r="B211" s="68" t="s">
        <v>480</v>
      </c>
      <c r="C211" s="67" t="s">
        <v>137</v>
      </c>
      <c r="D211" s="67" t="s">
        <v>138</v>
      </c>
      <c r="E211" s="67" t="s">
        <v>139</v>
      </c>
      <c r="F211" s="67" t="s">
        <v>162</v>
      </c>
      <c r="G211" s="69" t="s">
        <v>305</v>
      </c>
      <c r="H211" s="67">
        <v>0</v>
      </c>
      <c r="I211" s="67">
        <v>25</v>
      </c>
      <c r="J211" s="67" t="s">
        <v>165</v>
      </c>
      <c r="K211" s="67" t="s">
        <v>80</v>
      </c>
      <c r="L211" s="67" t="s">
        <v>3</v>
      </c>
      <c r="M211" s="67" t="s">
        <v>142</v>
      </c>
      <c r="N211" s="70">
        <v>1000</v>
      </c>
      <c r="O211" s="70">
        <v>1E-3</v>
      </c>
      <c r="P211" s="70"/>
      <c r="Q211" s="98">
        <v>50</v>
      </c>
      <c r="R211" s="70">
        <v>0</v>
      </c>
      <c r="S211" s="70">
        <v>50</v>
      </c>
    </row>
    <row r="212" spans="1:19" s="56" customFormat="1">
      <c r="A212" s="67" t="s">
        <v>481</v>
      </c>
      <c r="B212" s="68" t="s">
        <v>482</v>
      </c>
      <c r="C212" s="67" t="s">
        <v>137</v>
      </c>
      <c r="D212" s="67" t="s">
        <v>138</v>
      </c>
      <c r="E212" s="67" t="s">
        <v>139</v>
      </c>
      <c r="F212" s="67" t="s">
        <v>140</v>
      </c>
      <c r="G212" s="69" t="s">
        <v>305</v>
      </c>
      <c r="H212" s="67">
        <v>0</v>
      </c>
      <c r="I212" s="67">
        <v>1</v>
      </c>
      <c r="J212" s="67" t="s">
        <v>141</v>
      </c>
      <c r="K212" s="67" t="s">
        <v>37</v>
      </c>
      <c r="L212" s="67" t="s">
        <v>3</v>
      </c>
      <c r="M212" s="67" t="s">
        <v>142</v>
      </c>
      <c r="N212" s="70">
        <v>1000</v>
      </c>
      <c r="O212" s="70">
        <v>200</v>
      </c>
      <c r="P212" s="70"/>
      <c r="Q212" s="98">
        <v>12242</v>
      </c>
      <c r="R212" s="70">
        <v>12</v>
      </c>
      <c r="S212" s="70">
        <v>242</v>
      </c>
    </row>
    <row r="213" spans="1:19" s="56" customFormat="1">
      <c r="A213" s="67" t="s">
        <v>481</v>
      </c>
      <c r="B213" s="68" t="s">
        <v>482</v>
      </c>
      <c r="C213" s="67" t="s">
        <v>137</v>
      </c>
      <c r="D213" s="67" t="s">
        <v>138</v>
      </c>
      <c r="E213" s="67" t="s">
        <v>139</v>
      </c>
      <c r="F213" s="67" t="s">
        <v>140</v>
      </c>
      <c r="G213" s="69" t="s">
        <v>305</v>
      </c>
      <c r="H213" s="67">
        <v>0</v>
      </c>
      <c r="I213" s="67">
        <v>2</v>
      </c>
      <c r="J213" s="67" t="s">
        <v>346</v>
      </c>
      <c r="K213" s="67" t="s">
        <v>343</v>
      </c>
      <c r="L213" s="67" t="s">
        <v>3</v>
      </c>
      <c r="M213" s="67" t="s">
        <v>142</v>
      </c>
      <c r="N213" s="70">
        <v>1000</v>
      </c>
      <c r="O213" s="70">
        <v>1E-3</v>
      </c>
      <c r="P213" s="70"/>
      <c r="Q213" s="98">
        <v>17820</v>
      </c>
      <c r="R213" s="70">
        <v>17</v>
      </c>
      <c r="S213" s="70">
        <v>820</v>
      </c>
    </row>
    <row r="214" spans="1:19" s="56" customFormat="1">
      <c r="A214" s="67" t="s">
        <v>481</v>
      </c>
      <c r="B214" s="68" t="s">
        <v>482</v>
      </c>
      <c r="C214" s="67" t="s">
        <v>137</v>
      </c>
      <c r="D214" s="67" t="s">
        <v>138</v>
      </c>
      <c r="E214" s="67" t="s">
        <v>139</v>
      </c>
      <c r="F214" s="67" t="s">
        <v>140</v>
      </c>
      <c r="G214" s="69" t="s">
        <v>305</v>
      </c>
      <c r="H214" s="67">
        <v>0</v>
      </c>
      <c r="I214" s="67">
        <v>3</v>
      </c>
      <c r="J214" s="67" t="s">
        <v>143</v>
      </c>
      <c r="K214" s="67" t="s">
        <v>90</v>
      </c>
      <c r="L214" s="67" t="s">
        <v>3</v>
      </c>
      <c r="M214" s="67" t="s">
        <v>142</v>
      </c>
      <c r="N214" s="70">
        <v>1000</v>
      </c>
      <c r="O214" s="70">
        <v>359.59699999999998</v>
      </c>
      <c r="P214" s="70"/>
      <c r="Q214" s="98">
        <v>103</v>
      </c>
      <c r="R214" s="70">
        <v>0</v>
      </c>
      <c r="S214" s="70">
        <v>103</v>
      </c>
    </row>
    <row r="215" spans="1:19" s="56" customFormat="1">
      <c r="A215" s="67" t="s">
        <v>481</v>
      </c>
      <c r="B215" s="68" t="s">
        <v>482</v>
      </c>
      <c r="C215" s="67" t="s">
        <v>137</v>
      </c>
      <c r="D215" s="67" t="s">
        <v>138</v>
      </c>
      <c r="E215" s="67" t="s">
        <v>139</v>
      </c>
      <c r="F215" s="67" t="s">
        <v>140</v>
      </c>
      <c r="G215" s="69" t="s">
        <v>305</v>
      </c>
      <c r="H215" s="67">
        <v>0</v>
      </c>
      <c r="I215" s="67">
        <v>4</v>
      </c>
      <c r="J215" s="67" t="s">
        <v>250</v>
      </c>
      <c r="K215" s="67" t="s">
        <v>38</v>
      </c>
      <c r="L215" s="67" t="s">
        <v>3</v>
      </c>
      <c r="M215" s="67" t="s">
        <v>142</v>
      </c>
      <c r="N215" s="70">
        <v>1000</v>
      </c>
      <c r="O215" s="70">
        <v>1E-3</v>
      </c>
      <c r="P215" s="70"/>
      <c r="Q215" s="98">
        <v>313</v>
      </c>
      <c r="R215" s="70">
        <v>0</v>
      </c>
      <c r="S215" s="70">
        <v>313</v>
      </c>
    </row>
    <row r="216" spans="1:19" s="56" customFormat="1">
      <c r="A216" s="67" t="s">
        <v>481</v>
      </c>
      <c r="B216" s="68" t="s">
        <v>482</v>
      </c>
      <c r="C216" s="67" t="s">
        <v>137</v>
      </c>
      <c r="D216" s="67" t="s">
        <v>138</v>
      </c>
      <c r="E216" s="67" t="s">
        <v>139</v>
      </c>
      <c r="F216" s="67" t="s">
        <v>140</v>
      </c>
      <c r="G216" s="69" t="s">
        <v>305</v>
      </c>
      <c r="H216" s="67">
        <v>0</v>
      </c>
      <c r="I216" s="67">
        <v>5</v>
      </c>
      <c r="J216" s="67" t="s">
        <v>144</v>
      </c>
      <c r="K216" s="67" t="s">
        <v>26</v>
      </c>
      <c r="L216" s="67" t="s">
        <v>3</v>
      </c>
      <c r="M216" s="67" t="s">
        <v>142</v>
      </c>
      <c r="N216" s="70">
        <v>1000</v>
      </c>
      <c r="O216" s="70">
        <v>1E-3</v>
      </c>
      <c r="P216" s="70"/>
      <c r="Q216" s="98">
        <v>9412</v>
      </c>
      <c r="R216" s="70">
        <v>9</v>
      </c>
      <c r="S216" s="70">
        <v>412</v>
      </c>
    </row>
    <row r="217" spans="1:19" s="56" customFormat="1">
      <c r="A217" s="67" t="s">
        <v>481</v>
      </c>
      <c r="B217" s="68" t="s">
        <v>482</v>
      </c>
      <c r="C217" s="67" t="s">
        <v>137</v>
      </c>
      <c r="D217" s="67" t="s">
        <v>138</v>
      </c>
      <c r="E217" s="67" t="s">
        <v>139</v>
      </c>
      <c r="F217" s="67" t="s">
        <v>140</v>
      </c>
      <c r="G217" s="69" t="s">
        <v>305</v>
      </c>
      <c r="H217" s="67">
        <v>0</v>
      </c>
      <c r="I217" s="67">
        <v>6</v>
      </c>
      <c r="J217" s="67" t="s">
        <v>145</v>
      </c>
      <c r="K217" s="67" t="s">
        <v>27</v>
      </c>
      <c r="L217" s="67" t="s">
        <v>3</v>
      </c>
      <c r="M217" s="67" t="s">
        <v>142</v>
      </c>
      <c r="N217" s="70">
        <v>1000</v>
      </c>
      <c r="O217" s="70">
        <v>1E-3</v>
      </c>
      <c r="P217" s="70"/>
      <c r="Q217" s="98">
        <v>2161</v>
      </c>
      <c r="R217" s="70">
        <v>2</v>
      </c>
      <c r="S217" s="70">
        <v>161</v>
      </c>
    </row>
    <row r="218" spans="1:19" s="56" customFormat="1">
      <c r="A218" s="67" t="s">
        <v>481</v>
      </c>
      <c r="B218" s="68" t="s">
        <v>482</v>
      </c>
      <c r="C218" s="67" t="s">
        <v>137</v>
      </c>
      <c r="D218" s="67" t="s">
        <v>138</v>
      </c>
      <c r="E218" s="67" t="s">
        <v>139</v>
      </c>
      <c r="F218" s="67" t="s">
        <v>140</v>
      </c>
      <c r="G218" s="69" t="s">
        <v>305</v>
      </c>
      <c r="H218" s="67">
        <v>0</v>
      </c>
      <c r="I218" s="67">
        <v>7</v>
      </c>
      <c r="J218" s="67" t="s">
        <v>289</v>
      </c>
      <c r="K218" s="67" t="s">
        <v>255</v>
      </c>
      <c r="L218" s="67" t="s">
        <v>3</v>
      </c>
      <c r="M218" s="67" t="s">
        <v>142</v>
      </c>
      <c r="N218" s="70">
        <v>1000</v>
      </c>
      <c r="O218" s="70">
        <v>1E-3</v>
      </c>
      <c r="P218" s="70"/>
      <c r="Q218" s="98">
        <v>3</v>
      </c>
      <c r="R218" s="70">
        <v>0</v>
      </c>
      <c r="S218" s="70">
        <v>3</v>
      </c>
    </row>
    <row r="219" spans="1:19" s="56" customFormat="1">
      <c r="A219" s="67" t="s">
        <v>481</v>
      </c>
      <c r="B219" s="68" t="s">
        <v>482</v>
      </c>
      <c r="C219" s="67" t="s">
        <v>137</v>
      </c>
      <c r="D219" s="67" t="s">
        <v>138</v>
      </c>
      <c r="E219" s="67" t="s">
        <v>139</v>
      </c>
      <c r="F219" s="67" t="s">
        <v>140</v>
      </c>
      <c r="G219" s="69" t="s">
        <v>305</v>
      </c>
      <c r="H219" s="67">
        <v>0</v>
      </c>
      <c r="I219" s="67">
        <v>8</v>
      </c>
      <c r="J219" s="67" t="s">
        <v>171</v>
      </c>
      <c r="K219" s="67" t="s">
        <v>102</v>
      </c>
      <c r="L219" s="67" t="s">
        <v>3</v>
      </c>
      <c r="M219" s="67" t="s">
        <v>142</v>
      </c>
      <c r="N219" s="70">
        <v>1000</v>
      </c>
      <c r="O219" s="70">
        <v>1E-3</v>
      </c>
      <c r="P219" s="70"/>
      <c r="Q219" s="98">
        <v>2</v>
      </c>
      <c r="R219" s="70">
        <v>0</v>
      </c>
      <c r="S219" s="70">
        <v>2</v>
      </c>
    </row>
    <row r="220" spans="1:19" s="56" customFormat="1">
      <c r="A220" s="67" t="s">
        <v>481</v>
      </c>
      <c r="B220" s="68" t="s">
        <v>482</v>
      </c>
      <c r="C220" s="67" t="s">
        <v>137</v>
      </c>
      <c r="D220" s="67" t="s">
        <v>138</v>
      </c>
      <c r="E220" s="67" t="s">
        <v>139</v>
      </c>
      <c r="F220" s="67" t="s">
        <v>140</v>
      </c>
      <c r="G220" s="69" t="s">
        <v>305</v>
      </c>
      <c r="H220" s="67">
        <v>0</v>
      </c>
      <c r="I220" s="67">
        <v>9</v>
      </c>
      <c r="J220" s="67" t="s">
        <v>146</v>
      </c>
      <c r="K220" s="67" t="s">
        <v>46</v>
      </c>
      <c r="L220" s="67" t="s">
        <v>3</v>
      </c>
      <c r="M220" s="67" t="s">
        <v>142</v>
      </c>
      <c r="N220" s="70">
        <v>1000</v>
      </c>
      <c r="O220" s="70">
        <v>1E-3</v>
      </c>
      <c r="P220" s="70"/>
      <c r="Q220" s="98">
        <v>641</v>
      </c>
      <c r="R220" s="70">
        <v>0</v>
      </c>
      <c r="S220" s="70">
        <v>641</v>
      </c>
    </row>
    <row r="221" spans="1:19" s="56" customFormat="1">
      <c r="A221" s="67" t="s">
        <v>481</v>
      </c>
      <c r="B221" s="68" t="s">
        <v>482</v>
      </c>
      <c r="C221" s="67" t="s">
        <v>137</v>
      </c>
      <c r="D221" s="67" t="s">
        <v>138</v>
      </c>
      <c r="E221" s="67" t="s">
        <v>139</v>
      </c>
      <c r="F221" s="67" t="s">
        <v>140</v>
      </c>
      <c r="G221" s="69" t="s">
        <v>305</v>
      </c>
      <c r="H221" s="67">
        <v>0</v>
      </c>
      <c r="I221" s="67">
        <v>10</v>
      </c>
      <c r="J221" s="67" t="s">
        <v>147</v>
      </c>
      <c r="K221" s="67" t="s">
        <v>41</v>
      </c>
      <c r="L221" s="67" t="s">
        <v>3</v>
      </c>
      <c r="M221" s="67" t="s">
        <v>142</v>
      </c>
      <c r="N221" s="70">
        <v>1000</v>
      </c>
      <c r="O221" s="70">
        <v>1E-3</v>
      </c>
      <c r="P221" s="70"/>
      <c r="Q221" s="98">
        <v>5800</v>
      </c>
      <c r="R221" s="70">
        <v>5</v>
      </c>
      <c r="S221" s="70">
        <v>800</v>
      </c>
    </row>
    <row r="222" spans="1:19" s="56" customFormat="1">
      <c r="A222" s="67" t="s">
        <v>481</v>
      </c>
      <c r="B222" s="68" t="s">
        <v>482</v>
      </c>
      <c r="C222" s="67" t="s">
        <v>137</v>
      </c>
      <c r="D222" s="67" t="s">
        <v>138</v>
      </c>
      <c r="E222" s="67" t="s">
        <v>139</v>
      </c>
      <c r="F222" s="67" t="s">
        <v>140</v>
      </c>
      <c r="G222" s="69" t="s">
        <v>305</v>
      </c>
      <c r="H222" s="67">
        <v>0</v>
      </c>
      <c r="I222" s="67">
        <v>11</v>
      </c>
      <c r="J222" s="67" t="s">
        <v>151</v>
      </c>
      <c r="K222" s="67" t="s">
        <v>28</v>
      </c>
      <c r="L222" s="67" t="s">
        <v>3</v>
      </c>
      <c r="M222" s="67" t="s">
        <v>142</v>
      </c>
      <c r="N222" s="70">
        <v>1000</v>
      </c>
      <c r="O222" s="70">
        <v>1E-3</v>
      </c>
      <c r="P222" s="70"/>
      <c r="Q222" s="98">
        <v>66</v>
      </c>
      <c r="R222" s="70">
        <v>0</v>
      </c>
      <c r="S222" s="70">
        <v>66</v>
      </c>
    </row>
    <row r="223" spans="1:19" s="56" customFormat="1">
      <c r="A223" s="67" t="s">
        <v>481</v>
      </c>
      <c r="B223" s="68" t="s">
        <v>482</v>
      </c>
      <c r="C223" s="67" t="s">
        <v>137</v>
      </c>
      <c r="D223" s="67" t="s">
        <v>138</v>
      </c>
      <c r="E223" s="67" t="s">
        <v>139</v>
      </c>
      <c r="F223" s="67" t="s">
        <v>140</v>
      </c>
      <c r="G223" s="69" t="s">
        <v>305</v>
      </c>
      <c r="H223" s="67">
        <v>0</v>
      </c>
      <c r="I223" s="67">
        <v>12</v>
      </c>
      <c r="J223" s="67" t="s">
        <v>170</v>
      </c>
      <c r="K223" s="67" t="s">
        <v>29</v>
      </c>
      <c r="L223" s="67" t="s">
        <v>3</v>
      </c>
      <c r="M223" s="67" t="s">
        <v>142</v>
      </c>
      <c r="N223" s="70">
        <v>1000</v>
      </c>
      <c r="O223" s="70">
        <v>1E-3</v>
      </c>
      <c r="P223" s="70"/>
      <c r="Q223" s="98">
        <v>1</v>
      </c>
      <c r="R223" s="70">
        <v>0</v>
      </c>
      <c r="S223" s="70">
        <v>1</v>
      </c>
    </row>
    <row r="224" spans="1:19" s="56" customFormat="1">
      <c r="A224" s="67" t="s">
        <v>481</v>
      </c>
      <c r="B224" s="68" t="s">
        <v>482</v>
      </c>
      <c r="C224" s="67" t="s">
        <v>137</v>
      </c>
      <c r="D224" s="67" t="s">
        <v>138</v>
      </c>
      <c r="E224" s="67" t="s">
        <v>139</v>
      </c>
      <c r="F224" s="67" t="s">
        <v>140</v>
      </c>
      <c r="G224" s="69" t="s">
        <v>305</v>
      </c>
      <c r="H224" s="67">
        <v>0</v>
      </c>
      <c r="I224" s="67">
        <v>13</v>
      </c>
      <c r="J224" s="67" t="s">
        <v>148</v>
      </c>
      <c r="K224" s="67" t="s">
        <v>30</v>
      </c>
      <c r="L224" s="67" t="s">
        <v>3</v>
      </c>
      <c r="M224" s="67" t="s">
        <v>142</v>
      </c>
      <c r="N224" s="70">
        <v>1000</v>
      </c>
      <c r="O224" s="70">
        <v>1E-3</v>
      </c>
      <c r="P224" s="70"/>
      <c r="Q224" s="98">
        <v>3876</v>
      </c>
      <c r="R224" s="70">
        <v>3</v>
      </c>
      <c r="S224" s="70">
        <v>876</v>
      </c>
    </row>
    <row r="225" spans="1:19" s="56" customFormat="1">
      <c r="A225" s="67" t="s">
        <v>481</v>
      </c>
      <c r="B225" s="68" t="s">
        <v>482</v>
      </c>
      <c r="C225" s="67" t="s">
        <v>137</v>
      </c>
      <c r="D225" s="67" t="s">
        <v>138</v>
      </c>
      <c r="E225" s="67" t="s">
        <v>139</v>
      </c>
      <c r="F225" s="67" t="s">
        <v>140</v>
      </c>
      <c r="G225" s="69" t="s">
        <v>305</v>
      </c>
      <c r="H225" s="67">
        <v>0</v>
      </c>
      <c r="I225" s="67">
        <v>14</v>
      </c>
      <c r="J225" s="67" t="s">
        <v>314</v>
      </c>
      <c r="K225" s="67" t="s">
        <v>281</v>
      </c>
      <c r="L225" s="67" t="s">
        <v>3</v>
      </c>
      <c r="M225" s="67" t="s">
        <v>142</v>
      </c>
      <c r="N225" s="70">
        <v>1000</v>
      </c>
      <c r="O225" s="70">
        <v>1E-3</v>
      </c>
      <c r="P225" s="70"/>
      <c r="Q225" s="98">
        <v>180000</v>
      </c>
      <c r="R225" s="70">
        <v>180</v>
      </c>
      <c r="S225" s="70">
        <v>0</v>
      </c>
    </row>
    <row r="226" spans="1:19" s="56" customFormat="1">
      <c r="A226" s="67" t="s">
        <v>481</v>
      </c>
      <c r="B226" s="68" t="s">
        <v>482</v>
      </c>
      <c r="C226" s="67" t="s">
        <v>137</v>
      </c>
      <c r="D226" s="67" t="s">
        <v>138</v>
      </c>
      <c r="E226" s="67" t="s">
        <v>139</v>
      </c>
      <c r="F226" s="67" t="s">
        <v>166</v>
      </c>
      <c r="G226" s="69" t="s">
        <v>305</v>
      </c>
      <c r="H226" s="67">
        <v>0</v>
      </c>
      <c r="I226" s="67">
        <v>15</v>
      </c>
      <c r="J226" s="67" t="s">
        <v>157</v>
      </c>
      <c r="K226" s="67" t="s">
        <v>48</v>
      </c>
      <c r="L226" s="67" t="s">
        <v>93</v>
      </c>
      <c r="M226" s="67" t="s">
        <v>158</v>
      </c>
      <c r="N226" s="70">
        <v>1000</v>
      </c>
      <c r="O226" s="70">
        <v>1E-3</v>
      </c>
      <c r="P226" s="70"/>
      <c r="Q226" s="98">
        <v>20000</v>
      </c>
      <c r="R226" s="70">
        <v>20</v>
      </c>
      <c r="S226" s="70">
        <v>0</v>
      </c>
    </row>
    <row r="227" spans="1:19" s="56" customFormat="1">
      <c r="A227" s="67" t="s">
        <v>481</v>
      </c>
      <c r="B227" s="68" t="s">
        <v>482</v>
      </c>
      <c r="C227" s="67" t="s">
        <v>137</v>
      </c>
      <c r="D227" s="67" t="s">
        <v>138</v>
      </c>
      <c r="E227" s="67" t="s">
        <v>139</v>
      </c>
      <c r="F227" s="67" t="s">
        <v>166</v>
      </c>
      <c r="G227" s="69" t="s">
        <v>305</v>
      </c>
      <c r="H227" s="67">
        <v>0</v>
      </c>
      <c r="I227" s="67">
        <v>16</v>
      </c>
      <c r="J227" s="67" t="s">
        <v>319</v>
      </c>
      <c r="K227" s="67" t="s">
        <v>72</v>
      </c>
      <c r="L227" s="67" t="s">
        <v>3</v>
      </c>
      <c r="M227" s="67" t="s">
        <v>142</v>
      </c>
      <c r="N227" s="70">
        <v>1000</v>
      </c>
      <c r="O227" s="70">
        <v>1E-3</v>
      </c>
      <c r="P227" s="70"/>
      <c r="Q227" s="98">
        <v>50000</v>
      </c>
      <c r="R227" s="70">
        <v>50</v>
      </c>
      <c r="S227" s="70">
        <v>0</v>
      </c>
    </row>
    <row r="228" spans="1:19" s="56" customFormat="1">
      <c r="A228" s="67" t="s">
        <v>481</v>
      </c>
      <c r="B228" s="68" t="s">
        <v>482</v>
      </c>
      <c r="C228" s="67" t="s">
        <v>137</v>
      </c>
      <c r="D228" s="67" t="s">
        <v>138</v>
      </c>
      <c r="E228" s="67" t="s">
        <v>139</v>
      </c>
      <c r="F228" s="67" t="s">
        <v>162</v>
      </c>
      <c r="G228" s="69" t="s">
        <v>305</v>
      </c>
      <c r="H228" s="67">
        <v>0</v>
      </c>
      <c r="I228" s="67">
        <v>17</v>
      </c>
      <c r="J228" s="67" t="s">
        <v>377</v>
      </c>
      <c r="K228" s="67" t="s">
        <v>372</v>
      </c>
      <c r="L228" s="67" t="s">
        <v>3</v>
      </c>
      <c r="M228" s="67" t="s">
        <v>142</v>
      </c>
      <c r="N228" s="70">
        <v>1000</v>
      </c>
      <c r="O228" s="70">
        <v>1E-3</v>
      </c>
      <c r="P228" s="70"/>
      <c r="Q228" s="98">
        <v>100000</v>
      </c>
      <c r="R228" s="70">
        <v>100</v>
      </c>
      <c r="S228" s="70">
        <v>0</v>
      </c>
    </row>
    <row r="229" spans="1:19" s="56" customFormat="1">
      <c r="A229" s="67" t="s">
        <v>481</v>
      </c>
      <c r="B229" s="68" t="s">
        <v>482</v>
      </c>
      <c r="C229" s="67" t="s">
        <v>137</v>
      </c>
      <c r="D229" s="67" t="s">
        <v>138</v>
      </c>
      <c r="E229" s="67" t="s">
        <v>139</v>
      </c>
      <c r="F229" s="67" t="s">
        <v>162</v>
      </c>
      <c r="G229" s="69" t="s">
        <v>305</v>
      </c>
      <c r="H229" s="67">
        <v>0</v>
      </c>
      <c r="I229" s="67">
        <v>18</v>
      </c>
      <c r="J229" s="67" t="s">
        <v>262</v>
      </c>
      <c r="K229" s="67" t="s">
        <v>258</v>
      </c>
      <c r="L229" s="67" t="s">
        <v>3</v>
      </c>
      <c r="M229" s="67" t="s">
        <v>142</v>
      </c>
      <c r="N229" s="70">
        <v>1000</v>
      </c>
      <c r="O229" s="70">
        <v>1E-3</v>
      </c>
      <c r="P229" s="70"/>
      <c r="Q229" s="98">
        <v>3000</v>
      </c>
      <c r="R229" s="70">
        <v>3</v>
      </c>
      <c r="S229" s="70">
        <v>0</v>
      </c>
    </row>
    <row r="230" spans="1:19" s="56" customFormat="1">
      <c r="A230" s="67" t="s">
        <v>481</v>
      </c>
      <c r="B230" s="68" t="s">
        <v>482</v>
      </c>
      <c r="C230" s="67" t="s">
        <v>137</v>
      </c>
      <c r="D230" s="67" t="s">
        <v>138</v>
      </c>
      <c r="E230" s="67" t="s">
        <v>139</v>
      </c>
      <c r="F230" s="67" t="s">
        <v>162</v>
      </c>
      <c r="G230" s="69" t="s">
        <v>305</v>
      </c>
      <c r="H230" s="67">
        <v>0</v>
      </c>
      <c r="I230" s="67">
        <v>19</v>
      </c>
      <c r="J230" s="67" t="s">
        <v>263</v>
      </c>
      <c r="K230" s="67" t="s">
        <v>259</v>
      </c>
      <c r="L230" s="67" t="s">
        <v>3</v>
      </c>
      <c r="M230" s="67" t="s">
        <v>142</v>
      </c>
      <c r="N230" s="70">
        <v>1000</v>
      </c>
      <c r="O230" s="70">
        <v>1E-3</v>
      </c>
      <c r="P230" s="70"/>
      <c r="Q230" s="98">
        <v>5000</v>
      </c>
      <c r="R230" s="70">
        <v>5</v>
      </c>
      <c r="S230" s="70">
        <v>0</v>
      </c>
    </row>
    <row r="231" spans="1:19" s="56" customFormat="1">
      <c r="A231" s="67" t="s">
        <v>481</v>
      </c>
      <c r="B231" s="68" t="s">
        <v>482</v>
      </c>
      <c r="C231" s="67" t="s">
        <v>137</v>
      </c>
      <c r="D231" s="67" t="s">
        <v>138</v>
      </c>
      <c r="E231" s="67" t="s">
        <v>139</v>
      </c>
      <c r="F231" s="67" t="s">
        <v>162</v>
      </c>
      <c r="G231" s="69" t="s">
        <v>305</v>
      </c>
      <c r="H231" s="67">
        <v>0</v>
      </c>
      <c r="I231" s="67">
        <v>20</v>
      </c>
      <c r="J231" s="67" t="s">
        <v>164</v>
      </c>
      <c r="K231" s="67" t="s">
        <v>74</v>
      </c>
      <c r="L231" s="67" t="s">
        <v>5</v>
      </c>
      <c r="M231" s="67" t="s">
        <v>142</v>
      </c>
      <c r="N231" s="70">
        <v>1000</v>
      </c>
      <c r="O231" s="70">
        <v>1E-3</v>
      </c>
      <c r="P231" s="70"/>
      <c r="Q231" s="98">
        <v>15000</v>
      </c>
      <c r="R231" s="70">
        <v>15</v>
      </c>
      <c r="S231" s="70">
        <v>0</v>
      </c>
    </row>
    <row r="232" spans="1:19" s="56" customFormat="1">
      <c r="A232" s="67" t="s">
        <v>481</v>
      </c>
      <c r="B232" s="68" t="s">
        <v>482</v>
      </c>
      <c r="C232" s="67" t="s">
        <v>137</v>
      </c>
      <c r="D232" s="67" t="s">
        <v>138</v>
      </c>
      <c r="E232" s="67" t="s">
        <v>139</v>
      </c>
      <c r="F232" s="67" t="s">
        <v>162</v>
      </c>
      <c r="G232" s="69" t="s">
        <v>305</v>
      </c>
      <c r="H232" s="67">
        <v>0</v>
      </c>
      <c r="I232" s="67">
        <v>21</v>
      </c>
      <c r="J232" s="67" t="s">
        <v>165</v>
      </c>
      <c r="K232" s="67" t="s">
        <v>80</v>
      </c>
      <c r="L232" s="67" t="s">
        <v>3</v>
      </c>
      <c r="M232" s="67" t="s">
        <v>142</v>
      </c>
      <c r="N232" s="70">
        <v>1000</v>
      </c>
      <c r="O232" s="70">
        <v>1E-3</v>
      </c>
      <c r="P232" s="70"/>
      <c r="Q232" s="98">
        <v>50</v>
      </c>
      <c r="R232" s="70">
        <v>0</v>
      </c>
      <c r="S232" s="70">
        <v>50</v>
      </c>
    </row>
    <row r="233" spans="1:19" s="56" customFormat="1">
      <c r="A233" s="67" t="s">
        <v>483</v>
      </c>
      <c r="B233" s="68" t="s">
        <v>484</v>
      </c>
      <c r="C233" s="67" t="s">
        <v>137</v>
      </c>
      <c r="D233" s="67" t="s">
        <v>138</v>
      </c>
      <c r="E233" s="67" t="s">
        <v>139</v>
      </c>
      <c r="F233" s="67" t="s">
        <v>140</v>
      </c>
      <c r="G233" s="69" t="s">
        <v>305</v>
      </c>
      <c r="H233" s="67">
        <v>0</v>
      </c>
      <c r="I233" s="67">
        <v>1</v>
      </c>
      <c r="J233" s="67" t="s">
        <v>141</v>
      </c>
      <c r="K233" s="67" t="s">
        <v>37</v>
      </c>
      <c r="L233" s="67" t="s">
        <v>3</v>
      </c>
      <c r="M233" s="67" t="s">
        <v>142</v>
      </c>
      <c r="N233" s="70">
        <v>1000</v>
      </c>
      <c r="O233" s="70">
        <v>200</v>
      </c>
      <c r="P233" s="70"/>
      <c r="Q233" s="98">
        <v>21027</v>
      </c>
      <c r="R233" s="70">
        <v>21</v>
      </c>
      <c r="S233" s="70">
        <v>27</v>
      </c>
    </row>
    <row r="234" spans="1:19" s="56" customFormat="1">
      <c r="A234" s="67" t="s">
        <v>483</v>
      </c>
      <c r="B234" s="68" t="s">
        <v>484</v>
      </c>
      <c r="C234" s="67" t="s">
        <v>137</v>
      </c>
      <c r="D234" s="67" t="s">
        <v>138</v>
      </c>
      <c r="E234" s="67" t="s">
        <v>139</v>
      </c>
      <c r="F234" s="67" t="s">
        <v>140</v>
      </c>
      <c r="G234" s="69" t="s">
        <v>305</v>
      </c>
      <c r="H234" s="67">
        <v>0</v>
      </c>
      <c r="I234" s="67">
        <v>2</v>
      </c>
      <c r="J234" s="67" t="s">
        <v>346</v>
      </c>
      <c r="K234" s="67" t="s">
        <v>343</v>
      </c>
      <c r="L234" s="67" t="s">
        <v>3</v>
      </c>
      <c r="M234" s="67" t="s">
        <v>142</v>
      </c>
      <c r="N234" s="70">
        <v>1000</v>
      </c>
      <c r="O234" s="70">
        <v>1E-3</v>
      </c>
      <c r="P234" s="70"/>
      <c r="Q234" s="98">
        <v>14379</v>
      </c>
      <c r="R234" s="70">
        <v>14</v>
      </c>
      <c r="S234" s="70">
        <v>379</v>
      </c>
    </row>
    <row r="235" spans="1:19" s="56" customFormat="1">
      <c r="A235" s="67" t="s">
        <v>483</v>
      </c>
      <c r="B235" s="68" t="s">
        <v>484</v>
      </c>
      <c r="C235" s="67" t="s">
        <v>137</v>
      </c>
      <c r="D235" s="67" t="s">
        <v>138</v>
      </c>
      <c r="E235" s="67" t="s">
        <v>139</v>
      </c>
      <c r="F235" s="67" t="s">
        <v>140</v>
      </c>
      <c r="G235" s="69" t="s">
        <v>305</v>
      </c>
      <c r="H235" s="67">
        <v>0</v>
      </c>
      <c r="I235" s="67">
        <v>3</v>
      </c>
      <c r="J235" s="67" t="s">
        <v>143</v>
      </c>
      <c r="K235" s="67" t="s">
        <v>90</v>
      </c>
      <c r="L235" s="67" t="s">
        <v>3</v>
      </c>
      <c r="M235" s="67" t="s">
        <v>142</v>
      </c>
      <c r="N235" s="70">
        <v>1000</v>
      </c>
      <c r="O235" s="70">
        <v>359.59699999999998</v>
      </c>
      <c r="P235" s="70"/>
      <c r="Q235" s="98">
        <v>2642</v>
      </c>
      <c r="R235" s="70">
        <v>2</v>
      </c>
      <c r="S235" s="70">
        <v>642</v>
      </c>
    </row>
    <row r="236" spans="1:19" s="56" customFormat="1">
      <c r="A236" s="67" t="s">
        <v>483</v>
      </c>
      <c r="B236" s="68" t="s">
        <v>484</v>
      </c>
      <c r="C236" s="67" t="s">
        <v>137</v>
      </c>
      <c r="D236" s="67" t="s">
        <v>138</v>
      </c>
      <c r="E236" s="67" t="s">
        <v>139</v>
      </c>
      <c r="F236" s="67" t="s">
        <v>140</v>
      </c>
      <c r="G236" s="69" t="s">
        <v>305</v>
      </c>
      <c r="H236" s="67">
        <v>0</v>
      </c>
      <c r="I236" s="67">
        <v>4</v>
      </c>
      <c r="J236" s="67" t="s">
        <v>169</v>
      </c>
      <c r="K236" s="67" t="s">
        <v>64</v>
      </c>
      <c r="L236" s="67" t="s">
        <v>3</v>
      </c>
      <c r="M236" s="67" t="s">
        <v>142</v>
      </c>
      <c r="N236" s="70">
        <v>1000</v>
      </c>
      <c r="O236" s="70">
        <v>1E-3</v>
      </c>
      <c r="P236" s="70"/>
      <c r="Q236" s="98">
        <v>10</v>
      </c>
      <c r="R236" s="70">
        <v>0</v>
      </c>
      <c r="S236" s="70">
        <v>10</v>
      </c>
    </row>
    <row r="237" spans="1:19" s="56" customFormat="1">
      <c r="A237" s="67" t="s">
        <v>483</v>
      </c>
      <c r="B237" s="68" t="s">
        <v>484</v>
      </c>
      <c r="C237" s="67" t="s">
        <v>137</v>
      </c>
      <c r="D237" s="67" t="s">
        <v>138</v>
      </c>
      <c r="E237" s="67" t="s">
        <v>139</v>
      </c>
      <c r="F237" s="67" t="s">
        <v>140</v>
      </c>
      <c r="G237" s="69" t="s">
        <v>305</v>
      </c>
      <c r="H237" s="67">
        <v>0</v>
      </c>
      <c r="I237" s="67">
        <v>5</v>
      </c>
      <c r="J237" s="67" t="s">
        <v>250</v>
      </c>
      <c r="K237" s="67" t="s">
        <v>38</v>
      </c>
      <c r="L237" s="67" t="s">
        <v>3</v>
      </c>
      <c r="M237" s="67" t="s">
        <v>142</v>
      </c>
      <c r="N237" s="70">
        <v>1000</v>
      </c>
      <c r="O237" s="70">
        <v>1E-3</v>
      </c>
      <c r="P237" s="70"/>
      <c r="Q237" s="98">
        <v>845</v>
      </c>
      <c r="R237" s="70">
        <v>0</v>
      </c>
      <c r="S237" s="70">
        <v>845</v>
      </c>
    </row>
    <row r="238" spans="1:19" s="56" customFormat="1">
      <c r="A238" s="67" t="s">
        <v>483</v>
      </c>
      <c r="B238" s="68" t="s">
        <v>484</v>
      </c>
      <c r="C238" s="67" t="s">
        <v>137</v>
      </c>
      <c r="D238" s="67" t="s">
        <v>138</v>
      </c>
      <c r="E238" s="67" t="s">
        <v>139</v>
      </c>
      <c r="F238" s="67" t="s">
        <v>140</v>
      </c>
      <c r="G238" s="69" t="s">
        <v>305</v>
      </c>
      <c r="H238" s="67">
        <v>0</v>
      </c>
      <c r="I238" s="67">
        <v>6</v>
      </c>
      <c r="J238" s="67" t="s">
        <v>144</v>
      </c>
      <c r="K238" s="67" t="s">
        <v>26</v>
      </c>
      <c r="L238" s="67" t="s">
        <v>3</v>
      </c>
      <c r="M238" s="67" t="s">
        <v>142</v>
      </c>
      <c r="N238" s="70">
        <v>1000</v>
      </c>
      <c r="O238" s="70">
        <v>1E-3</v>
      </c>
      <c r="P238" s="70"/>
      <c r="Q238" s="98">
        <v>9594</v>
      </c>
      <c r="R238" s="70">
        <v>9</v>
      </c>
      <c r="S238" s="70">
        <v>594</v>
      </c>
    </row>
    <row r="239" spans="1:19" s="56" customFormat="1">
      <c r="A239" s="67" t="s">
        <v>483</v>
      </c>
      <c r="B239" s="68" t="s">
        <v>484</v>
      </c>
      <c r="C239" s="67" t="s">
        <v>137</v>
      </c>
      <c r="D239" s="67" t="s">
        <v>138</v>
      </c>
      <c r="E239" s="67" t="s">
        <v>139</v>
      </c>
      <c r="F239" s="67" t="s">
        <v>140</v>
      </c>
      <c r="G239" s="69" t="s">
        <v>305</v>
      </c>
      <c r="H239" s="67">
        <v>0</v>
      </c>
      <c r="I239" s="67">
        <v>7</v>
      </c>
      <c r="J239" s="67" t="s">
        <v>145</v>
      </c>
      <c r="K239" s="67" t="s">
        <v>27</v>
      </c>
      <c r="L239" s="67" t="s">
        <v>3</v>
      </c>
      <c r="M239" s="67" t="s">
        <v>142</v>
      </c>
      <c r="N239" s="70">
        <v>1000</v>
      </c>
      <c r="O239" s="70">
        <v>1E-3</v>
      </c>
      <c r="P239" s="70"/>
      <c r="Q239" s="98">
        <v>5821</v>
      </c>
      <c r="R239" s="70">
        <v>5</v>
      </c>
      <c r="S239" s="70">
        <v>821</v>
      </c>
    </row>
    <row r="240" spans="1:19" s="56" customFormat="1">
      <c r="A240" s="67" t="s">
        <v>483</v>
      </c>
      <c r="B240" s="68" t="s">
        <v>484</v>
      </c>
      <c r="C240" s="67" t="s">
        <v>137</v>
      </c>
      <c r="D240" s="67" t="s">
        <v>138</v>
      </c>
      <c r="E240" s="67" t="s">
        <v>139</v>
      </c>
      <c r="F240" s="67" t="s">
        <v>140</v>
      </c>
      <c r="G240" s="69" t="s">
        <v>305</v>
      </c>
      <c r="H240" s="67">
        <v>0</v>
      </c>
      <c r="I240" s="67">
        <v>8</v>
      </c>
      <c r="J240" s="67" t="s">
        <v>146</v>
      </c>
      <c r="K240" s="67" t="s">
        <v>46</v>
      </c>
      <c r="L240" s="67" t="s">
        <v>3</v>
      </c>
      <c r="M240" s="67" t="s">
        <v>142</v>
      </c>
      <c r="N240" s="70">
        <v>1000</v>
      </c>
      <c r="O240" s="70">
        <v>1E-3</v>
      </c>
      <c r="P240" s="70"/>
      <c r="Q240" s="98">
        <v>1683</v>
      </c>
      <c r="R240" s="70">
        <v>1</v>
      </c>
      <c r="S240" s="70">
        <v>683</v>
      </c>
    </row>
    <row r="241" spans="1:19" s="56" customFormat="1">
      <c r="A241" s="67" t="s">
        <v>483</v>
      </c>
      <c r="B241" s="68" t="s">
        <v>484</v>
      </c>
      <c r="C241" s="67" t="s">
        <v>137</v>
      </c>
      <c r="D241" s="67" t="s">
        <v>138</v>
      </c>
      <c r="E241" s="67" t="s">
        <v>139</v>
      </c>
      <c r="F241" s="67" t="s">
        <v>140</v>
      </c>
      <c r="G241" s="69" t="s">
        <v>305</v>
      </c>
      <c r="H241" s="67">
        <v>0</v>
      </c>
      <c r="I241" s="67">
        <v>9</v>
      </c>
      <c r="J241" s="67" t="s">
        <v>147</v>
      </c>
      <c r="K241" s="67" t="s">
        <v>41</v>
      </c>
      <c r="L241" s="67" t="s">
        <v>3</v>
      </c>
      <c r="M241" s="67" t="s">
        <v>142</v>
      </c>
      <c r="N241" s="70">
        <v>1000</v>
      </c>
      <c r="O241" s="70">
        <v>1E-3</v>
      </c>
      <c r="P241" s="70"/>
      <c r="Q241" s="98">
        <v>12220</v>
      </c>
      <c r="R241" s="70">
        <v>12</v>
      </c>
      <c r="S241" s="70">
        <v>220</v>
      </c>
    </row>
    <row r="242" spans="1:19" s="56" customFormat="1">
      <c r="A242" s="67" t="s">
        <v>483</v>
      </c>
      <c r="B242" s="68" t="s">
        <v>484</v>
      </c>
      <c r="C242" s="67" t="s">
        <v>137</v>
      </c>
      <c r="D242" s="67" t="s">
        <v>138</v>
      </c>
      <c r="E242" s="67" t="s">
        <v>139</v>
      </c>
      <c r="F242" s="67" t="s">
        <v>140</v>
      </c>
      <c r="G242" s="69" t="s">
        <v>305</v>
      </c>
      <c r="H242" s="67">
        <v>0</v>
      </c>
      <c r="I242" s="67">
        <v>10</v>
      </c>
      <c r="J242" s="67" t="s">
        <v>151</v>
      </c>
      <c r="K242" s="67" t="s">
        <v>28</v>
      </c>
      <c r="L242" s="67" t="s">
        <v>3</v>
      </c>
      <c r="M242" s="67" t="s">
        <v>142</v>
      </c>
      <c r="N242" s="70">
        <v>1000</v>
      </c>
      <c r="O242" s="70">
        <v>1E-3</v>
      </c>
      <c r="P242" s="70"/>
      <c r="Q242" s="98">
        <v>714</v>
      </c>
      <c r="R242" s="70">
        <v>0</v>
      </c>
      <c r="S242" s="70">
        <v>714</v>
      </c>
    </row>
    <row r="243" spans="1:19" s="56" customFormat="1">
      <c r="A243" s="67" t="s">
        <v>483</v>
      </c>
      <c r="B243" s="68" t="s">
        <v>484</v>
      </c>
      <c r="C243" s="67" t="s">
        <v>137</v>
      </c>
      <c r="D243" s="67" t="s">
        <v>138</v>
      </c>
      <c r="E243" s="67" t="s">
        <v>139</v>
      </c>
      <c r="F243" s="67" t="s">
        <v>140</v>
      </c>
      <c r="G243" s="69" t="s">
        <v>305</v>
      </c>
      <c r="H243" s="67">
        <v>0</v>
      </c>
      <c r="I243" s="67">
        <v>11</v>
      </c>
      <c r="J243" s="67" t="s">
        <v>148</v>
      </c>
      <c r="K243" s="67" t="s">
        <v>30</v>
      </c>
      <c r="L243" s="67" t="s">
        <v>3</v>
      </c>
      <c r="M243" s="67" t="s">
        <v>142</v>
      </c>
      <c r="N243" s="70">
        <v>1000</v>
      </c>
      <c r="O243" s="70">
        <v>1E-3</v>
      </c>
      <c r="P243" s="70"/>
      <c r="Q243" s="98">
        <v>6160</v>
      </c>
      <c r="R243" s="70">
        <v>6</v>
      </c>
      <c r="S243" s="70">
        <v>160</v>
      </c>
    </row>
    <row r="244" spans="1:19" s="56" customFormat="1">
      <c r="A244" s="67" t="s">
        <v>483</v>
      </c>
      <c r="B244" s="68" t="s">
        <v>484</v>
      </c>
      <c r="C244" s="67" t="s">
        <v>137</v>
      </c>
      <c r="D244" s="67" t="s">
        <v>138</v>
      </c>
      <c r="E244" s="67" t="s">
        <v>139</v>
      </c>
      <c r="F244" s="67" t="s">
        <v>140</v>
      </c>
      <c r="G244" s="69" t="s">
        <v>305</v>
      </c>
      <c r="H244" s="67">
        <v>0</v>
      </c>
      <c r="I244" s="67">
        <v>12</v>
      </c>
      <c r="J244" s="67" t="s">
        <v>314</v>
      </c>
      <c r="K244" s="67" t="s">
        <v>281</v>
      </c>
      <c r="L244" s="67" t="s">
        <v>3</v>
      </c>
      <c r="M244" s="67" t="s">
        <v>142</v>
      </c>
      <c r="N244" s="70">
        <v>1000</v>
      </c>
      <c r="O244" s="70">
        <v>1E-3</v>
      </c>
      <c r="P244" s="70"/>
      <c r="Q244" s="98">
        <v>240000</v>
      </c>
      <c r="R244" s="70">
        <v>240</v>
      </c>
      <c r="S244" s="70">
        <v>0</v>
      </c>
    </row>
    <row r="245" spans="1:19" s="56" customFormat="1">
      <c r="A245" s="67" t="s">
        <v>483</v>
      </c>
      <c r="B245" s="68" t="s">
        <v>484</v>
      </c>
      <c r="C245" s="67" t="s">
        <v>137</v>
      </c>
      <c r="D245" s="67" t="s">
        <v>138</v>
      </c>
      <c r="E245" s="67" t="s">
        <v>139</v>
      </c>
      <c r="F245" s="67" t="s">
        <v>140</v>
      </c>
      <c r="G245" s="69" t="s">
        <v>305</v>
      </c>
      <c r="H245" s="67">
        <v>0</v>
      </c>
      <c r="I245" s="67">
        <v>13</v>
      </c>
      <c r="J245" s="67" t="s">
        <v>152</v>
      </c>
      <c r="K245" s="67" t="s">
        <v>57</v>
      </c>
      <c r="L245" s="67" t="s">
        <v>3</v>
      </c>
      <c r="M245" s="67" t="s">
        <v>142</v>
      </c>
      <c r="N245" s="70">
        <v>1000</v>
      </c>
      <c r="O245" s="70">
        <v>16</v>
      </c>
      <c r="P245" s="70"/>
      <c r="Q245" s="98">
        <v>50000</v>
      </c>
      <c r="R245" s="70">
        <v>50</v>
      </c>
      <c r="S245" s="70">
        <v>0</v>
      </c>
    </row>
    <row r="246" spans="1:19" s="56" customFormat="1">
      <c r="A246" s="67" t="s">
        <v>483</v>
      </c>
      <c r="B246" s="68" t="s">
        <v>484</v>
      </c>
      <c r="C246" s="67" t="s">
        <v>137</v>
      </c>
      <c r="D246" s="67" t="s">
        <v>138</v>
      </c>
      <c r="E246" s="67" t="s">
        <v>139</v>
      </c>
      <c r="F246" s="67" t="s">
        <v>140</v>
      </c>
      <c r="G246" s="69" t="s">
        <v>305</v>
      </c>
      <c r="H246" s="67">
        <v>0</v>
      </c>
      <c r="I246" s="67">
        <v>14</v>
      </c>
      <c r="J246" s="67" t="s">
        <v>149</v>
      </c>
      <c r="K246" s="67" t="s">
        <v>24</v>
      </c>
      <c r="L246" s="67" t="s">
        <v>3</v>
      </c>
      <c r="M246" s="67" t="s">
        <v>142</v>
      </c>
      <c r="N246" s="70">
        <v>1000</v>
      </c>
      <c r="O246" s="70">
        <v>19</v>
      </c>
      <c r="P246" s="70"/>
      <c r="Q246" s="98">
        <v>4000</v>
      </c>
      <c r="R246" s="70">
        <v>4</v>
      </c>
      <c r="S246" s="70">
        <v>0</v>
      </c>
    </row>
    <row r="247" spans="1:19" s="56" customFormat="1">
      <c r="A247" s="67" t="s">
        <v>483</v>
      </c>
      <c r="B247" s="68" t="s">
        <v>484</v>
      </c>
      <c r="C247" s="67" t="s">
        <v>137</v>
      </c>
      <c r="D247" s="67" t="s">
        <v>138</v>
      </c>
      <c r="E247" s="67" t="s">
        <v>139</v>
      </c>
      <c r="F247" s="67" t="s">
        <v>140</v>
      </c>
      <c r="G247" s="69" t="s">
        <v>305</v>
      </c>
      <c r="H247" s="67">
        <v>0</v>
      </c>
      <c r="I247" s="67">
        <v>15</v>
      </c>
      <c r="J247" s="67" t="s">
        <v>150</v>
      </c>
      <c r="K247" s="67" t="s">
        <v>32</v>
      </c>
      <c r="L247" s="67" t="s">
        <v>3</v>
      </c>
      <c r="M247" s="67" t="s">
        <v>142</v>
      </c>
      <c r="N247" s="70">
        <v>1000</v>
      </c>
      <c r="O247" s="70">
        <v>20.5</v>
      </c>
      <c r="P247" s="70"/>
      <c r="Q247" s="98">
        <v>1000</v>
      </c>
      <c r="R247" s="70">
        <v>1</v>
      </c>
      <c r="S247" s="70">
        <v>0</v>
      </c>
    </row>
    <row r="248" spans="1:19" s="56" customFormat="1">
      <c r="A248" s="67" t="s">
        <v>483</v>
      </c>
      <c r="B248" s="68" t="s">
        <v>484</v>
      </c>
      <c r="C248" s="67" t="s">
        <v>137</v>
      </c>
      <c r="D248" s="67" t="s">
        <v>138</v>
      </c>
      <c r="E248" s="67" t="s">
        <v>139</v>
      </c>
      <c r="F248" s="67" t="s">
        <v>153</v>
      </c>
      <c r="G248" s="69" t="s">
        <v>305</v>
      </c>
      <c r="H248" s="67">
        <v>0</v>
      </c>
      <c r="I248" s="67">
        <v>16</v>
      </c>
      <c r="J248" s="67" t="s">
        <v>154</v>
      </c>
      <c r="K248" s="67" t="s">
        <v>23</v>
      </c>
      <c r="L248" s="67" t="s">
        <v>3</v>
      </c>
      <c r="M248" s="67" t="s">
        <v>142</v>
      </c>
      <c r="N248" s="70">
        <v>1000</v>
      </c>
      <c r="O248" s="70">
        <v>32.021000000000001</v>
      </c>
      <c r="P248" s="70"/>
      <c r="Q248" s="98">
        <v>300000</v>
      </c>
      <c r="R248" s="70">
        <v>300</v>
      </c>
      <c r="S248" s="70">
        <v>0</v>
      </c>
    </row>
    <row r="249" spans="1:19" s="56" customFormat="1">
      <c r="A249" s="67" t="s">
        <v>483</v>
      </c>
      <c r="B249" s="68" t="s">
        <v>484</v>
      </c>
      <c r="C249" s="67" t="s">
        <v>137</v>
      </c>
      <c r="D249" s="67" t="s">
        <v>138</v>
      </c>
      <c r="E249" s="67" t="s">
        <v>139</v>
      </c>
      <c r="F249" s="67" t="s">
        <v>153</v>
      </c>
      <c r="G249" s="69" t="s">
        <v>305</v>
      </c>
      <c r="H249" s="67">
        <v>0</v>
      </c>
      <c r="I249" s="67">
        <v>17</v>
      </c>
      <c r="J249" s="67" t="s">
        <v>155</v>
      </c>
      <c r="K249" s="67" t="s">
        <v>33</v>
      </c>
      <c r="L249" s="67" t="s">
        <v>3</v>
      </c>
      <c r="M249" s="67" t="s">
        <v>142</v>
      </c>
      <c r="N249" s="70">
        <v>1000</v>
      </c>
      <c r="O249" s="70">
        <v>13.6</v>
      </c>
      <c r="P249" s="70"/>
      <c r="Q249" s="98">
        <v>150000</v>
      </c>
      <c r="R249" s="70">
        <v>150</v>
      </c>
      <c r="S249" s="70">
        <v>0</v>
      </c>
    </row>
    <row r="250" spans="1:19" s="56" customFormat="1">
      <c r="A250" s="67" t="s">
        <v>483</v>
      </c>
      <c r="B250" s="68" t="s">
        <v>484</v>
      </c>
      <c r="C250" s="67" t="s">
        <v>137</v>
      </c>
      <c r="D250" s="67" t="s">
        <v>138</v>
      </c>
      <c r="E250" s="67" t="s">
        <v>139</v>
      </c>
      <c r="F250" s="67" t="s">
        <v>153</v>
      </c>
      <c r="G250" s="69" t="s">
        <v>305</v>
      </c>
      <c r="H250" s="67">
        <v>0</v>
      </c>
      <c r="I250" s="67">
        <v>18</v>
      </c>
      <c r="J250" s="67" t="s">
        <v>251</v>
      </c>
      <c r="K250" s="67" t="s">
        <v>249</v>
      </c>
      <c r="L250" s="67" t="s">
        <v>3</v>
      </c>
      <c r="M250" s="67" t="s">
        <v>142</v>
      </c>
      <c r="N250" s="70">
        <v>1000</v>
      </c>
      <c r="O250" s="70">
        <v>1E-3</v>
      </c>
      <c r="P250" s="70"/>
      <c r="Q250" s="98">
        <v>15000</v>
      </c>
      <c r="R250" s="70">
        <v>15</v>
      </c>
      <c r="S250" s="70">
        <v>0</v>
      </c>
    </row>
    <row r="251" spans="1:19" s="56" customFormat="1">
      <c r="A251" s="67" t="s">
        <v>483</v>
      </c>
      <c r="B251" s="68" t="s">
        <v>484</v>
      </c>
      <c r="C251" s="67" t="s">
        <v>137</v>
      </c>
      <c r="D251" s="67" t="s">
        <v>138</v>
      </c>
      <c r="E251" s="67" t="s">
        <v>139</v>
      </c>
      <c r="F251" s="67" t="s">
        <v>153</v>
      </c>
      <c r="G251" s="69" t="s">
        <v>305</v>
      </c>
      <c r="H251" s="67">
        <v>0</v>
      </c>
      <c r="I251" s="67">
        <v>19</v>
      </c>
      <c r="J251" s="67" t="s">
        <v>317</v>
      </c>
      <c r="K251" s="67" t="s">
        <v>17</v>
      </c>
      <c r="L251" s="67" t="s">
        <v>3</v>
      </c>
      <c r="M251" s="67" t="s">
        <v>142</v>
      </c>
      <c r="N251" s="70">
        <v>1000</v>
      </c>
      <c r="O251" s="70">
        <v>1E-3</v>
      </c>
      <c r="P251" s="70"/>
      <c r="Q251" s="98">
        <v>63000</v>
      </c>
      <c r="R251" s="70">
        <v>63</v>
      </c>
      <c r="S251" s="70">
        <v>0</v>
      </c>
    </row>
    <row r="252" spans="1:19" s="56" customFormat="1">
      <c r="A252" s="67" t="s">
        <v>483</v>
      </c>
      <c r="B252" s="68" t="s">
        <v>484</v>
      </c>
      <c r="C252" s="67" t="s">
        <v>137</v>
      </c>
      <c r="D252" s="67" t="s">
        <v>138</v>
      </c>
      <c r="E252" s="67" t="s">
        <v>139</v>
      </c>
      <c r="F252" s="67" t="s">
        <v>153</v>
      </c>
      <c r="G252" s="69" t="s">
        <v>305</v>
      </c>
      <c r="H252" s="67">
        <v>0</v>
      </c>
      <c r="I252" s="67">
        <v>20</v>
      </c>
      <c r="J252" s="67" t="s">
        <v>168</v>
      </c>
      <c r="K252" s="67" t="s">
        <v>34</v>
      </c>
      <c r="L252" s="67" t="s">
        <v>3</v>
      </c>
      <c r="M252" s="67" t="s">
        <v>142</v>
      </c>
      <c r="N252" s="70">
        <v>1000</v>
      </c>
      <c r="O252" s="70">
        <v>1E-3</v>
      </c>
      <c r="P252" s="70"/>
      <c r="Q252" s="98">
        <v>2800</v>
      </c>
      <c r="R252" s="70">
        <v>2</v>
      </c>
      <c r="S252" s="70">
        <v>800</v>
      </c>
    </row>
    <row r="253" spans="1:19" s="56" customFormat="1">
      <c r="A253" s="67" t="s">
        <v>483</v>
      </c>
      <c r="B253" s="68" t="s">
        <v>484</v>
      </c>
      <c r="C253" s="67" t="s">
        <v>137</v>
      </c>
      <c r="D253" s="67" t="s">
        <v>138</v>
      </c>
      <c r="E253" s="67" t="s">
        <v>139</v>
      </c>
      <c r="F253" s="67" t="s">
        <v>167</v>
      </c>
      <c r="G253" s="69" t="s">
        <v>305</v>
      </c>
      <c r="H253" s="67">
        <v>0</v>
      </c>
      <c r="I253" s="67">
        <v>21</v>
      </c>
      <c r="J253" s="67" t="s">
        <v>183</v>
      </c>
      <c r="K253" s="67" t="s">
        <v>20</v>
      </c>
      <c r="L253" s="67" t="s">
        <v>3</v>
      </c>
      <c r="M253" s="67" t="s">
        <v>142</v>
      </c>
      <c r="N253" s="70">
        <v>1000</v>
      </c>
      <c r="O253" s="70">
        <v>1E-3</v>
      </c>
      <c r="P253" s="70"/>
      <c r="Q253" s="98">
        <v>6000</v>
      </c>
      <c r="R253" s="70">
        <v>6</v>
      </c>
      <c r="S253" s="70">
        <v>0</v>
      </c>
    </row>
    <row r="254" spans="1:19" s="56" customFormat="1">
      <c r="A254" s="67" t="s">
        <v>483</v>
      </c>
      <c r="B254" s="68" t="s">
        <v>484</v>
      </c>
      <c r="C254" s="67" t="s">
        <v>137</v>
      </c>
      <c r="D254" s="67" t="s">
        <v>138</v>
      </c>
      <c r="E254" s="67" t="s">
        <v>139</v>
      </c>
      <c r="F254" s="67" t="s">
        <v>159</v>
      </c>
      <c r="G254" s="69" t="s">
        <v>305</v>
      </c>
      <c r="H254" s="67">
        <v>0</v>
      </c>
      <c r="I254" s="67">
        <v>24</v>
      </c>
      <c r="J254" s="67" t="s">
        <v>261</v>
      </c>
      <c r="K254" s="67" t="s">
        <v>49</v>
      </c>
      <c r="L254" s="67" t="s">
        <v>3</v>
      </c>
      <c r="M254" s="67" t="s">
        <v>142</v>
      </c>
      <c r="N254" s="70">
        <v>1000</v>
      </c>
      <c r="O254" s="70">
        <v>1E-3</v>
      </c>
      <c r="P254" s="70"/>
      <c r="Q254" s="98">
        <v>200000</v>
      </c>
      <c r="R254" s="70">
        <v>200</v>
      </c>
      <c r="S254" s="70">
        <v>0</v>
      </c>
    </row>
    <row r="255" spans="1:19" s="56" customFormat="1">
      <c r="A255" s="67" t="s">
        <v>483</v>
      </c>
      <c r="B255" s="68" t="s">
        <v>484</v>
      </c>
      <c r="C255" s="67" t="s">
        <v>137</v>
      </c>
      <c r="D255" s="67" t="s">
        <v>138</v>
      </c>
      <c r="E255" s="67" t="s">
        <v>139</v>
      </c>
      <c r="F255" s="67" t="s">
        <v>159</v>
      </c>
      <c r="G255" s="69" t="s">
        <v>305</v>
      </c>
      <c r="H255" s="67">
        <v>0</v>
      </c>
      <c r="I255" s="67">
        <v>25</v>
      </c>
      <c r="J255" s="67" t="s">
        <v>375</v>
      </c>
      <c r="K255" s="67" t="s">
        <v>62</v>
      </c>
      <c r="L255" s="67" t="s">
        <v>3</v>
      </c>
      <c r="M255" s="67" t="s">
        <v>142</v>
      </c>
      <c r="N255" s="70">
        <v>1000</v>
      </c>
      <c r="O255" s="70">
        <v>1E-3</v>
      </c>
      <c r="P255" s="70"/>
      <c r="Q255" s="98">
        <v>60000</v>
      </c>
      <c r="R255" s="70">
        <v>60</v>
      </c>
      <c r="S255" s="70">
        <v>0</v>
      </c>
    </row>
    <row r="256" spans="1:19" s="56" customFormat="1">
      <c r="A256" s="67" t="s">
        <v>483</v>
      </c>
      <c r="B256" s="68" t="s">
        <v>484</v>
      </c>
      <c r="C256" s="67" t="s">
        <v>137</v>
      </c>
      <c r="D256" s="67" t="s">
        <v>138</v>
      </c>
      <c r="E256" s="67" t="s">
        <v>139</v>
      </c>
      <c r="F256" s="67" t="s">
        <v>159</v>
      </c>
      <c r="G256" s="69" t="s">
        <v>305</v>
      </c>
      <c r="H256" s="67">
        <v>0</v>
      </c>
      <c r="I256" s="67">
        <v>26</v>
      </c>
      <c r="J256" s="67" t="s">
        <v>161</v>
      </c>
      <c r="K256" s="67" t="s">
        <v>63</v>
      </c>
      <c r="L256" s="67" t="s">
        <v>3</v>
      </c>
      <c r="M256" s="67" t="s">
        <v>142</v>
      </c>
      <c r="N256" s="70">
        <v>1000</v>
      </c>
      <c r="O256" s="70">
        <v>23</v>
      </c>
      <c r="P256" s="70"/>
      <c r="Q256" s="98">
        <v>60000</v>
      </c>
      <c r="R256" s="70">
        <v>60</v>
      </c>
      <c r="S256" s="70">
        <v>0</v>
      </c>
    </row>
    <row r="257" spans="1:19" s="56" customFormat="1">
      <c r="A257" s="67" t="s">
        <v>483</v>
      </c>
      <c r="B257" s="68" t="s">
        <v>484</v>
      </c>
      <c r="C257" s="67" t="s">
        <v>137</v>
      </c>
      <c r="D257" s="67" t="s">
        <v>138</v>
      </c>
      <c r="E257" s="67" t="s">
        <v>139</v>
      </c>
      <c r="F257" s="67" t="s">
        <v>162</v>
      </c>
      <c r="G257" s="69" t="s">
        <v>305</v>
      </c>
      <c r="H257" s="67">
        <v>0</v>
      </c>
      <c r="I257" s="67">
        <v>27</v>
      </c>
      <c r="J257" s="67" t="s">
        <v>377</v>
      </c>
      <c r="K257" s="67" t="s">
        <v>372</v>
      </c>
      <c r="L257" s="67" t="s">
        <v>3</v>
      </c>
      <c r="M257" s="67" t="s">
        <v>142</v>
      </c>
      <c r="N257" s="70">
        <v>1000</v>
      </c>
      <c r="O257" s="70">
        <v>1E-3</v>
      </c>
      <c r="P257" s="70"/>
      <c r="Q257" s="98">
        <v>400000</v>
      </c>
      <c r="R257" s="70">
        <v>400</v>
      </c>
      <c r="S257" s="70">
        <v>0</v>
      </c>
    </row>
    <row r="258" spans="1:19" s="56" customFormat="1">
      <c r="A258" s="67" t="s">
        <v>483</v>
      </c>
      <c r="B258" s="68" t="s">
        <v>484</v>
      </c>
      <c r="C258" s="67" t="s">
        <v>137</v>
      </c>
      <c r="D258" s="67" t="s">
        <v>138</v>
      </c>
      <c r="E258" s="67" t="s">
        <v>139</v>
      </c>
      <c r="F258" s="67" t="s">
        <v>162</v>
      </c>
      <c r="G258" s="69" t="s">
        <v>305</v>
      </c>
      <c r="H258" s="67">
        <v>0</v>
      </c>
      <c r="I258" s="67">
        <v>28</v>
      </c>
      <c r="J258" s="67" t="s">
        <v>234</v>
      </c>
      <c r="K258" s="67" t="s">
        <v>233</v>
      </c>
      <c r="L258" s="67" t="s">
        <v>3</v>
      </c>
      <c r="M258" s="67" t="s">
        <v>142</v>
      </c>
      <c r="N258" s="70">
        <v>1000</v>
      </c>
      <c r="O258" s="70">
        <v>5.6</v>
      </c>
      <c r="P258" s="70"/>
      <c r="Q258" s="98">
        <v>275000</v>
      </c>
      <c r="R258" s="70">
        <v>275</v>
      </c>
      <c r="S258" s="70">
        <v>0</v>
      </c>
    </row>
    <row r="259" spans="1:19" s="56" customFormat="1">
      <c r="A259" s="67" t="s">
        <v>483</v>
      </c>
      <c r="B259" s="68" t="s">
        <v>484</v>
      </c>
      <c r="C259" s="67" t="s">
        <v>137</v>
      </c>
      <c r="D259" s="67" t="s">
        <v>138</v>
      </c>
      <c r="E259" s="67" t="s">
        <v>139</v>
      </c>
      <c r="F259" s="67" t="s">
        <v>162</v>
      </c>
      <c r="G259" s="69" t="s">
        <v>305</v>
      </c>
      <c r="H259" s="67">
        <v>0</v>
      </c>
      <c r="I259" s="67">
        <v>29</v>
      </c>
      <c r="J259" s="67" t="s">
        <v>262</v>
      </c>
      <c r="K259" s="67" t="s">
        <v>258</v>
      </c>
      <c r="L259" s="67" t="s">
        <v>3</v>
      </c>
      <c r="M259" s="67" t="s">
        <v>142</v>
      </c>
      <c r="N259" s="70">
        <v>1000</v>
      </c>
      <c r="O259" s="70">
        <v>1E-3</v>
      </c>
      <c r="P259" s="70"/>
      <c r="Q259" s="98">
        <v>13000</v>
      </c>
      <c r="R259" s="70">
        <v>13</v>
      </c>
      <c r="S259" s="70">
        <v>0</v>
      </c>
    </row>
    <row r="260" spans="1:19" s="56" customFormat="1">
      <c r="A260" s="67" t="s">
        <v>483</v>
      </c>
      <c r="B260" s="68" t="s">
        <v>484</v>
      </c>
      <c r="C260" s="67" t="s">
        <v>137</v>
      </c>
      <c r="D260" s="67" t="s">
        <v>138</v>
      </c>
      <c r="E260" s="67" t="s">
        <v>139</v>
      </c>
      <c r="F260" s="67" t="s">
        <v>162</v>
      </c>
      <c r="G260" s="69" t="s">
        <v>305</v>
      </c>
      <c r="H260" s="67">
        <v>0</v>
      </c>
      <c r="I260" s="67">
        <v>30</v>
      </c>
      <c r="J260" s="67" t="s">
        <v>263</v>
      </c>
      <c r="K260" s="67" t="s">
        <v>259</v>
      </c>
      <c r="L260" s="67" t="s">
        <v>3</v>
      </c>
      <c r="M260" s="67" t="s">
        <v>142</v>
      </c>
      <c r="N260" s="70">
        <v>1000</v>
      </c>
      <c r="O260" s="70">
        <v>1E-3</v>
      </c>
      <c r="P260" s="70"/>
      <c r="Q260" s="98">
        <v>13000</v>
      </c>
      <c r="R260" s="70">
        <v>13</v>
      </c>
      <c r="S260" s="70">
        <v>0</v>
      </c>
    </row>
    <row r="261" spans="1:19" s="56" customFormat="1">
      <c r="A261" s="67" t="s">
        <v>483</v>
      </c>
      <c r="B261" s="68" t="s">
        <v>484</v>
      </c>
      <c r="C261" s="67" t="s">
        <v>137</v>
      </c>
      <c r="D261" s="67" t="s">
        <v>138</v>
      </c>
      <c r="E261" s="67" t="s">
        <v>139</v>
      </c>
      <c r="F261" s="67" t="s">
        <v>162</v>
      </c>
      <c r="G261" s="69" t="s">
        <v>305</v>
      </c>
      <c r="H261" s="67">
        <v>0</v>
      </c>
      <c r="I261" s="67">
        <v>31</v>
      </c>
      <c r="J261" s="67" t="s">
        <v>163</v>
      </c>
      <c r="K261" s="67" t="s">
        <v>14</v>
      </c>
      <c r="L261" s="67" t="s">
        <v>3</v>
      </c>
      <c r="M261" s="67" t="s">
        <v>142</v>
      </c>
      <c r="N261" s="70">
        <v>1000</v>
      </c>
      <c r="O261" s="70">
        <v>1E-3</v>
      </c>
      <c r="P261" s="70"/>
      <c r="Q261" s="98">
        <v>25000</v>
      </c>
      <c r="R261" s="70">
        <v>25</v>
      </c>
      <c r="S261" s="70">
        <v>0</v>
      </c>
    </row>
    <row r="262" spans="1:19" s="56" customFormat="1">
      <c r="A262" s="67" t="s">
        <v>483</v>
      </c>
      <c r="B262" s="68" t="s">
        <v>484</v>
      </c>
      <c r="C262" s="67" t="s">
        <v>137</v>
      </c>
      <c r="D262" s="67" t="s">
        <v>138</v>
      </c>
      <c r="E262" s="67" t="s">
        <v>139</v>
      </c>
      <c r="F262" s="67" t="s">
        <v>162</v>
      </c>
      <c r="G262" s="69" t="s">
        <v>305</v>
      </c>
      <c r="H262" s="67">
        <v>0</v>
      </c>
      <c r="I262" s="67">
        <v>32</v>
      </c>
      <c r="J262" s="67" t="s">
        <v>164</v>
      </c>
      <c r="K262" s="67" t="s">
        <v>74</v>
      </c>
      <c r="L262" s="67" t="s">
        <v>5</v>
      </c>
      <c r="M262" s="67" t="s">
        <v>142</v>
      </c>
      <c r="N262" s="70">
        <v>1000</v>
      </c>
      <c r="O262" s="70">
        <v>1E-3</v>
      </c>
      <c r="P262" s="70"/>
      <c r="Q262" s="98">
        <v>15000</v>
      </c>
      <c r="R262" s="70">
        <v>15</v>
      </c>
      <c r="S262" s="70">
        <v>0</v>
      </c>
    </row>
    <row r="263" spans="1:19" s="56" customFormat="1">
      <c r="A263" s="67" t="s">
        <v>483</v>
      </c>
      <c r="B263" s="68" t="s">
        <v>484</v>
      </c>
      <c r="C263" s="67" t="s">
        <v>137</v>
      </c>
      <c r="D263" s="67" t="s">
        <v>138</v>
      </c>
      <c r="E263" s="67" t="s">
        <v>139</v>
      </c>
      <c r="F263" s="67" t="s">
        <v>162</v>
      </c>
      <c r="G263" s="69" t="s">
        <v>305</v>
      </c>
      <c r="H263" s="67">
        <v>0</v>
      </c>
      <c r="I263" s="67">
        <v>33</v>
      </c>
      <c r="J263" s="67" t="s">
        <v>165</v>
      </c>
      <c r="K263" s="67" t="s">
        <v>80</v>
      </c>
      <c r="L263" s="67" t="s">
        <v>3</v>
      </c>
      <c r="M263" s="67" t="s">
        <v>142</v>
      </c>
      <c r="N263" s="70">
        <v>1000</v>
      </c>
      <c r="O263" s="70">
        <v>1E-3</v>
      </c>
      <c r="P263" s="70"/>
      <c r="Q263" s="98">
        <v>50</v>
      </c>
      <c r="R263" s="70">
        <v>0</v>
      </c>
      <c r="S263" s="70">
        <v>50</v>
      </c>
    </row>
    <row r="264" spans="1:19" s="56" customFormat="1">
      <c r="A264" s="67" t="s">
        <v>485</v>
      </c>
      <c r="B264" s="68" t="s">
        <v>486</v>
      </c>
      <c r="C264" s="67" t="s">
        <v>137</v>
      </c>
      <c r="D264" s="67" t="s">
        <v>138</v>
      </c>
      <c r="E264" s="67" t="s">
        <v>139</v>
      </c>
      <c r="F264" s="67" t="s">
        <v>140</v>
      </c>
      <c r="G264" s="69" t="s">
        <v>305</v>
      </c>
      <c r="H264" s="67">
        <v>0</v>
      </c>
      <c r="I264" s="67">
        <v>1</v>
      </c>
      <c r="J264" s="67" t="s">
        <v>141</v>
      </c>
      <c r="K264" s="67" t="s">
        <v>37</v>
      </c>
      <c r="L264" s="67" t="s">
        <v>3</v>
      </c>
      <c r="M264" s="67" t="s">
        <v>142</v>
      </c>
      <c r="N264" s="70">
        <v>1000</v>
      </c>
      <c r="O264" s="70">
        <v>200</v>
      </c>
      <c r="P264" s="70"/>
      <c r="Q264" s="98">
        <v>8561</v>
      </c>
      <c r="R264" s="70">
        <v>8</v>
      </c>
      <c r="S264" s="70">
        <v>561</v>
      </c>
    </row>
    <row r="265" spans="1:19" s="56" customFormat="1">
      <c r="A265" s="67" t="s">
        <v>485</v>
      </c>
      <c r="B265" s="68" t="s">
        <v>486</v>
      </c>
      <c r="C265" s="67" t="s">
        <v>137</v>
      </c>
      <c r="D265" s="67" t="s">
        <v>138</v>
      </c>
      <c r="E265" s="67" t="s">
        <v>139</v>
      </c>
      <c r="F265" s="67" t="s">
        <v>140</v>
      </c>
      <c r="G265" s="69" t="s">
        <v>305</v>
      </c>
      <c r="H265" s="67">
        <v>0</v>
      </c>
      <c r="I265" s="67">
        <v>2</v>
      </c>
      <c r="J265" s="67" t="s">
        <v>346</v>
      </c>
      <c r="K265" s="67" t="s">
        <v>343</v>
      </c>
      <c r="L265" s="67" t="s">
        <v>3</v>
      </c>
      <c r="M265" s="67" t="s">
        <v>142</v>
      </c>
      <c r="N265" s="70">
        <v>1000</v>
      </c>
      <c r="O265" s="70">
        <v>1E-3</v>
      </c>
      <c r="P265" s="70"/>
      <c r="Q265" s="98">
        <v>35310</v>
      </c>
      <c r="R265" s="70">
        <v>35</v>
      </c>
      <c r="S265" s="70">
        <v>310</v>
      </c>
    </row>
    <row r="266" spans="1:19" s="56" customFormat="1">
      <c r="A266" s="67" t="s">
        <v>485</v>
      </c>
      <c r="B266" s="68" t="s">
        <v>486</v>
      </c>
      <c r="C266" s="67" t="s">
        <v>137</v>
      </c>
      <c r="D266" s="67" t="s">
        <v>138</v>
      </c>
      <c r="E266" s="67" t="s">
        <v>139</v>
      </c>
      <c r="F266" s="67" t="s">
        <v>140</v>
      </c>
      <c r="G266" s="69" t="s">
        <v>305</v>
      </c>
      <c r="H266" s="67">
        <v>0</v>
      </c>
      <c r="I266" s="67">
        <v>3</v>
      </c>
      <c r="J266" s="67" t="s">
        <v>169</v>
      </c>
      <c r="K266" s="67" t="s">
        <v>64</v>
      </c>
      <c r="L266" s="67" t="s">
        <v>3</v>
      </c>
      <c r="M266" s="67" t="s">
        <v>142</v>
      </c>
      <c r="N266" s="70">
        <v>1000</v>
      </c>
      <c r="O266" s="70">
        <v>1E-3</v>
      </c>
      <c r="P266" s="70"/>
      <c r="Q266" s="98">
        <v>3</v>
      </c>
      <c r="R266" s="70">
        <v>0</v>
      </c>
      <c r="S266" s="70">
        <v>3</v>
      </c>
    </row>
    <row r="267" spans="1:19" s="56" customFormat="1">
      <c r="A267" s="67" t="s">
        <v>485</v>
      </c>
      <c r="B267" s="68" t="s">
        <v>486</v>
      </c>
      <c r="C267" s="67" t="s">
        <v>137</v>
      </c>
      <c r="D267" s="67" t="s">
        <v>138</v>
      </c>
      <c r="E267" s="67" t="s">
        <v>139</v>
      </c>
      <c r="F267" s="67" t="s">
        <v>140</v>
      </c>
      <c r="G267" s="69" t="s">
        <v>305</v>
      </c>
      <c r="H267" s="67">
        <v>0</v>
      </c>
      <c r="I267" s="67">
        <v>4</v>
      </c>
      <c r="J267" s="67" t="s">
        <v>143</v>
      </c>
      <c r="K267" s="67" t="s">
        <v>90</v>
      </c>
      <c r="L267" s="67" t="s">
        <v>3</v>
      </c>
      <c r="M267" s="67" t="s">
        <v>142</v>
      </c>
      <c r="N267" s="70">
        <v>1000</v>
      </c>
      <c r="O267" s="70">
        <v>359.59699999999998</v>
      </c>
      <c r="P267" s="70"/>
      <c r="Q267" s="98">
        <v>2651</v>
      </c>
      <c r="R267" s="70">
        <v>2</v>
      </c>
      <c r="S267" s="70">
        <v>651</v>
      </c>
    </row>
    <row r="268" spans="1:19" s="56" customFormat="1">
      <c r="A268" s="67" t="s">
        <v>485</v>
      </c>
      <c r="B268" s="68" t="s">
        <v>486</v>
      </c>
      <c r="C268" s="67" t="s">
        <v>137</v>
      </c>
      <c r="D268" s="67" t="s">
        <v>138</v>
      </c>
      <c r="E268" s="67" t="s">
        <v>139</v>
      </c>
      <c r="F268" s="67" t="s">
        <v>140</v>
      </c>
      <c r="G268" s="69" t="s">
        <v>305</v>
      </c>
      <c r="H268" s="67">
        <v>0</v>
      </c>
      <c r="I268" s="67">
        <v>5</v>
      </c>
      <c r="J268" s="67" t="s">
        <v>250</v>
      </c>
      <c r="K268" s="67" t="s">
        <v>38</v>
      </c>
      <c r="L268" s="67" t="s">
        <v>3</v>
      </c>
      <c r="M268" s="67" t="s">
        <v>142</v>
      </c>
      <c r="N268" s="70">
        <v>1000</v>
      </c>
      <c r="O268" s="70">
        <v>1E-3</v>
      </c>
      <c r="P268" s="70"/>
      <c r="Q268" s="98">
        <v>261</v>
      </c>
      <c r="R268" s="70">
        <v>0</v>
      </c>
      <c r="S268" s="70">
        <v>261</v>
      </c>
    </row>
    <row r="269" spans="1:19" s="56" customFormat="1">
      <c r="A269" s="67" t="s">
        <v>485</v>
      </c>
      <c r="B269" s="68" t="s">
        <v>486</v>
      </c>
      <c r="C269" s="67" t="s">
        <v>137</v>
      </c>
      <c r="D269" s="67" t="s">
        <v>138</v>
      </c>
      <c r="E269" s="67" t="s">
        <v>139</v>
      </c>
      <c r="F269" s="67" t="s">
        <v>140</v>
      </c>
      <c r="G269" s="69" t="s">
        <v>305</v>
      </c>
      <c r="H269" s="67">
        <v>0</v>
      </c>
      <c r="I269" s="67">
        <v>6</v>
      </c>
      <c r="J269" s="67" t="s">
        <v>144</v>
      </c>
      <c r="K269" s="67" t="s">
        <v>26</v>
      </c>
      <c r="L269" s="67" t="s">
        <v>3</v>
      </c>
      <c r="M269" s="67" t="s">
        <v>142</v>
      </c>
      <c r="N269" s="70">
        <v>1000</v>
      </c>
      <c r="O269" s="70">
        <v>1E-3</v>
      </c>
      <c r="P269" s="70"/>
      <c r="Q269" s="98">
        <v>11755</v>
      </c>
      <c r="R269" s="70">
        <v>11</v>
      </c>
      <c r="S269" s="70">
        <v>755</v>
      </c>
    </row>
    <row r="270" spans="1:19" s="56" customFormat="1">
      <c r="A270" s="67" t="s">
        <v>485</v>
      </c>
      <c r="B270" s="68" t="s">
        <v>486</v>
      </c>
      <c r="C270" s="67" t="s">
        <v>137</v>
      </c>
      <c r="D270" s="67" t="s">
        <v>138</v>
      </c>
      <c r="E270" s="67" t="s">
        <v>139</v>
      </c>
      <c r="F270" s="67" t="s">
        <v>140</v>
      </c>
      <c r="G270" s="69" t="s">
        <v>305</v>
      </c>
      <c r="H270" s="67">
        <v>0</v>
      </c>
      <c r="I270" s="67">
        <v>7</v>
      </c>
      <c r="J270" s="67" t="s">
        <v>145</v>
      </c>
      <c r="K270" s="67" t="s">
        <v>27</v>
      </c>
      <c r="L270" s="67" t="s">
        <v>3</v>
      </c>
      <c r="M270" s="67" t="s">
        <v>142</v>
      </c>
      <c r="N270" s="70">
        <v>1000</v>
      </c>
      <c r="O270" s="70">
        <v>1E-3</v>
      </c>
      <c r="P270" s="70"/>
      <c r="Q270" s="98">
        <v>30228</v>
      </c>
      <c r="R270" s="70">
        <v>30</v>
      </c>
      <c r="S270" s="70">
        <v>228</v>
      </c>
    </row>
    <row r="271" spans="1:19" s="56" customFormat="1">
      <c r="A271" s="67" t="s">
        <v>485</v>
      </c>
      <c r="B271" s="68" t="s">
        <v>486</v>
      </c>
      <c r="C271" s="67" t="s">
        <v>137</v>
      </c>
      <c r="D271" s="67" t="s">
        <v>138</v>
      </c>
      <c r="E271" s="67" t="s">
        <v>139</v>
      </c>
      <c r="F271" s="67" t="s">
        <v>140</v>
      </c>
      <c r="G271" s="69" t="s">
        <v>305</v>
      </c>
      <c r="H271" s="67">
        <v>0</v>
      </c>
      <c r="I271" s="67">
        <v>8</v>
      </c>
      <c r="J271" s="67" t="s">
        <v>147</v>
      </c>
      <c r="K271" s="67" t="s">
        <v>41</v>
      </c>
      <c r="L271" s="67" t="s">
        <v>3</v>
      </c>
      <c r="M271" s="67" t="s">
        <v>142</v>
      </c>
      <c r="N271" s="70">
        <v>1000</v>
      </c>
      <c r="O271" s="70">
        <v>1E-3</v>
      </c>
      <c r="P271" s="70"/>
      <c r="Q271" s="98">
        <v>15769</v>
      </c>
      <c r="R271" s="70">
        <v>15</v>
      </c>
      <c r="S271" s="70">
        <v>769</v>
      </c>
    </row>
    <row r="272" spans="1:19" s="56" customFormat="1">
      <c r="A272" s="67" t="s">
        <v>485</v>
      </c>
      <c r="B272" s="68" t="s">
        <v>486</v>
      </c>
      <c r="C272" s="67" t="s">
        <v>137</v>
      </c>
      <c r="D272" s="67" t="s">
        <v>138</v>
      </c>
      <c r="E272" s="67" t="s">
        <v>139</v>
      </c>
      <c r="F272" s="67" t="s">
        <v>140</v>
      </c>
      <c r="G272" s="69" t="s">
        <v>305</v>
      </c>
      <c r="H272" s="67">
        <v>0</v>
      </c>
      <c r="I272" s="67">
        <v>9</v>
      </c>
      <c r="J272" s="67" t="s">
        <v>151</v>
      </c>
      <c r="K272" s="67" t="s">
        <v>28</v>
      </c>
      <c r="L272" s="67" t="s">
        <v>3</v>
      </c>
      <c r="M272" s="67" t="s">
        <v>142</v>
      </c>
      <c r="N272" s="70">
        <v>1000</v>
      </c>
      <c r="O272" s="70">
        <v>0</v>
      </c>
      <c r="P272" s="70"/>
      <c r="Q272" s="98">
        <v>77</v>
      </c>
      <c r="R272" s="70">
        <v>0</v>
      </c>
      <c r="S272" s="70">
        <v>77</v>
      </c>
    </row>
    <row r="273" spans="1:19" s="56" customFormat="1">
      <c r="A273" s="67" t="s">
        <v>485</v>
      </c>
      <c r="B273" s="68" t="s">
        <v>486</v>
      </c>
      <c r="C273" s="67" t="s">
        <v>137</v>
      </c>
      <c r="D273" s="67" t="s">
        <v>138</v>
      </c>
      <c r="E273" s="67" t="s">
        <v>139</v>
      </c>
      <c r="F273" s="67" t="s">
        <v>140</v>
      </c>
      <c r="G273" s="69" t="s">
        <v>305</v>
      </c>
      <c r="H273" s="67">
        <v>0</v>
      </c>
      <c r="I273" s="67">
        <v>10</v>
      </c>
      <c r="J273" s="67" t="s">
        <v>148</v>
      </c>
      <c r="K273" s="67" t="s">
        <v>30</v>
      </c>
      <c r="L273" s="67" t="s">
        <v>3</v>
      </c>
      <c r="M273" s="67" t="s">
        <v>142</v>
      </c>
      <c r="N273" s="70">
        <v>1000</v>
      </c>
      <c r="O273" s="70">
        <v>1E-3</v>
      </c>
      <c r="P273" s="70"/>
      <c r="Q273" s="98">
        <v>12801</v>
      </c>
      <c r="R273" s="70">
        <v>12</v>
      </c>
      <c r="S273" s="70">
        <v>801</v>
      </c>
    </row>
    <row r="274" spans="1:19" s="56" customFormat="1">
      <c r="A274" s="67" t="s">
        <v>485</v>
      </c>
      <c r="B274" s="68" t="s">
        <v>486</v>
      </c>
      <c r="C274" s="67" t="s">
        <v>137</v>
      </c>
      <c r="D274" s="67" t="s">
        <v>138</v>
      </c>
      <c r="E274" s="67" t="s">
        <v>139</v>
      </c>
      <c r="F274" s="67" t="s">
        <v>140</v>
      </c>
      <c r="G274" s="69" t="s">
        <v>305</v>
      </c>
      <c r="H274" s="67">
        <v>0</v>
      </c>
      <c r="I274" s="67">
        <v>11</v>
      </c>
      <c r="J274" s="67" t="s">
        <v>146</v>
      </c>
      <c r="K274" s="67" t="s">
        <v>46</v>
      </c>
      <c r="L274" s="67" t="s">
        <v>3</v>
      </c>
      <c r="M274" s="67" t="s">
        <v>142</v>
      </c>
      <c r="N274" s="70">
        <v>1000</v>
      </c>
      <c r="O274" s="70">
        <v>1E-3</v>
      </c>
      <c r="P274" s="70"/>
      <c r="Q274" s="98">
        <v>17657</v>
      </c>
      <c r="R274" s="70">
        <v>17</v>
      </c>
      <c r="S274" s="70">
        <v>657</v>
      </c>
    </row>
    <row r="275" spans="1:19" s="56" customFormat="1">
      <c r="A275" s="67" t="s">
        <v>485</v>
      </c>
      <c r="B275" s="68" t="s">
        <v>486</v>
      </c>
      <c r="C275" s="67" t="s">
        <v>137</v>
      </c>
      <c r="D275" s="67" t="s">
        <v>138</v>
      </c>
      <c r="E275" s="67" t="s">
        <v>139</v>
      </c>
      <c r="F275" s="67" t="s">
        <v>140</v>
      </c>
      <c r="G275" s="69" t="s">
        <v>305</v>
      </c>
      <c r="H275" s="67">
        <v>0</v>
      </c>
      <c r="I275" s="67">
        <v>12</v>
      </c>
      <c r="J275" s="67" t="s">
        <v>314</v>
      </c>
      <c r="K275" s="67" t="s">
        <v>281</v>
      </c>
      <c r="L275" s="67" t="s">
        <v>3</v>
      </c>
      <c r="M275" s="67" t="s">
        <v>142</v>
      </c>
      <c r="N275" s="70">
        <v>1000</v>
      </c>
      <c r="O275" s="70">
        <v>1E-3</v>
      </c>
      <c r="P275" s="70"/>
      <c r="Q275" s="98">
        <v>240000</v>
      </c>
      <c r="R275" s="70">
        <v>240</v>
      </c>
      <c r="S275" s="70">
        <v>0</v>
      </c>
    </row>
    <row r="276" spans="1:19" s="56" customFormat="1">
      <c r="A276" s="67" t="s">
        <v>485</v>
      </c>
      <c r="B276" s="68" t="s">
        <v>486</v>
      </c>
      <c r="C276" s="67" t="s">
        <v>137</v>
      </c>
      <c r="D276" s="67" t="s">
        <v>138</v>
      </c>
      <c r="E276" s="67" t="s">
        <v>139</v>
      </c>
      <c r="F276" s="67" t="s">
        <v>153</v>
      </c>
      <c r="G276" s="69" t="s">
        <v>305</v>
      </c>
      <c r="H276" s="67">
        <v>0</v>
      </c>
      <c r="I276" s="67">
        <v>13</v>
      </c>
      <c r="J276" s="67" t="s">
        <v>154</v>
      </c>
      <c r="K276" s="67" t="s">
        <v>23</v>
      </c>
      <c r="L276" s="67" t="s">
        <v>3</v>
      </c>
      <c r="M276" s="67" t="s">
        <v>142</v>
      </c>
      <c r="N276" s="70">
        <v>1000</v>
      </c>
      <c r="O276" s="70">
        <v>3.202E-2</v>
      </c>
      <c r="P276" s="70"/>
      <c r="Q276" s="98">
        <v>100000</v>
      </c>
      <c r="R276" s="70">
        <v>100</v>
      </c>
      <c r="S276" s="70">
        <v>0</v>
      </c>
    </row>
    <row r="277" spans="1:19" s="56" customFormat="1">
      <c r="A277" s="67" t="s">
        <v>485</v>
      </c>
      <c r="B277" s="68" t="s">
        <v>486</v>
      </c>
      <c r="C277" s="67" t="s">
        <v>137</v>
      </c>
      <c r="D277" s="67" t="s">
        <v>138</v>
      </c>
      <c r="E277" s="67" t="s">
        <v>139</v>
      </c>
      <c r="F277" s="67" t="s">
        <v>153</v>
      </c>
      <c r="G277" s="69" t="s">
        <v>305</v>
      </c>
      <c r="H277" s="67">
        <v>0</v>
      </c>
      <c r="I277" s="67">
        <v>14</v>
      </c>
      <c r="J277" s="67" t="s">
        <v>155</v>
      </c>
      <c r="K277" s="67" t="s">
        <v>33</v>
      </c>
      <c r="L277" s="67" t="s">
        <v>3</v>
      </c>
      <c r="M277" s="67" t="s">
        <v>142</v>
      </c>
      <c r="N277" s="70">
        <v>1000</v>
      </c>
      <c r="O277" s="70">
        <v>1.3599999999999999E-2</v>
      </c>
      <c r="P277" s="70"/>
      <c r="Q277" s="98">
        <v>75000</v>
      </c>
      <c r="R277" s="70">
        <v>75</v>
      </c>
      <c r="S277" s="70">
        <v>0</v>
      </c>
    </row>
    <row r="278" spans="1:19" s="56" customFormat="1">
      <c r="A278" s="67" t="s">
        <v>485</v>
      </c>
      <c r="B278" s="68" t="s">
        <v>486</v>
      </c>
      <c r="C278" s="67" t="s">
        <v>137</v>
      </c>
      <c r="D278" s="67" t="s">
        <v>138</v>
      </c>
      <c r="E278" s="67" t="s">
        <v>139</v>
      </c>
      <c r="F278" s="67" t="s">
        <v>153</v>
      </c>
      <c r="G278" s="69" t="s">
        <v>305</v>
      </c>
      <c r="H278" s="67">
        <v>0</v>
      </c>
      <c r="I278" s="67">
        <v>15</v>
      </c>
      <c r="J278" s="67" t="s">
        <v>317</v>
      </c>
      <c r="K278" s="67" t="s">
        <v>17</v>
      </c>
      <c r="L278" s="67" t="s">
        <v>3</v>
      </c>
      <c r="M278" s="67" t="s">
        <v>142</v>
      </c>
      <c r="N278" s="70">
        <v>1000</v>
      </c>
      <c r="O278" s="70">
        <v>1E-3</v>
      </c>
      <c r="P278" s="70"/>
      <c r="Q278" s="98">
        <v>12000</v>
      </c>
      <c r="R278" s="70">
        <v>12</v>
      </c>
      <c r="S278" s="70">
        <v>0</v>
      </c>
    </row>
    <row r="279" spans="1:19" s="56" customFormat="1">
      <c r="A279" s="67" t="s">
        <v>485</v>
      </c>
      <c r="B279" s="68" t="s">
        <v>486</v>
      </c>
      <c r="C279" s="67" t="s">
        <v>137</v>
      </c>
      <c r="D279" s="67" t="s">
        <v>138</v>
      </c>
      <c r="E279" s="67" t="s">
        <v>139</v>
      </c>
      <c r="F279" s="67" t="s">
        <v>153</v>
      </c>
      <c r="G279" s="69" t="s">
        <v>305</v>
      </c>
      <c r="H279" s="67">
        <v>0</v>
      </c>
      <c r="I279" s="67">
        <v>16</v>
      </c>
      <c r="J279" s="67" t="s">
        <v>251</v>
      </c>
      <c r="K279" s="67" t="s">
        <v>249</v>
      </c>
      <c r="L279" s="67" t="s">
        <v>3</v>
      </c>
      <c r="M279" s="67" t="s">
        <v>142</v>
      </c>
      <c r="N279" s="70">
        <v>1000</v>
      </c>
      <c r="O279" s="70">
        <v>0</v>
      </c>
      <c r="P279" s="70"/>
      <c r="Q279" s="98">
        <v>15000</v>
      </c>
      <c r="R279" s="70">
        <v>15</v>
      </c>
      <c r="S279" s="70">
        <v>0</v>
      </c>
    </row>
    <row r="280" spans="1:19" s="56" customFormat="1">
      <c r="A280" s="67" t="s">
        <v>485</v>
      </c>
      <c r="B280" s="68" t="s">
        <v>486</v>
      </c>
      <c r="C280" s="67" t="s">
        <v>137</v>
      </c>
      <c r="D280" s="67" t="s">
        <v>138</v>
      </c>
      <c r="E280" s="67" t="s">
        <v>139</v>
      </c>
      <c r="F280" s="67" t="s">
        <v>153</v>
      </c>
      <c r="G280" s="69" t="s">
        <v>305</v>
      </c>
      <c r="H280" s="67">
        <v>0</v>
      </c>
      <c r="I280" s="67">
        <v>17</v>
      </c>
      <c r="J280" s="67" t="s">
        <v>168</v>
      </c>
      <c r="K280" s="67" t="s">
        <v>34</v>
      </c>
      <c r="L280" s="67" t="s">
        <v>3</v>
      </c>
      <c r="M280" s="67" t="s">
        <v>142</v>
      </c>
      <c r="N280" s="70">
        <v>1000</v>
      </c>
      <c r="O280" s="70">
        <v>1E-3</v>
      </c>
      <c r="P280" s="70"/>
      <c r="Q280" s="98">
        <v>2100</v>
      </c>
      <c r="R280" s="70">
        <v>2</v>
      </c>
      <c r="S280" s="70">
        <v>100</v>
      </c>
    </row>
    <row r="281" spans="1:19" s="56" customFormat="1">
      <c r="A281" s="67" t="s">
        <v>485</v>
      </c>
      <c r="B281" s="68" t="s">
        <v>486</v>
      </c>
      <c r="C281" s="67" t="s">
        <v>137</v>
      </c>
      <c r="D281" s="67" t="s">
        <v>138</v>
      </c>
      <c r="E281" s="67" t="s">
        <v>139</v>
      </c>
      <c r="F281" s="67" t="s">
        <v>153</v>
      </c>
      <c r="G281" s="69" t="s">
        <v>305</v>
      </c>
      <c r="H281" s="67">
        <v>0</v>
      </c>
      <c r="I281" s="67">
        <v>18</v>
      </c>
      <c r="J281" s="67" t="s">
        <v>315</v>
      </c>
      <c r="K281" s="67" t="s">
        <v>47</v>
      </c>
      <c r="L281" s="67" t="s">
        <v>3</v>
      </c>
      <c r="M281" s="67" t="s">
        <v>142</v>
      </c>
      <c r="N281" s="70">
        <v>1000</v>
      </c>
      <c r="O281" s="70">
        <v>1E-3</v>
      </c>
      <c r="P281" s="70"/>
      <c r="Q281" s="98">
        <v>2000</v>
      </c>
      <c r="R281" s="70">
        <v>2</v>
      </c>
      <c r="S281" s="70">
        <v>0</v>
      </c>
    </row>
    <row r="282" spans="1:19" s="56" customFormat="1">
      <c r="A282" s="67" t="s">
        <v>485</v>
      </c>
      <c r="B282" s="68" t="s">
        <v>486</v>
      </c>
      <c r="C282" s="67" t="s">
        <v>137</v>
      </c>
      <c r="D282" s="67" t="s">
        <v>138</v>
      </c>
      <c r="E282" s="67" t="s">
        <v>139</v>
      </c>
      <c r="F282" s="67" t="s">
        <v>153</v>
      </c>
      <c r="G282" s="69" t="s">
        <v>305</v>
      </c>
      <c r="H282" s="67">
        <v>0</v>
      </c>
      <c r="I282" s="67">
        <v>20</v>
      </c>
      <c r="J282" s="67" t="s">
        <v>246</v>
      </c>
      <c r="K282" s="67" t="s">
        <v>7</v>
      </c>
      <c r="L282" s="67" t="s">
        <v>3</v>
      </c>
      <c r="M282" s="67" t="s">
        <v>142</v>
      </c>
      <c r="N282" s="70">
        <v>1000</v>
      </c>
      <c r="O282" s="70">
        <v>1E-3</v>
      </c>
      <c r="P282" s="70"/>
      <c r="Q282" s="98">
        <v>4000</v>
      </c>
      <c r="R282" s="70">
        <v>4</v>
      </c>
      <c r="S282" s="70">
        <v>0</v>
      </c>
    </row>
    <row r="283" spans="1:19" s="56" customFormat="1">
      <c r="A283" s="67" t="s">
        <v>485</v>
      </c>
      <c r="B283" s="68" t="s">
        <v>486</v>
      </c>
      <c r="C283" s="67" t="s">
        <v>137</v>
      </c>
      <c r="D283" s="67" t="s">
        <v>138</v>
      </c>
      <c r="E283" s="67" t="s">
        <v>139</v>
      </c>
      <c r="F283" s="67" t="s">
        <v>153</v>
      </c>
      <c r="G283" s="69" t="s">
        <v>305</v>
      </c>
      <c r="H283" s="67">
        <v>0</v>
      </c>
      <c r="I283" s="67">
        <v>21</v>
      </c>
      <c r="J283" s="67" t="s">
        <v>247</v>
      </c>
      <c r="K283" s="67" t="s">
        <v>79</v>
      </c>
      <c r="L283" s="67" t="s">
        <v>3</v>
      </c>
      <c r="M283" s="67" t="s">
        <v>142</v>
      </c>
      <c r="N283" s="70">
        <v>1000</v>
      </c>
      <c r="O283" s="70">
        <v>1E-3</v>
      </c>
      <c r="P283" s="70"/>
      <c r="Q283" s="98">
        <v>4000</v>
      </c>
      <c r="R283" s="70">
        <v>4</v>
      </c>
      <c r="S283" s="70">
        <v>0</v>
      </c>
    </row>
    <row r="284" spans="1:19" s="56" customFormat="1">
      <c r="A284" s="67" t="s">
        <v>485</v>
      </c>
      <c r="B284" s="68" t="s">
        <v>486</v>
      </c>
      <c r="C284" s="67" t="s">
        <v>137</v>
      </c>
      <c r="D284" s="67" t="s">
        <v>138</v>
      </c>
      <c r="E284" s="67" t="s">
        <v>139</v>
      </c>
      <c r="F284" s="67" t="s">
        <v>153</v>
      </c>
      <c r="G284" s="69" t="s">
        <v>305</v>
      </c>
      <c r="H284" s="67">
        <v>0</v>
      </c>
      <c r="I284" s="67">
        <v>22</v>
      </c>
      <c r="J284" s="67" t="s">
        <v>172</v>
      </c>
      <c r="K284" s="67" t="s">
        <v>8</v>
      </c>
      <c r="L284" s="67" t="s">
        <v>3</v>
      </c>
      <c r="M284" s="67" t="s">
        <v>142</v>
      </c>
      <c r="N284" s="70">
        <v>1000</v>
      </c>
      <c r="O284" s="70">
        <v>1E-3</v>
      </c>
      <c r="P284" s="70"/>
      <c r="Q284" s="98">
        <v>457</v>
      </c>
      <c r="R284" s="70">
        <v>0</v>
      </c>
      <c r="S284" s="70">
        <v>457</v>
      </c>
    </row>
    <row r="285" spans="1:19" s="56" customFormat="1">
      <c r="A285" s="67" t="s">
        <v>485</v>
      </c>
      <c r="B285" s="68" t="s">
        <v>486</v>
      </c>
      <c r="C285" s="67" t="s">
        <v>137</v>
      </c>
      <c r="D285" s="67" t="s">
        <v>138</v>
      </c>
      <c r="E285" s="67" t="s">
        <v>139</v>
      </c>
      <c r="F285" s="67" t="s">
        <v>153</v>
      </c>
      <c r="G285" s="69" t="s">
        <v>305</v>
      </c>
      <c r="H285" s="67">
        <v>0</v>
      </c>
      <c r="I285" s="67">
        <v>23</v>
      </c>
      <c r="J285" s="67" t="s">
        <v>173</v>
      </c>
      <c r="K285" s="67" t="s">
        <v>9</v>
      </c>
      <c r="L285" s="67" t="s">
        <v>3</v>
      </c>
      <c r="M285" s="67" t="s">
        <v>142</v>
      </c>
      <c r="N285" s="70">
        <v>1000</v>
      </c>
      <c r="O285" s="70">
        <v>1E-3</v>
      </c>
      <c r="P285" s="70"/>
      <c r="Q285" s="98">
        <v>276</v>
      </c>
      <c r="R285" s="70">
        <v>0</v>
      </c>
      <c r="S285" s="70">
        <v>276</v>
      </c>
    </row>
    <row r="286" spans="1:19" s="56" customFormat="1">
      <c r="A286" s="67" t="s">
        <v>485</v>
      </c>
      <c r="B286" s="68" t="s">
        <v>486</v>
      </c>
      <c r="C286" s="67" t="s">
        <v>137</v>
      </c>
      <c r="D286" s="67" t="s">
        <v>138</v>
      </c>
      <c r="E286" s="67" t="s">
        <v>139</v>
      </c>
      <c r="F286" s="67" t="s">
        <v>153</v>
      </c>
      <c r="G286" s="69" t="s">
        <v>305</v>
      </c>
      <c r="H286" s="67">
        <v>0</v>
      </c>
      <c r="I286" s="67">
        <v>24</v>
      </c>
      <c r="J286" s="67" t="s">
        <v>174</v>
      </c>
      <c r="K286" s="67" t="s">
        <v>13</v>
      </c>
      <c r="L286" s="67" t="s">
        <v>3</v>
      </c>
      <c r="M286" s="67" t="s">
        <v>142</v>
      </c>
      <c r="N286" s="70">
        <v>1000</v>
      </c>
      <c r="O286" s="70">
        <v>1E-3</v>
      </c>
      <c r="P286" s="70"/>
      <c r="Q286" s="98">
        <v>587</v>
      </c>
      <c r="R286" s="70">
        <v>0</v>
      </c>
      <c r="S286" s="70">
        <v>587</v>
      </c>
    </row>
    <row r="287" spans="1:19" s="56" customFormat="1">
      <c r="A287" s="67" t="s">
        <v>485</v>
      </c>
      <c r="B287" s="68" t="s">
        <v>486</v>
      </c>
      <c r="C287" s="67" t="s">
        <v>137</v>
      </c>
      <c r="D287" s="67" t="s">
        <v>138</v>
      </c>
      <c r="E287" s="67" t="s">
        <v>139</v>
      </c>
      <c r="F287" s="67" t="s">
        <v>166</v>
      </c>
      <c r="G287" s="69" t="s">
        <v>305</v>
      </c>
      <c r="H287" s="67">
        <v>0</v>
      </c>
      <c r="I287" s="67">
        <v>25</v>
      </c>
      <c r="J287" s="67" t="s">
        <v>175</v>
      </c>
      <c r="K287" s="67" t="s">
        <v>66</v>
      </c>
      <c r="L287" s="67" t="s">
        <v>3</v>
      </c>
      <c r="M287" s="67" t="s">
        <v>142</v>
      </c>
      <c r="N287" s="70">
        <v>1000</v>
      </c>
      <c r="O287" s="70">
        <v>6.2E-2</v>
      </c>
      <c r="P287" s="70"/>
      <c r="Q287" s="98">
        <v>80000</v>
      </c>
      <c r="R287" s="70">
        <v>80</v>
      </c>
      <c r="S287" s="70">
        <v>0</v>
      </c>
    </row>
    <row r="288" spans="1:19" s="56" customFormat="1">
      <c r="A288" s="67" t="s">
        <v>485</v>
      </c>
      <c r="B288" s="68" t="s">
        <v>486</v>
      </c>
      <c r="C288" s="67" t="s">
        <v>137</v>
      </c>
      <c r="D288" s="67" t="s">
        <v>138</v>
      </c>
      <c r="E288" s="67" t="s">
        <v>139</v>
      </c>
      <c r="F288" s="67" t="s">
        <v>162</v>
      </c>
      <c r="G288" s="69" t="s">
        <v>305</v>
      </c>
      <c r="H288" s="67">
        <v>0</v>
      </c>
      <c r="I288" s="67">
        <v>26</v>
      </c>
      <c r="J288" s="67" t="s">
        <v>234</v>
      </c>
      <c r="K288" s="67" t="s">
        <v>233</v>
      </c>
      <c r="L288" s="67" t="s">
        <v>3</v>
      </c>
      <c r="M288" s="67" t="s">
        <v>142</v>
      </c>
      <c r="N288" s="70">
        <v>1000</v>
      </c>
      <c r="O288" s="70">
        <v>5.6</v>
      </c>
      <c r="P288" s="70"/>
      <c r="Q288" s="98">
        <v>375000</v>
      </c>
      <c r="R288" s="70">
        <v>375</v>
      </c>
      <c r="S288" s="70">
        <v>0</v>
      </c>
    </row>
    <row r="289" spans="1:19" s="56" customFormat="1">
      <c r="A289" s="67" t="s">
        <v>485</v>
      </c>
      <c r="B289" s="68" t="s">
        <v>486</v>
      </c>
      <c r="C289" s="67" t="s">
        <v>137</v>
      </c>
      <c r="D289" s="67" t="s">
        <v>138</v>
      </c>
      <c r="E289" s="67" t="s">
        <v>139</v>
      </c>
      <c r="F289" s="67" t="s">
        <v>162</v>
      </c>
      <c r="G289" s="69" t="s">
        <v>305</v>
      </c>
      <c r="H289" s="67">
        <v>0</v>
      </c>
      <c r="I289" s="67">
        <v>27</v>
      </c>
      <c r="J289" s="67" t="s">
        <v>262</v>
      </c>
      <c r="K289" s="67" t="s">
        <v>258</v>
      </c>
      <c r="L289" s="67" t="s">
        <v>3</v>
      </c>
      <c r="M289" s="67" t="s">
        <v>142</v>
      </c>
      <c r="N289" s="70">
        <v>1000</v>
      </c>
      <c r="O289" s="70">
        <v>1E-3</v>
      </c>
      <c r="P289" s="70"/>
      <c r="Q289" s="98">
        <v>13000</v>
      </c>
      <c r="R289" s="70">
        <v>13</v>
      </c>
      <c r="S289" s="70">
        <v>0</v>
      </c>
    </row>
    <row r="290" spans="1:19" s="56" customFormat="1">
      <c r="A290" s="67" t="s">
        <v>485</v>
      </c>
      <c r="B290" s="68" t="s">
        <v>486</v>
      </c>
      <c r="C290" s="67" t="s">
        <v>137</v>
      </c>
      <c r="D290" s="67" t="s">
        <v>138</v>
      </c>
      <c r="E290" s="67" t="s">
        <v>139</v>
      </c>
      <c r="F290" s="67" t="s">
        <v>162</v>
      </c>
      <c r="G290" s="69" t="s">
        <v>305</v>
      </c>
      <c r="H290" s="67">
        <v>0</v>
      </c>
      <c r="I290" s="67">
        <v>28</v>
      </c>
      <c r="J290" s="67" t="s">
        <v>263</v>
      </c>
      <c r="K290" s="67" t="s">
        <v>259</v>
      </c>
      <c r="L290" s="67" t="s">
        <v>3</v>
      </c>
      <c r="M290" s="67" t="s">
        <v>142</v>
      </c>
      <c r="N290" s="70">
        <v>1000</v>
      </c>
      <c r="O290" s="70">
        <v>1E-3</v>
      </c>
      <c r="P290" s="70"/>
      <c r="Q290" s="98">
        <v>12000</v>
      </c>
      <c r="R290" s="70">
        <v>12</v>
      </c>
      <c r="S290" s="70">
        <v>0</v>
      </c>
    </row>
    <row r="291" spans="1:19" s="56" customFormat="1">
      <c r="A291" s="67" t="s">
        <v>485</v>
      </c>
      <c r="B291" s="68" t="s">
        <v>486</v>
      </c>
      <c r="C291" s="67" t="s">
        <v>137</v>
      </c>
      <c r="D291" s="67" t="s">
        <v>138</v>
      </c>
      <c r="E291" s="67" t="s">
        <v>139</v>
      </c>
      <c r="F291" s="67" t="s">
        <v>162</v>
      </c>
      <c r="G291" s="69" t="s">
        <v>305</v>
      </c>
      <c r="H291" s="67">
        <v>0</v>
      </c>
      <c r="I291" s="67">
        <v>29</v>
      </c>
      <c r="J291" s="67" t="s">
        <v>163</v>
      </c>
      <c r="K291" s="67" t="s">
        <v>14</v>
      </c>
      <c r="L291" s="67" t="s">
        <v>3</v>
      </c>
      <c r="M291" s="67" t="s">
        <v>142</v>
      </c>
      <c r="N291" s="70">
        <v>1000</v>
      </c>
      <c r="O291" s="70">
        <v>1E-3</v>
      </c>
      <c r="P291" s="70"/>
      <c r="Q291" s="98">
        <v>30000</v>
      </c>
      <c r="R291" s="70">
        <v>30</v>
      </c>
      <c r="S291" s="70">
        <v>0</v>
      </c>
    </row>
    <row r="292" spans="1:19" s="56" customFormat="1">
      <c r="A292" s="67" t="s">
        <v>485</v>
      </c>
      <c r="B292" s="68" t="s">
        <v>486</v>
      </c>
      <c r="C292" s="67" t="s">
        <v>137</v>
      </c>
      <c r="D292" s="67" t="s">
        <v>138</v>
      </c>
      <c r="E292" s="67" t="s">
        <v>139</v>
      </c>
      <c r="F292" s="67" t="s">
        <v>162</v>
      </c>
      <c r="G292" s="69" t="s">
        <v>305</v>
      </c>
      <c r="H292" s="67">
        <v>0</v>
      </c>
      <c r="I292" s="67">
        <v>30</v>
      </c>
      <c r="J292" s="67" t="s">
        <v>164</v>
      </c>
      <c r="K292" s="67" t="s">
        <v>74</v>
      </c>
      <c r="L292" s="67" t="s">
        <v>5</v>
      </c>
      <c r="M292" s="67" t="s">
        <v>142</v>
      </c>
      <c r="N292" s="70">
        <v>1000</v>
      </c>
      <c r="O292" s="70">
        <v>1E-3</v>
      </c>
      <c r="P292" s="70"/>
      <c r="Q292" s="98">
        <v>15000</v>
      </c>
      <c r="R292" s="70">
        <v>15</v>
      </c>
      <c r="S292" s="70">
        <v>0</v>
      </c>
    </row>
    <row r="293" spans="1:19" s="56" customFormat="1">
      <c r="A293" s="67" t="s">
        <v>485</v>
      </c>
      <c r="B293" s="68" t="s">
        <v>486</v>
      </c>
      <c r="C293" s="67" t="s">
        <v>137</v>
      </c>
      <c r="D293" s="67" t="s">
        <v>138</v>
      </c>
      <c r="E293" s="67" t="s">
        <v>139</v>
      </c>
      <c r="F293" s="67" t="s">
        <v>162</v>
      </c>
      <c r="G293" s="69" t="s">
        <v>305</v>
      </c>
      <c r="H293" s="67">
        <v>0</v>
      </c>
      <c r="I293" s="67">
        <v>31</v>
      </c>
      <c r="J293" s="67" t="s">
        <v>165</v>
      </c>
      <c r="K293" s="67" t="s">
        <v>80</v>
      </c>
      <c r="L293" s="67" t="s">
        <v>3</v>
      </c>
      <c r="M293" s="67" t="s">
        <v>142</v>
      </c>
      <c r="N293" s="70">
        <v>1000</v>
      </c>
      <c r="O293" s="70">
        <v>1E-3</v>
      </c>
      <c r="P293" s="70"/>
      <c r="Q293" s="98">
        <v>50</v>
      </c>
      <c r="R293" s="70">
        <v>0</v>
      </c>
      <c r="S293" s="70">
        <v>50</v>
      </c>
    </row>
    <row r="294" spans="1:19" s="56" customFormat="1">
      <c r="A294" s="67" t="s">
        <v>485</v>
      </c>
      <c r="B294" s="68" t="s">
        <v>486</v>
      </c>
      <c r="C294" s="67" t="s">
        <v>137</v>
      </c>
      <c r="D294" s="67" t="s">
        <v>138</v>
      </c>
      <c r="E294" s="67" t="s">
        <v>139</v>
      </c>
      <c r="F294" s="67" t="s">
        <v>140</v>
      </c>
      <c r="G294" s="69" t="s">
        <v>305</v>
      </c>
      <c r="H294" s="67">
        <v>0</v>
      </c>
      <c r="I294" s="67">
        <v>32</v>
      </c>
      <c r="J294" s="67" t="s">
        <v>152</v>
      </c>
      <c r="K294" s="67" t="s">
        <v>57</v>
      </c>
      <c r="L294" s="67" t="s">
        <v>3</v>
      </c>
      <c r="M294" s="67" t="s">
        <v>142</v>
      </c>
      <c r="N294" s="70">
        <v>1000</v>
      </c>
      <c r="O294" s="70">
        <v>16</v>
      </c>
      <c r="P294" s="70"/>
      <c r="Q294" s="98">
        <v>100000</v>
      </c>
      <c r="R294" s="70">
        <v>100</v>
      </c>
      <c r="S294" s="70">
        <v>0</v>
      </c>
    </row>
    <row r="295" spans="1:19" s="56" customFormat="1">
      <c r="A295" s="67" t="s">
        <v>487</v>
      </c>
      <c r="B295" s="68" t="s">
        <v>488</v>
      </c>
      <c r="C295" s="67" t="s">
        <v>137</v>
      </c>
      <c r="D295" s="67" t="s">
        <v>138</v>
      </c>
      <c r="E295" s="67" t="s">
        <v>139</v>
      </c>
      <c r="F295" s="67" t="s">
        <v>140</v>
      </c>
      <c r="G295" s="69" t="s">
        <v>305</v>
      </c>
      <c r="H295" s="67">
        <v>0</v>
      </c>
      <c r="I295" s="67">
        <v>1</v>
      </c>
      <c r="J295" s="67" t="s">
        <v>141</v>
      </c>
      <c r="K295" s="67" t="s">
        <v>37</v>
      </c>
      <c r="L295" s="67" t="s">
        <v>3</v>
      </c>
      <c r="M295" s="67" t="s">
        <v>142</v>
      </c>
      <c r="N295" s="70">
        <v>1000</v>
      </c>
      <c r="O295" s="70">
        <v>200</v>
      </c>
      <c r="P295" s="70"/>
      <c r="Q295" s="98">
        <v>8469</v>
      </c>
      <c r="R295" s="70">
        <v>8</v>
      </c>
      <c r="S295" s="70">
        <v>469</v>
      </c>
    </row>
    <row r="296" spans="1:19" s="56" customFormat="1">
      <c r="A296" s="67" t="s">
        <v>487</v>
      </c>
      <c r="B296" s="68" t="s">
        <v>488</v>
      </c>
      <c r="C296" s="67" t="s">
        <v>137</v>
      </c>
      <c r="D296" s="67" t="s">
        <v>138</v>
      </c>
      <c r="E296" s="67" t="s">
        <v>139</v>
      </c>
      <c r="F296" s="67" t="s">
        <v>140</v>
      </c>
      <c r="G296" s="69" t="s">
        <v>305</v>
      </c>
      <c r="H296" s="67">
        <v>0</v>
      </c>
      <c r="I296" s="67">
        <v>2</v>
      </c>
      <c r="J296" s="67" t="s">
        <v>346</v>
      </c>
      <c r="K296" s="67" t="s">
        <v>343</v>
      </c>
      <c r="L296" s="67" t="s">
        <v>3</v>
      </c>
      <c r="M296" s="67" t="s">
        <v>142</v>
      </c>
      <c r="N296" s="70">
        <v>1000</v>
      </c>
      <c r="O296" s="70">
        <v>1E-3</v>
      </c>
      <c r="P296" s="70"/>
      <c r="Q296" s="98">
        <v>18590</v>
      </c>
      <c r="R296" s="70">
        <v>18</v>
      </c>
      <c r="S296" s="70">
        <v>590</v>
      </c>
    </row>
    <row r="297" spans="1:19" s="56" customFormat="1">
      <c r="A297" s="67" t="s">
        <v>487</v>
      </c>
      <c r="B297" s="68" t="s">
        <v>488</v>
      </c>
      <c r="C297" s="67" t="s">
        <v>137</v>
      </c>
      <c r="D297" s="67" t="s">
        <v>138</v>
      </c>
      <c r="E297" s="67" t="s">
        <v>139</v>
      </c>
      <c r="F297" s="67" t="s">
        <v>140</v>
      </c>
      <c r="G297" s="69" t="s">
        <v>305</v>
      </c>
      <c r="H297" s="67">
        <v>0</v>
      </c>
      <c r="I297" s="67">
        <v>3</v>
      </c>
      <c r="J297" s="67" t="s">
        <v>169</v>
      </c>
      <c r="K297" s="67" t="s">
        <v>64</v>
      </c>
      <c r="L297" s="67" t="s">
        <v>3</v>
      </c>
      <c r="M297" s="67" t="s">
        <v>142</v>
      </c>
      <c r="N297" s="70">
        <v>1000</v>
      </c>
      <c r="O297" s="70">
        <v>1E-3</v>
      </c>
      <c r="P297" s="70"/>
      <c r="Q297" s="98">
        <v>92</v>
      </c>
      <c r="R297" s="70">
        <v>0</v>
      </c>
      <c r="S297" s="70">
        <v>92</v>
      </c>
    </row>
    <row r="298" spans="1:19" s="56" customFormat="1">
      <c r="A298" s="67" t="s">
        <v>487</v>
      </c>
      <c r="B298" s="68" t="s">
        <v>488</v>
      </c>
      <c r="C298" s="67" t="s">
        <v>137</v>
      </c>
      <c r="D298" s="67" t="s">
        <v>138</v>
      </c>
      <c r="E298" s="67" t="s">
        <v>139</v>
      </c>
      <c r="F298" s="67" t="s">
        <v>140</v>
      </c>
      <c r="G298" s="69" t="s">
        <v>305</v>
      </c>
      <c r="H298" s="67">
        <v>0</v>
      </c>
      <c r="I298" s="67">
        <v>4</v>
      </c>
      <c r="J298" s="67" t="s">
        <v>250</v>
      </c>
      <c r="K298" s="67" t="s">
        <v>38</v>
      </c>
      <c r="L298" s="67" t="s">
        <v>3</v>
      </c>
      <c r="M298" s="67" t="s">
        <v>142</v>
      </c>
      <c r="N298" s="70">
        <v>1000</v>
      </c>
      <c r="O298" s="70">
        <v>1E-3</v>
      </c>
      <c r="P298" s="70"/>
      <c r="Q298" s="98">
        <v>136</v>
      </c>
      <c r="R298" s="70">
        <v>0</v>
      </c>
      <c r="S298" s="70">
        <v>136</v>
      </c>
    </row>
    <row r="299" spans="1:19" s="56" customFormat="1">
      <c r="A299" s="67" t="s">
        <v>487</v>
      </c>
      <c r="B299" s="68" t="s">
        <v>488</v>
      </c>
      <c r="C299" s="67" t="s">
        <v>137</v>
      </c>
      <c r="D299" s="67" t="s">
        <v>138</v>
      </c>
      <c r="E299" s="67" t="s">
        <v>139</v>
      </c>
      <c r="F299" s="67" t="s">
        <v>140</v>
      </c>
      <c r="G299" s="69" t="s">
        <v>305</v>
      </c>
      <c r="H299" s="67">
        <v>0</v>
      </c>
      <c r="I299" s="67">
        <v>5</v>
      </c>
      <c r="J299" s="67" t="s">
        <v>144</v>
      </c>
      <c r="K299" s="67" t="s">
        <v>26</v>
      </c>
      <c r="L299" s="67" t="s">
        <v>3</v>
      </c>
      <c r="M299" s="67" t="s">
        <v>142</v>
      </c>
      <c r="N299" s="70">
        <v>1000</v>
      </c>
      <c r="O299" s="70">
        <v>1E-3</v>
      </c>
      <c r="P299" s="70"/>
      <c r="Q299" s="98">
        <v>9450</v>
      </c>
      <c r="R299" s="70">
        <v>9</v>
      </c>
      <c r="S299" s="70">
        <v>450</v>
      </c>
    </row>
    <row r="300" spans="1:19" s="56" customFormat="1">
      <c r="A300" s="67" t="s">
        <v>487</v>
      </c>
      <c r="B300" s="68" t="s">
        <v>488</v>
      </c>
      <c r="C300" s="67" t="s">
        <v>137</v>
      </c>
      <c r="D300" s="67" t="s">
        <v>138</v>
      </c>
      <c r="E300" s="67" t="s">
        <v>139</v>
      </c>
      <c r="F300" s="67" t="s">
        <v>140</v>
      </c>
      <c r="G300" s="69" t="s">
        <v>305</v>
      </c>
      <c r="H300" s="67">
        <v>0</v>
      </c>
      <c r="I300" s="67">
        <v>6</v>
      </c>
      <c r="J300" s="67" t="s">
        <v>145</v>
      </c>
      <c r="K300" s="67" t="s">
        <v>27</v>
      </c>
      <c r="L300" s="67" t="s">
        <v>3</v>
      </c>
      <c r="M300" s="67" t="s">
        <v>142</v>
      </c>
      <c r="N300" s="70">
        <v>1000</v>
      </c>
      <c r="O300" s="70">
        <v>1E-3</v>
      </c>
      <c r="P300" s="70"/>
      <c r="Q300" s="98">
        <v>5143</v>
      </c>
      <c r="R300" s="70">
        <v>5</v>
      </c>
      <c r="S300" s="70">
        <v>143</v>
      </c>
    </row>
    <row r="301" spans="1:19" s="56" customFormat="1">
      <c r="A301" s="67" t="s">
        <v>487</v>
      </c>
      <c r="B301" s="68" t="s">
        <v>488</v>
      </c>
      <c r="C301" s="67" t="s">
        <v>137</v>
      </c>
      <c r="D301" s="67" t="s">
        <v>138</v>
      </c>
      <c r="E301" s="67" t="s">
        <v>139</v>
      </c>
      <c r="F301" s="67" t="s">
        <v>140</v>
      </c>
      <c r="G301" s="69" t="s">
        <v>305</v>
      </c>
      <c r="H301" s="67">
        <v>0</v>
      </c>
      <c r="I301" s="67">
        <v>7</v>
      </c>
      <c r="J301" s="67" t="s">
        <v>376</v>
      </c>
      <c r="K301" s="67" t="s">
        <v>11</v>
      </c>
      <c r="L301" s="67" t="s">
        <v>3</v>
      </c>
      <c r="M301" s="67" t="s">
        <v>142</v>
      </c>
      <c r="N301" s="70">
        <v>1000</v>
      </c>
      <c r="O301" s="70">
        <v>1E-3</v>
      </c>
      <c r="P301" s="70"/>
      <c r="Q301" s="98">
        <v>22</v>
      </c>
      <c r="R301" s="70">
        <v>0</v>
      </c>
      <c r="S301" s="70">
        <v>22</v>
      </c>
    </row>
    <row r="302" spans="1:19" s="56" customFormat="1">
      <c r="A302" s="67" t="s">
        <v>487</v>
      </c>
      <c r="B302" s="68" t="s">
        <v>488</v>
      </c>
      <c r="C302" s="67" t="s">
        <v>137</v>
      </c>
      <c r="D302" s="67" t="s">
        <v>138</v>
      </c>
      <c r="E302" s="67" t="s">
        <v>139</v>
      </c>
      <c r="F302" s="67" t="s">
        <v>140</v>
      </c>
      <c r="G302" s="69" t="s">
        <v>305</v>
      </c>
      <c r="H302" s="67">
        <v>0</v>
      </c>
      <c r="I302" s="67">
        <v>8</v>
      </c>
      <c r="J302" s="67" t="s">
        <v>489</v>
      </c>
      <c r="K302" s="67" t="s">
        <v>490</v>
      </c>
      <c r="L302" s="67" t="s">
        <v>3</v>
      </c>
      <c r="M302" s="67" t="s">
        <v>142</v>
      </c>
      <c r="N302" s="70">
        <v>1000</v>
      </c>
      <c r="O302" s="70">
        <v>1E-3</v>
      </c>
      <c r="P302" s="70"/>
      <c r="Q302" s="98">
        <v>82</v>
      </c>
      <c r="R302" s="70">
        <v>0</v>
      </c>
      <c r="S302" s="70">
        <v>82</v>
      </c>
    </row>
    <row r="303" spans="1:19" s="56" customFormat="1">
      <c r="A303" s="67" t="s">
        <v>487</v>
      </c>
      <c r="B303" s="68" t="s">
        <v>488</v>
      </c>
      <c r="C303" s="67" t="s">
        <v>137</v>
      </c>
      <c r="D303" s="67" t="s">
        <v>138</v>
      </c>
      <c r="E303" s="67" t="s">
        <v>139</v>
      </c>
      <c r="F303" s="67" t="s">
        <v>140</v>
      </c>
      <c r="G303" s="69" t="s">
        <v>305</v>
      </c>
      <c r="H303" s="67">
        <v>0</v>
      </c>
      <c r="I303" s="67">
        <v>9</v>
      </c>
      <c r="J303" s="67" t="s">
        <v>171</v>
      </c>
      <c r="K303" s="67" t="s">
        <v>102</v>
      </c>
      <c r="L303" s="67" t="s">
        <v>3</v>
      </c>
      <c r="M303" s="67" t="s">
        <v>142</v>
      </c>
      <c r="N303" s="70">
        <v>1000</v>
      </c>
      <c r="O303" s="70">
        <v>1E-3</v>
      </c>
      <c r="P303" s="70"/>
      <c r="Q303" s="98">
        <v>13</v>
      </c>
      <c r="R303" s="70">
        <v>0</v>
      </c>
      <c r="S303" s="70">
        <v>13</v>
      </c>
    </row>
    <row r="304" spans="1:19" s="56" customFormat="1">
      <c r="A304" s="67" t="s">
        <v>487</v>
      </c>
      <c r="B304" s="68" t="s">
        <v>488</v>
      </c>
      <c r="C304" s="67" t="s">
        <v>137</v>
      </c>
      <c r="D304" s="67" t="s">
        <v>138</v>
      </c>
      <c r="E304" s="67" t="s">
        <v>139</v>
      </c>
      <c r="F304" s="67" t="s">
        <v>140</v>
      </c>
      <c r="G304" s="69" t="s">
        <v>305</v>
      </c>
      <c r="H304" s="67">
        <v>0</v>
      </c>
      <c r="I304" s="67">
        <v>10</v>
      </c>
      <c r="J304" s="67" t="s">
        <v>146</v>
      </c>
      <c r="K304" s="67" t="s">
        <v>46</v>
      </c>
      <c r="L304" s="67" t="s">
        <v>3</v>
      </c>
      <c r="M304" s="67" t="s">
        <v>142</v>
      </c>
      <c r="N304" s="70">
        <v>1000</v>
      </c>
      <c r="O304" s="70">
        <v>1E-3</v>
      </c>
      <c r="P304" s="70"/>
      <c r="Q304" s="98">
        <v>4908</v>
      </c>
      <c r="R304" s="70">
        <v>4</v>
      </c>
      <c r="S304" s="70">
        <v>908</v>
      </c>
    </row>
    <row r="305" spans="1:19" s="56" customFormat="1">
      <c r="A305" s="67" t="s">
        <v>487</v>
      </c>
      <c r="B305" s="68" t="s">
        <v>488</v>
      </c>
      <c r="C305" s="67" t="s">
        <v>137</v>
      </c>
      <c r="D305" s="67" t="s">
        <v>138</v>
      </c>
      <c r="E305" s="67" t="s">
        <v>139</v>
      </c>
      <c r="F305" s="67" t="s">
        <v>140</v>
      </c>
      <c r="G305" s="69" t="s">
        <v>305</v>
      </c>
      <c r="H305" s="67">
        <v>0</v>
      </c>
      <c r="I305" s="67">
        <v>11</v>
      </c>
      <c r="J305" s="67" t="s">
        <v>147</v>
      </c>
      <c r="K305" s="67" t="s">
        <v>41</v>
      </c>
      <c r="L305" s="67" t="s">
        <v>3</v>
      </c>
      <c r="M305" s="67" t="s">
        <v>142</v>
      </c>
      <c r="N305" s="70">
        <v>1000</v>
      </c>
      <c r="O305" s="70">
        <v>1E-3</v>
      </c>
      <c r="P305" s="70"/>
      <c r="Q305" s="98">
        <v>16924</v>
      </c>
      <c r="R305" s="70">
        <v>16</v>
      </c>
      <c r="S305" s="70">
        <v>924</v>
      </c>
    </row>
    <row r="306" spans="1:19" s="56" customFormat="1">
      <c r="A306" s="67" t="s">
        <v>487</v>
      </c>
      <c r="B306" s="68" t="s">
        <v>488</v>
      </c>
      <c r="C306" s="67" t="s">
        <v>137</v>
      </c>
      <c r="D306" s="67" t="s">
        <v>138</v>
      </c>
      <c r="E306" s="67" t="s">
        <v>139</v>
      </c>
      <c r="F306" s="67" t="s">
        <v>140</v>
      </c>
      <c r="G306" s="69" t="s">
        <v>305</v>
      </c>
      <c r="H306" s="67">
        <v>0</v>
      </c>
      <c r="I306" s="67">
        <v>12</v>
      </c>
      <c r="J306" s="67" t="s">
        <v>151</v>
      </c>
      <c r="K306" s="67" t="s">
        <v>28</v>
      </c>
      <c r="L306" s="67" t="s">
        <v>3</v>
      </c>
      <c r="M306" s="67" t="s">
        <v>142</v>
      </c>
      <c r="N306" s="70">
        <v>1000</v>
      </c>
      <c r="O306" s="70">
        <v>1E-3</v>
      </c>
      <c r="P306" s="70"/>
      <c r="Q306" s="98">
        <v>103</v>
      </c>
      <c r="R306" s="70">
        <v>0</v>
      </c>
      <c r="S306" s="70">
        <v>103</v>
      </c>
    </row>
    <row r="307" spans="1:19" s="56" customFormat="1">
      <c r="A307" s="67" t="s">
        <v>487</v>
      </c>
      <c r="B307" s="68" t="s">
        <v>488</v>
      </c>
      <c r="C307" s="67" t="s">
        <v>137</v>
      </c>
      <c r="D307" s="67" t="s">
        <v>138</v>
      </c>
      <c r="E307" s="67" t="s">
        <v>139</v>
      </c>
      <c r="F307" s="67" t="s">
        <v>140</v>
      </c>
      <c r="G307" s="69" t="s">
        <v>305</v>
      </c>
      <c r="H307" s="67">
        <v>0</v>
      </c>
      <c r="I307" s="67">
        <v>13</v>
      </c>
      <c r="J307" s="67" t="s">
        <v>148</v>
      </c>
      <c r="K307" s="67" t="s">
        <v>30</v>
      </c>
      <c r="L307" s="67" t="s">
        <v>3</v>
      </c>
      <c r="M307" s="67" t="s">
        <v>142</v>
      </c>
      <c r="N307" s="70">
        <v>1000</v>
      </c>
      <c r="O307" s="70">
        <v>1E-3</v>
      </c>
      <c r="P307" s="70"/>
      <c r="Q307" s="98">
        <v>17005</v>
      </c>
      <c r="R307" s="70">
        <v>17</v>
      </c>
      <c r="S307" s="70">
        <v>5</v>
      </c>
    </row>
    <row r="308" spans="1:19" s="56" customFormat="1">
      <c r="A308" s="67" t="s">
        <v>487</v>
      </c>
      <c r="B308" s="68" t="s">
        <v>488</v>
      </c>
      <c r="C308" s="67" t="s">
        <v>137</v>
      </c>
      <c r="D308" s="67" t="s">
        <v>138</v>
      </c>
      <c r="E308" s="67" t="s">
        <v>139</v>
      </c>
      <c r="F308" s="67" t="s">
        <v>140</v>
      </c>
      <c r="G308" s="69" t="s">
        <v>305</v>
      </c>
      <c r="H308" s="67">
        <v>0</v>
      </c>
      <c r="I308" s="67">
        <v>14</v>
      </c>
      <c r="J308" s="67" t="s">
        <v>314</v>
      </c>
      <c r="K308" s="67" t="s">
        <v>281</v>
      </c>
      <c r="L308" s="67" t="s">
        <v>3</v>
      </c>
      <c r="M308" s="67" t="s">
        <v>142</v>
      </c>
      <c r="N308" s="70">
        <v>1000</v>
      </c>
      <c r="O308" s="70">
        <v>1E-3</v>
      </c>
      <c r="P308" s="70"/>
      <c r="Q308" s="98">
        <v>300000</v>
      </c>
      <c r="R308" s="70">
        <v>300</v>
      </c>
      <c r="S308" s="70">
        <v>0</v>
      </c>
    </row>
    <row r="309" spans="1:19" s="56" customFormat="1">
      <c r="A309" s="67" t="s">
        <v>487</v>
      </c>
      <c r="B309" s="68" t="s">
        <v>488</v>
      </c>
      <c r="C309" s="67" t="s">
        <v>137</v>
      </c>
      <c r="D309" s="67" t="s">
        <v>138</v>
      </c>
      <c r="E309" s="67" t="s">
        <v>139</v>
      </c>
      <c r="F309" s="67" t="s">
        <v>162</v>
      </c>
      <c r="G309" s="69" t="s">
        <v>305</v>
      </c>
      <c r="H309" s="67">
        <v>0</v>
      </c>
      <c r="I309" s="67">
        <v>15</v>
      </c>
      <c r="J309" s="67" t="s">
        <v>234</v>
      </c>
      <c r="K309" s="67" t="s">
        <v>233</v>
      </c>
      <c r="L309" s="67" t="s">
        <v>3</v>
      </c>
      <c r="M309" s="67" t="s">
        <v>142</v>
      </c>
      <c r="N309" s="70">
        <v>1000</v>
      </c>
      <c r="O309" s="70">
        <v>5.6</v>
      </c>
      <c r="P309" s="70"/>
      <c r="Q309" s="98">
        <v>50000</v>
      </c>
      <c r="R309" s="70">
        <v>50</v>
      </c>
      <c r="S309" s="70">
        <v>0</v>
      </c>
    </row>
    <row r="310" spans="1:19" s="56" customFormat="1">
      <c r="A310" s="67" t="s">
        <v>487</v>
      </c>
      <c r="B310" s="68" t="s">
        <v>488</v>
      </c>
      <c r="C310" s="67" t="s">
        <v>137</v>
      </c>
      <c r="D310" s="67" t="s">
        <v>138</v>
      </c>
      <c r="E310" s="67" t="s">
        <v>139</v>
      </c>
      <c r="F310" s="67" t="s">
        <v>162</v>
      </c>
      <c r="G310" s="69" t="s">
        <v>305</v>
      </c>
      <c r="H310" s="67">
        <v>0</v>
      </c>
      <c r="I310" s="67">
        <v>16</v>
      </c>
      <c r="J310" s="67" t="s">
        <v>262</v>
      </c>
      <c r="K310" s="67" t="s">
        <v>258</v>
      </c>
      <c r="L310" s="67" t="s">
        <v>3</v>
      </c>
      <c r="M310" s="67" t="s">
        <v>142</v>
      </c>
      <c r="N310" s="70">
        <v>1000</v>
      </c>
      <c r="O310" s="70">
        <v>1E-3</v>
      </c>
      <c r="P310" s="70"/>
      <c r="Q310" s="98">
        <v>2000</v>
      </c>
      <c r="R310" s="70">
        <v>2</v>
      </c>
      <c r="S310" s="70">
        <v>0</v>
      </c>
    </row>
    <row r="311" spans="1:19" s="56" customFormat="1">
      <c r="A311" s="67" t="s">
        <v>487</v>
      </c>
      <c r="B311" s="68" t="s">
        <v>488</v>
      </c>
      <c r="C311" s="67" t="s">
        <v>137</v>
      </c>
      <c r="D311" s="67" t="s">
        <v>138</v>
      </c>
      <c r="E311" s="67" t="s">
        <v>139</v>
      </c>
      <c r="F311" s="67" t="s">
        <v>162</v>
      </c>
      <c r="G311" s="69" t="s">
        <v>305</v>
      </c>
      <c r="H311" s="67">
        <v>0</v>
      </c>
      <c r="I311" s="67">
        <v>17</v>
      </c>
      <c r="J311" s="67" t="s">
        <v>263</v>
      </c>
      <c r="K311" s="67" t="s">
        <v>259</v>
      </c>
      <c r="L311" s="67" t="s">
        <v>3</v>
      </c>
      <c r="M311" s="67" t="s">
        <v>142</v>
      </c>
      <c r="N311" s="70">
        <v>1000</v>
      </c>
      <c r="O311" s="70">
        <v>1E-3</v>
      </c>
      <c r="P311" s="70"/>
      <c r="Q311" s="98">
        <v>2000</v>
      </c>
      <c r="R311" s="70">
        <v>2</v>
      </c>
      <c r="S311" s="70">
        <v>0</v>
      </c>
    </row>
    <row r="312" spans="1:19" s="56" customFormat="1">
      <c r="A312" s="67" t="s">
        <v>487</v>
      </c>
      <c r="B312" s="68" t="s">
        <v>488</v>
      </c>
      <c r="C312" s="67" t="s">
        <v>137</v>
      </c>
      <c r="D312" s="67" t="s">
        <v>138</v>
      </c>
      <c r="E312" s="67" t="s">
        <v>139</v>
      </c>
      <c r="F312" s="67" t="s">
        <v>162</v>
      </c>
      <c r="G312" s="69" t="s">
        <v>305</v>
      </c>
      <c r="H312" s="67">
        <v>0</v>
      </c>
      <c r="I312" s="67">
        <v>18</v>
      </c>
      <c r="J312" s="67" t="s">
        <v>164</v>
      </c>
      <c r="K312" s="67" t="s">
        <v>74</v>
      </c>
      <c r="L312" s="67" t="s">
        <v>5</v>
      </c>
      <c r="M312" s="67" t="s">
        <v>142</v>
      </c>
      <c r="N312" s="70">
        <v>1000</v>
      </c>
      <c r="O312" s="70">
        <v>1E-3</v>
      </c>
      <c r="P312" s="70"/>
      <c r="Q312" s="98">
        <v>15000</v>
      </c>
      <c r="R312" s="70">
        <v>15</v>
      </c>
      <c r="S312" s="70">
        <v>0</v>
      </c>
    </row>
    <row r="313" spans="1:19" s="56" customFormat="1">
      <c r="A313" s="67" t="s">
        <v>487</v>
      </c>
      <c r="B313" s="68" t="s">
        <v>488</v>
      </c>
      <c r="C313" s="67" t="s">
        <v>137</v>
      </c>
      <c r="D313" s="67" t="s">
        <v>138</v>
      </c>
      <c r="E313" s="67" t="s">
        <v>139</v>
      </c>
      <c r="F313" s="67" t="s">
        <v>162</v>
      </c>
      <c r="G313" s="69" t="s">
        <v>305</v>
      </c>
      <c r="H313" s="67">
        <v>0</v>
      </c>
      <c r="I313" s="67">
        <v>19</v>
      </c>
      <c r="J313" s="67" t="s">
        <v>165</v>
      </c>
      <c r="K313" s="67" t="s">
        <v>80</v>
      </c>
      <c r="L313" s="67" t="s">
        <v>3</v>
      </c>
      <c r="M313" s="67" t="s">
        <v>142</v>
      </c>
      <c r="N313" s="70">
        <v>1000</v>
      </c>
      <c r="O313" s="70">
        <v>1E-3</v>
      </c>
      <c r="P313" s="70"/>
      <c r="Q313" s="98">
        <v>50</v>
      </c>
      <c r="R313" s="70">
        <v>0</v>
      </c>
      <c r="S313" s="70">
        <v>50</v>
      </c>
    </row>
    <row r="314" spans="1:19" s="56" customFormat="1">
      <c r="A314" s="67" t="s">
        <v>491</v>
      </c>
      <c r="B314" s="68" t="s">
        <v>492</v>
      </c>
      <c r="C314" s="67" t="s">
        <v>137</v>
      </c>
      <c r="D314" s="67" t="s">
        <v>138</v>
      </c>
      <c r="E314" s="67" t="s">
        <v>139</v>
      </c>
      <c r="F314" s="67" t="s">
        <v>140</v>
      </c>
      <c r="G314" s="69" t="s">
        <v>305</v>
      </c>
      <c r="H314" s="67">
        <v>0</v>
      </c>
      <c r="I314" s="67">
        <v>1</v>
      </c>
      <c r="J314" s="67" t="s">
        <v>141</v>
      </c>
      <c r="K314" s="67" t="s">
        <v>37</v>
      </c>
      <c r="L314" s="67" t="s">
        <v>3</v>
      </c>
      <c r="M314" s="67" t="s">
        <v>142</v>
      </c>
      <c r="N314" s="70">
        <v>1000</v>
      </c>
      <c r="O314" s="70">
        <v>200</v>
      </c>
      <c r="P314" s="70"/>
      <c r="Q314" s="98">
        <v>23925</v>
      </c>
      <c r="R314" s="70">
        <v>23</v>
      </c>
      <c r="S314" s="70">
        <v>925</v>
      </c>
    </row>
    <row r="315" spans="1:19" s="56" customFormat="1">
      <c r="A315" s="67" t="s">
        <v>491</v>
      </c>
      <c r="B315" s="68" t="s">
        <v>492</v>
      </c>
      <c r="C315" s="67" t="s">
        <v>137</v>
      </c>
      <c r="D315" s="67" t="s">
        <v>138</v>
      </c>
      <c r="E315" s="67" t="s">
        <v>139</v>
      </c>
      <c r="F315" s="67" t="s">
        <v>140</v>
      </c>
      <c r="G315" s="69" t="s">
        <v>305</v>
      </c>
      <c r="H315" s="67">
        <v>0</v>
      </c>
      <c r="I315" s="67">
        <v>2</v>
      </c>
      <c r="J315" s="67" t="s">
        <v>346</v>
      </c>
      <c r="K315" s="67" t="s">
        <v>343</v>
      </c>
      <c r="L315" s="67" t="s">
        <v>3</v>
      </c>
      <c r="M315" s="67" t="s">
        <v>142</v>
      </c>
      <c r="N315" s="70">
        <v>1000</v>
      </c>
      <c r="O315" s="70">
        <v>1E-3</v>
      </c>
      <c r="P315" s="70"/>
      <c r="Q315" s="98">
        <v>10166</v>
      </c>
      <c r="R315" s="70">
        <v>10</v>
      </c>
      <c r="S315" s="70">
        <v>166</v>
      </c>
    </row>
    <row r="316" spans="1:19" s="56" customFormat="1">
      <c r="A316" s="67" t="s">
        <v>491</v>
      </c>
      <c r="B316" s="68" t="s">
        <v>492</v>
      </c>
      <c r="C316" s="67" t="s">
        <v>137</v>
      </c>
      <c r="D316" s="67" t="s">
        <v>138</v>
      </c>
      <c r="E316" s="67" t="s">
        <v>139</v>
      </c>
      <c r="F316" s="67" t="s">
        <v>140</v>
      </c>
      <c r="G316" s="69" t="s">
        <v>305</v>
      </c>
      <c r="H316" s="67">
        <v>0</v>
      </c>
      <c r="I316" s="67">
        <v>3</v>
      </c>
      <c r="J316" s="67" t="s">
        <v>169</v>
      </c>
      <c r="K316" s="67" t="s">
        <v>64</v>
      </c>
      <c r="L316" s="67" t="s">
        <v>3</v>
      </c>
      <c r="M316" s="67" t="s">
        <v>142</v>
      </c>
      <c r="N316" s="70">
        <v>1000</v>
      </c>
      <c r="O316" s="70">
        <v>1E-3</v>
      </c>
      <c r="P316" s="70"/>
      <c r="Q316" s="98">
        <v>158</v>
      </c>
      <c r="R316" s="70">
        <v>0</v>
      </c>
      <c r="S316" s="70">
        <v>158</v>
      </c>
    </row>
    <row r="317" spans="1:19" s="56" customFormat="1">
      <c r="A317" s="67" t="s">
        <v>491</v>
      </c>
      <c r="B317" s="68" t="s">
        <v>492</v>
      </c>
      <c r="C317" s="67" t="s">
        <v>137</v>
      </c>
      <c r="D317" s="67" t="s">
        <v>138</v>
      </c>
      <c r="E317" s="67" t="s">
        <v>139</v>
      </c>
      <c r="F317" s="67" t="s">
        <v>140</v>
      </c>
      <c r="G317" s="69" t="s">
        <v>305</v>
      </c>
      <c r="H317" s="67">
        <v>0</v>
      </c>
      <c r="I317" s="67">
        <v>4</v>
      </c>
      <c r="J317" s="67" t="s">
        <v>143</v>
      </c>
      <c r="K317" s="67" t="s">
        <v>90</v>
      </c>
      <c r="L317" s="67" t="s">
        <v>3</v>
      </c>
      <c r="M317" s="67" t="s">
        <v>142</v>
      </c>
      <c r="N317" s="70">
        <v>1000</v>
      </c>
      <c r="O317" s="70">
        <v>359.59699999999998</v>
      </c>
      <c r="P317" s="70"/>
      <c r="Q317" s="98">
        <v>1050</v>
      </c>
      <c r="R317" s="70">
        <v>1</v>
      </c>
      <c r="S317" s="70">
        <v>50</v>
      </c>
    </row>
    <row r="318" spans="1:19" s="56" customFormat="1">
      <c r="A318" s="67" t="s">
        <v>491</v>
      </c>
      <c r="B318" s="68" t="s">
        <v>492</v>
      </c>
      <c r="C318" s="67" t="s">
        <v>137</v>
      </c>
      <c r="D318" s="67" t="s">
        <v>138</v>
      </c>
      <c r="E318" s="67" t="s">
        <v>139</v>
      </c>
      <c r="F318" s="67" t="s">
        <v>140</v>
      </c>
      <c r="G318" s="69" t="s">
        <v>305</v>
      </c>
      <c r="H318" s="67">
        <v>0</v>
      </c>
      <c r="I318" s="67">
        <v>5</v>
      </c>
      <c r="J318" s="67" t="s">
        <v>144</v>
      </c>
      <c r="K318" s="67" t="s">
        <v>26</v>
      </c>
      <c r="L318" s="67" t="s">
        <v>3</v>
      </c>
      <c r="M318" s="67" t="s">
        <v>142</v>
      </c>
      <c r="N318" s="70">
        <v>1000</v>
      </c>
      <c r="O318" s="70">
        <v>1E-3</v>
      </c>
      <c r="P318" s="70"/>
      <c r="Q318" s="98">
        <v>9600</v>
      </c>
      <c r="R318" s="70">
        <v>9</v>
      </c>
      <c r="S318" s="70">
        <v>600</v>
      </c>
    </row>
    <row r="319" spans="1:19" s="56" customFormat="1">
      <c r="A319" s="67" t="s">
        <v>491</v>
      </c>
      <c r="B319" s="68" t="s">
        <v>492</v>
      </c>
      <c r="C319" s="67" t="s">
        <v>137</v>
      </c>
      <c r="D319" s="67" t="s">
        <v>138</v>
      </c>
      <c r="E319" s="67" t="s">
        <v>139</v>
      </c>
      <c r="F319" s="67" t="s">
        <v>140</v>
      </c>
      <c r="G319" s="69" t="s">
        <v>305</v>
      </c>
      <c r="H319" s="67">
        <v>0</v>
      </c>
      <c r="I319" s="67">
        <v>6</v>
      </c>
      <c r="J319" s="67" t="s">
        <v>145</v>
      </c>
      <c r="K319" s="67" t="s">
        <v>27</v>
      </c>
      <c r="L319" s="67" t="s">
        <v>3</v>
      </c>
      <c r="M319" s="67" t="s">
        <v>142</v>
      </c>
      <c r="N319" s="70">
        <v>1000</v>
      </c>
      <c r="O319" s="70">
        <v>1E-3</v>
      </c>
      <c r="P319" s="70"/>
      <c r="Q319" s="98">
        <v>10876</v>
      </c>
      <c r="R319" s="70">
        <v>10</v>
      </c>
      <c r="S319" s="70">
        <v>876</v>
      </c>
    </row>
    <row r="320" spans="1:19" s="56" customFormat="1">
      <c r="A320" s="67" t="s">
        <v>491</v>
      </c>
      <c r="B320" s="68" t="s">
        <v>492</v>
      </c>
      <c r="C320" s="67" t="s">
        <v>137</v>
      </c>
      <c r="D320" s="67" t="s">
        <v>138</v>
      </c>
      <c r="E320" s="67" t="s">
        <v>139</v>
      </c>
      <c r="F320" s="67" t="s">
        <v>140</v>
      </c>
      <c r="G320" s="69" t="s">
        <v>305</v>
      </c>
      <c r="H320" s="67">
        <v>0</v>
      </c>
      <c r="I320" s="67">
        <v>7</v>
      </c>
      <c r="J320" s="67" t="s">
        <v>376</v>
      </c>
      <c r="K320" s="67" t="s">
        <v>11</v>
      </c>
      <c r="L320" s="67" t="s">
        <v>3</v>
      </c>
      <c r="M320" s="67" t="s">
        <v>142</v>
      </c>
      <c r="N320" s="70">
        <v>1000</v>
      </c>
      <c r="O320" s="70">
        <v>1E-3</v>
      </c>
      <c r="P320" s="70"/>
      <c r="Q320" s="98">
        <v>3</v>
      </c>
      <c r="R320" s="70">
        <v>0</v>
      </c>
      <c r="S320" s="70">
        <v>3</v>
      </c>
    </row>
    <row r="321" spans="1:19" s="56" customFormat="1">
      <c r="A321" s="67" t="s">
        <v>491</v>
      </c>
      <c r="B321" s="68" t="s">
        <v>492</v>
      </c>
      <c r="C321" s="67" t="s">
        <v>137</v>
      </c>
      <c r="D321" s="67" t="s">
        <v>138</v>
      </c>
      <c r="E321" s="67" t="s">
        <v>139</v>
      </c>
      <c r="F321" s="67" t="s">
        <v>140</v>
      </c>
      <c r="G321" s="69" t="s">
        <v>305</v>
      </c>
      <c r="H321" s="67">
        <v>0</v>
      </c>
      <c r="I321" s="67">
        <v>9</v>
      </c>
      <c r="J321" s="67" t="s">
        <v>146</v>
      </c>
      <c r="K321" s="67" t="s">
        <v>46</v>
      </c>
      <c r="L321" s="67" t="s">
        <v>3</v>
      </c>
      <c r="M321" s="67" t="s">
        <v>142</v>
      </c>
      <c r="N321" s="70">
        <v>1000</v>
      </c>
      <c r="O321" s="70">
        <v>1E-3</v>
      </c>
      <c r="P321" s="70"/>
      <c r="Q321" s="98">
        <v>5954</v>
      </c>
      <c r="R321" s="70">
        <v>5</v>
      </c>
      <c r="S321" s="70">
        <v>954</v>
      </c>
    </row>
    <row r="322" spans="1:19" s="56" customFormat="1">
      <c r="A322" s="67" t="s">
        <v>491</v>
      </c>
      <c r="B322" s="68" t="s">
        <v>492</v>
      </c>
      <c r="C322" s="67" t="s">
        <v>137</v>
      </c>
      <c r="D322" s="67" t="s">
        <v>138</v>
      </c>
      <c r="E322" s="67" t="s">
        <v>139</v>
      </c>
      <c r="F322" s="67" t="s">
        <v>282</v>
      </c>
      <c r="G322" s="69" t="s">
        <v>305</v>
      </c>
      <c r="H322" s="67">
        <v>0</v>
      </c>
      <c r="I322" s="67">
        <v>10</v>
      </c>
      <c r="J322" s="67" t="s">
        <v>148</v>
      </c>
      <c r="K322" s="67" t="s">
        <v>30</v>
      </c>
      <c r="L322" s="67" t="s">
        <v>3</v>
      </c>
      <c r="M322" s="67" t="s">
        <v>142</v>
      </c>
      <c r="N322" s="70">
        <v>1000</v>
      </c>
      <c r="O322" s="70">
        <v>1E-3</v>
      </c>
      <c r="P322" s="70"/>
      <c r="Q322" s="98">
        <v>5967</v>
      </c>
      <c r="R322" s="70">
        <v>5</v>
      </c>
      <c r="S322" s="70">
        <v>967</v>
      </c>
    </row>
    <row r="323" spans="1:19" s="56" customFormat="1">
      <c r="A323" s="67" t="s">
        <v>491</v>
      </c>
      <c r="B323" s="68" t="s">
        <v>492</v>
      </c>
      <c r="C323" s="67" t="s">
        <v>137</v>
      </c>
      <c r="D323" s="67" t="s">
        <v>138</v>
      </c>
      <c r="E323" s="67" t="s">
        <v>139</v>
      </c>
      <c r="F323" s="67" t="s">
        <v>140</v>
      </c>
      <c r="G323" s="69" t="s">
        <v>305</v>
      </c>
      <c r="H323" s="67">
        <v>0</v>
      </c>
      <c r="I323" s="67">
        <v>11</v>
      </c>
      <c r="J323" s="67" t="s">
        <v>151</v>
      </c>
      <c r="K323" s="67" t="s">
        <v>28</v>
      </c>
      <c r="L323" s="67" t="s">
        <v>3</v>
      </c>
      <c r="M323" s="67" t="s">
        <v>142</v>
      </c>
      <c r="N323" s="70">
        <v>1000</v>
      </c>
      <c r="O323" s="70">
        <v>1E-3</v>
      </c>
      <c r="P323" s="70"/>
      <c r="Q323" s="98">
        <v>24</v>
      </c>
      <c r="R323" s="70">
        <v>0</v>
      </c>
      <c r="S323" s="70">
        <v>24</v>
      </c>
    </row>
    <row r="324" spans="1:19" s="56" customFormat="1">
      <c r="A324" s="67" t="s">
        <v>491</v>
      </c>
      <c r="B324" s="68" t="s">
        <v>492</v>
      </c>
      <c r="C324" s="67" t="s">
        <v>137</v>
      </c>
      <c r="D324" s="67" t="s">
        <v>138</v>
      </c>
      <c r="E324" s="67" t="s">
        <v>139</v>
      </c>
      <c r="F324" s="67" t="s">
        <v>140</v>
      </c>
      <c r="G324" s="69" t="s">
        <v>305</v>
      </c>
      <c r="H324" s="67">
        <v>0</v>
      </c>
      <c r="I324" s="67">
        <v>12</v>
      </c>
      <c r="J324" s="67" t="s">
        <v>147</v>
      </c>
      <c r="K324" s="67" t="s">
        <v>41</v>
      </c>
      <c r="L324" s="67" t="s">
        <v>3</v>
      </c>
      <c r="M324" s="67" t="s">
        <v>142</v>
      </c>
      <c r="N324" s="70">
        <v>1000</v>
      </c>
      <c r="O324" s="70">
        <v>1E-3</v>
      </c>
      <c r="P324" s="70"/>
      <c r="Q324" s="98">
        <v>13973</v>
      </c>
      <c r="R324" s="70">
        <v>13</v>
      </c>
      <c r="S324" s="70">
        <v>973</v>
      </c>
    </row>
    <row r="325" spans="1:19" s="56" customFormat="1">
      <c r="A325" s="67" t="s">
        <v>491</v>
      </c>
      <c r="B325" s="68" t="s">
        <v>492</v>
      </c>
      <c r="C325" s="67" t="s">
        <v>137</v>
      </c>
      <c r="D325" s="67" t="s">
        <v>138</v>
      </c>
      <c r="E325" s="67" t="s">
        <v>139</v>
      </c>
      <c r="F325" s="67" t="s">
        <v>153</v>
      </c>
      <c r="G325" s="69" t="s">
        <v>305</v>
      </c>
      <c r="H325" s="67">
        <v>0</v>
      </c>
      <c r="I325" s="67">
        <v>13</v>
      </c>
      <c r="J325" s="67" t="s">
        <v>154</v>
      </c>
      <c r="K325" s="67" t="s">
        <v>23</v>
      </c>
      <c r="L325" s="67" t="s">
        <v>3</v>
      </c>
      <c r="M325" s="67" t="s">
        <v>142</v>
      </c>
      <c r="N325" s="70">
        <v>1000</v>
      </c>
      <c r="O325" s="70">
        <v>32.021000000000001</v>
      </c>
      <c r="P325" s="70"/>
      <c r="Q325" s="98">
        <v>150000</v>
      </c>
      <c r="R325" s="70">
        <v>150</v>
      </c>
      <c r="S325" s="70">
        <v>0</v>
      </c>
    </row>
    <row r="326" spans="1:19" s="56" customFormat="1">
      <c r="A326" s="67" t="s">
        <v>491</v>
      </c>
      <c r="B326" s="68" t="s">
        <v>492</v>
      </c>
      <c r="C326" s="67" t="s">
        <v>137</v>
      </c>
      <c r="D326" s="67" t="s">
        <v>138</v>
      </c>
      <c r="E326" s="67" t="s">
        <v>139</v>
      </c>
      <c r="F326" s="67" t="s">
        <v>153</v>
      </c>
      <c r="G326" s="69" t="s">
        <v>305</v>
      </c>
      <c r="H326" s="67">
        <v>0</v>
      </c>
      <c r="I326" s="67">
        <v>14</v>
      </c>
      <c r="J326" s="67" t="s">
        <v>155</v>
      </c>
      <c r="K326" s="67" t="s">
        <v>33</v>
      </c>
      <c r="L326" s="67" t="s">
        <v>3</v>
      </c>
      <c r="M326" s="67" t="s">
        <v>142</v>
      </c>
      <c r="N326" s="70">
        <v>1000</v>
      </c>
      <c r="O326" s="70">
        <v>13.6</v>
      </c>
      <c r="P326" s="70"/>
      <c r="Q326" s="98">
        <v>100000</v>
      </c>
      <c r="R326" s="70">
        <v>100</v>
      </c>
      <c r="S326" s="70">
        <v>0</v>
      </c>
    </row>
    <row r="327" spans="1:19" s="56" customFormat="1">
      <c r="A327" s="67" t="s">
        <v>491</v>
      </c>
      <c r="B327" s="68" t="s">
        <v>492</v>
      </c>
      <c r="C327" s="67" t="s">
        <v>137</v>
      </c>
      <c r="D327" s="67" t="s">
        <v>138</v>
      </c>
      <c r="E327" s="67" t="s">
        <v>139</v>
      </c>
      <c r="F327" s="67" t="s">
        <v>153</v>
      </c>
      <c r="G327" s="69" t="s">
        <v>305</v>
      </c>
      <c r="H327" s="67">
        <v>0</v>
      </c>
      <c r="I327" s="67">
        <v>15</v>
      </c>
      <c r="J327" s="67" t="s">
        <v>251</v>
      </c>
      <c r="K327" s="67" t="s">
        <v>249</v>
      </c>
      <c r="L327" s="67" t="s">
        <v>3</v>
      </c>
      <c r="M327" s="67" t="s">
        <v>142</v>
      </c>
      <c r="N327" s="70">
        <v>1000</v>
      </c>
      <c r="O327" s="70">
        <v>1E-3</v>
      </c>
      <c r="P327" s="70"/>
      <c r="Q327" s="98">
        <v>30000</v>
      </c>
      <c r="R327" s="70">
        <v>30</v>
      </c>
      <c r="S327" s="70">
        <v>0</v>
      </c>
    </row>
    <row r="328" spans="1:19" s="56" customFormat="1">
      <c r="A328" s="67" t="s">
        <v>491</v>
      </c>
      <c r="B328" s="68" t="s">
        <v>492</v>
      </c>
      <c r="C328" s="67" t="s">
        <v>137</v>
      </c>
      <c r="D328" s="67" t="s">
        <v>138</v>
      </c>
      <c r="E328" s="67" t="s">
        <v>139</v>
      </c>
      <c r="F328" s="67" t="s">
        <v>153</v>
      </c>
      <c r="G328" s="69" t="s">
        <v>305</v>
      </c>
      <c r="H328" s="67">
        <v>0</v>
      </c>
      <c r="I328" s="67">
        <v>16</v>
      </c>
      <c r="J328" s="67" t="s">
        <v>317</v>
      </c>
      <c r="K328" s="67" t="s">
        <v>17</v>
      </c>
      <c r="L328" s="67" t="s">
        <v>3</v>
      </c>
      <c r="M328" s="67" t="s">
        <v>142</v>
      </c>
      <c r="N328" s="70">
        <v>1000</v>
      </c>
      <c r="O328" s="70">
        <v>1E-3</v>
      </c>
      <c r="P328" s="70"/>
      <c r="Q328" s="98">
        <v>82000</v>
      </c>
      <c r="R328" s="70">
        <v>82</v>
      </c>
      <c r="S328" s="70">
        <v>0</v>
      </c>
    </row>
    <row r="329" spans="1:19" s="56" customFormat="1">
      <c r="A329" s="67" t="s">
        <v>491</v>
      </c>
      <c r="B329" s="68" t="s">
        <v>492</v>
      </c>
      <c r="C329" s="67" t="s">
        <v>137</v>
      </c>
      <c r="D329" s="67" t="s">
        <v>138</v>
      </c>
      <c r="E329" s="67" t="s">
        <v>139</v>
      </c>
      <c r="F329" s="67" t="s">
        <v>153</v>
      </c>
      <c r="G329" s="69" t="s">
        <v>305</v>
      </c>
      <c r="H329" s="67">
        <v>0</v>
      </c>
      <c r="I329" s="67">
        <v>17</v>
      </c>
      <c r="J329" s="67" t="s">
        <v>315</v>
      </c>
      <c r="K329" s="67" t="s">
        <v>47</v>
      </c>
      <c r="L329" s="67" t="s">
        <v>3</v>
      </c>
      <c r="M329" s="67" t="s">
        <v>142</v>
      </c>
      <c r="N329" s="70">
        <v>1000</v>
      </c>
      <c r="O329" s="70">
        <v>1E-3</v>
      </c>
      <c r="P329" s="70"/>
      <c r="Q329" s="98">
        <v>8000</v>
      </c>
      <c r="R329" s="70">
        <v>8</v>
      </c>
      <c r="S329" s="70">
        <v>0</v>
      </c>
    </row>
    <row r="330" spans="1:19" s="56" customFormat="1">
      <c r="A330" s="67" t="s">
        <v>491</v>
      </c>
      <c r="B330" s="68" t="s">
        <v>492</v>
      </c>
      <c r="C330" s="67" t="s">
        <v>137</v>
      </c>
      <c r="D330" s="67" t="s">
        <v>138</v>
      </c>
      <c r="E330" s="67" t="s">
        <v>139</v>
      </c>
      <c r="F330" s="67" t="s">
        <v>153</v>
      </c>
      <c r="G330" s="69" t="s">
        <v>305</v>
      </c>
      <c r="H330" s="67">
        <v>0</v>
      </c>
      <c r="I330" s="67">
        <v>19</v>
      </c>
      <c r="J330" s="67" t="s">
        <v>246</v>
      </c>
      <c r="K330" s="67" t="s">
        <v>7</v>
      </c>
      <c r="L330" s="67" t="s">
        <v>3</v>
      </c>
      <c r="M330" s="67" t="s">
        <v>142</v>
      </c>
      <c r="N330" s="70">
        <v>1000</v>
      </c>
      <c r="O330" s="70">
        <v>1E-3</v>
      </c>
      <c r="P330" s="70"/>
      <c r="Q330" s="98">
        <v>16000</v>
      </c>
      <c r="R330" s="70">
        <v>16</v>
      </c>
      <c r="S330" s="70">
        <v>0</v>
      </c>
    </row>
    <row r="331" spans="1:19" s="56" customFormat="1">
      <c r="A331" s="67" t="s">
        <v>491</v>
      </c>
      <c r="B331" s="68" t="s">
        <v>492</v>
      </c>
      <c r="C331" s="67" t="s">
        <v>137</v>
      </c>
      <c r="D331" s="67" t="s">
        <v>138</v>
      </c>
      <c r="E331" s="67" t="s">
        <v>139</v>
      </c>
      <c r="F331" s="67" t="s">
        <v>153</v>
      </c>
      <c r="G331" s="69" t="s">
        <v>305</v>
      </c>
      <c r="H331" s="67">
        <v>0</v>
      </c>
      <c r="I331" s="67">
        <v>20</v>
      </c>
      <c r="J331" s="67" t="s">
        <v>247</v>
      </c>
      <c r="K331" s="67" t="s">
        <v>79</v>
      </c>
      <c r="L331" s="67" t="s">
        <v>3</v>
      </c>
      <c r="M331" s="67" t="s">
        <v>142</v>
      </c>
      <c r="N331" s="70">
        <v>1000</v>
      </c>
      <c r="O331" s="70">
        <v>1E-3</v>
      </c>
      <c r="P331" s="70"/>
      <c r="Q331" s="98">
        <v>16000</v>
      </c>
      <c r="R331" s="70">
        <v>16</v>
      </c>
      <c r="S331" s="70">
        <v>0</v>
      </c>
    </row>
    <row r="332" spans="1:19" s="56" customFormat="1">
      <c r="A332" s="67" t="s">
        <v>491</v>
      </c>
      <c r="B332" s="68" t="s">
        <v>492</v>
      </c>
      <c r="C332" s="67" t="s">
        <v>137</v>
      </c>
      <c r="D332" s="67" t="s">
        <v>138</v>
      </c>
      <c r="E332" s="67" t="s">
        <v>139</v>
      </c>
      <c r="F332" s="67" t="s">
        <v>153</v>
      </c>
      <c r="G332" s="69" t="s">
        <v>305</v>
      </c>
      <c r="H332" s="67">
        <v>0</v>
      </c>
      <c r="I332" s="67">
        <v>21</v>
      </c>
      <c r="J332" s="67" t="s">
        <v>173</v>
      </c>
      <c r="K332" s="67" t="s">
        <v>9</v>
      </c>
      <c r="L332" s="67" t="s">
        <v>3</v>
      </c>
      <c r="M332" s="67" t="s">
        <v>142</v>
      </c>
      <c r="N332" s="70">
        <v>1000</v>
      </c>
      <c r="O332" s="70">
        <v>1E-3</v>
      </c>
      <c r="P332" s="70"/>
      <c r="Q332" s="98">
        <v>2982</v>
      </c>
      <c r="R332" s="70">
        <v>2</v>
      </c>
      <c r="S332" s="70">
        <v>982</v>
      </c>
    </row>
    <row r="333" spans="1:19" s="56" customFormat="1">
      <c r="A333" s="67" t="s">
        <v>491</v>
      </c>
      <c r="B333" s="68" t="s">
        <v>492</v>
      </c>
      <c r="C333" s="67" t="s">
        <v>137</v>
      </c>
      <c r="D333" s="67" t="s">
        <v>138</v>
      </c>
      <c r="E333" s="67" t="s">
        <v>139</v>
      </c>
      <c r="F333" s="67" t="s">
        <v>153</v>
      </c>
      <c r="G333" s="69" t="s">
        <v>305</v>
      </c>
      <c r="H333" s="67">
        <v>0</v>
      </c>
      <c r="I333" s="67">
        <v>22</v>
      </c>
      <c r="J333" s="67" t="s">
        <v>172</v>
      </c>
      <c r="K333" s="67" t="s">
        <v>8</v>
      </c>
      <c r="L333" s="67" t="s">
        <v>3</v>
      </c>
      <c r="M333" s="67" t="s">
        <v>142</v>
      </c>
      <c r="N333" s="70">
        <v>1000</v>
      </c>
      <c r="O333" s="70">
        <v>1E-3</v>
      </c>
      <c r="P333" s="70"/>
      <c r="Q333" s="98">
        <v>3821</v>
      </c>
      <c r="R333" s="70">
        <v>3</v>
      </c>
      <c r="S333" s="70">
        <v>821</v>
      </c>
    </row>
    <row r="334" spans="1:19" s="56" customFormat="1">
      <c r="A334" s="67" t="s">
        <v>491</v>
      </c>
      <c r="B334" s="68" t="s">
        <v>492</v>
      </c>
      <c r="C334" s="67" t="s">
        <v>137</v>
      </c>
      <c r="D334" s="67" t="s">
        <v>138</v>
      </c>
      <c r="E334" s="67" t="s">
        <v>139</v>
      </c>
      <c r="F334" s="67" t="s">
        <v>153</v>
      </c>
      <c r="G334" s="69" t="s">
        <v>305</v>
      </c>
      <c r="H334" s="67">
        <v>0</v>
      </c>
      <c r="I334" s="67">
        <v>23</v>
      </c>
      <c r="J334" s="67" t="s">
        <v>174</v>
      </c>
      <c r="K334" s="67" t="s">
        <v>13</v>
      </c>
      <c r="L334" s="67" t="s">
        <v>3</v>
      </c>
      <c r="M334" s="67" t="s">
        <v>142</v>
      </c>
      <c r="N334" s="70">
        <v>1000</v>
      </c>
      <c r="O334" s="70">
        <v>1E-3</v>
      </c>
      <c r="P334" s="70"/>
      <c r="Q334" s="98">
        <v>5290</v>
      </c>
      <c r="R334" s="70">
        <v>5</v>
      </c>
      <c r="S334" s="70">
        <v>290</v>
      </c>
    </row>
    <row r="335" spans="1:19" s="56" customFormat="1">
      <c r="A335" s="67" t="s">
        <v>491</v>
      </c>
      <c r="B335" s="68" t="s">
        <v>492</v>
      </c>
      <c r="C335" s="67" t="s">
        <v>137</v>
      </c>
      <c r="D335" s="67" t="s">
        <v>138</v>
      </c>
      <c r="E335" s="67" t="s">
        <v>139</v>
      </c>
      <c r="F335" s="67" t="s">
        <v>167</v>
      </c>
      <c r="G335" s="69" t="s">
        <v>305</v>
      </c>
      <c r="H335" s="67">
        <v>0</v>
      </c>
      <c r="I335" s="67">
        <v>24</v>
      </c>
      <c r="J335" s="67" t="s">
        <v>270</v>
      </c>
      <c r="K335" s="67" t="s">
        <v>31</v>
      </c>
      <c r="L335" s="67" t="s">
        <v>3</v>
      </c>
      <c r="M335" s="67" t="s">
        <v>142</v>
      </c>
      <c r="N335" s="70">
        <v>1000</v>
      </c>
      <c r="O335" s="70">
        <v>1E-3</v>
      </c>
      <c r="P335" s="70"/>
      <c r="Q335" s="98">
        <v>16000</v>
      </c>
      <c r="R335" s="70">
        <v>16</v>
      </c>
      <c r="S335" s="70">
        <v>0</v>
      </c>
    </row>
    <row r="336" spans="1:19" s="56" customFormat="1">
      <c r="A336" s="67" t="s">
        <v>491</v>
      </c>
      <c r="B336" s="68" t="s">
        <v>492</v>
      </c>
      <c r="C336" s="67" t="s">
        <v>137</v>
      </c>
      <c r="D336" s="67" t="s">
        <v>138</v>
      </c>
      <c r="E336" s="67" t="s">
        <v>139</v>
      </c>
      <c r="F336" s="67" t="s">
        <v>167</v>
      </c>
      <c r="G336" s="69" t="s">
        <v>305</v>
      </c>
      <c r="H336" s="67">
        <v>0</v>
      </c>
      <c r="I336" s="67">
        <v>25</v>
      </c>
      <c r="J336" s="67" t="s">
        <v>168</v>
      </c>
      <c r="K336" s="67" t="s">
        <v>34</v>
      </c>
      <c r="L336" s="67" t="s">
        <v>3</v>
      </c>
      <c r="M336" s="67" t="s">
        <v>142</v>
      </c>
      <c r="N336" s="70">
        <v>1000</v>
      </c>
      <c r="O336" s="70">
        <v>1E-3</v>
      </c>
      <c r="P336" s="70"/>
      <c r="Q336" s="98">
        <v>2500</v>
      </c>
      <c r="R336" s="70">
        <v>2</v>
      </c>
      <c r="S336" s="70">
        <v>500</v>
      </c>
    </row>
    <row r="337" spans="1:19" s="56" customFormat="1">
      <c r="A337" s="67" t="s">
        <v>491</v>
      </c>
      <c r="B337" s="68" t="s">
        <v>492</v>
      </c>
      <c r="C337" s="67" t="s">
        <v>137</v>
      </c>
      <c r="D337" s="67" t="s">
        <v>138</v>
      </c>
      <c r="E337" s="67" t="s">
        <v>139</v>
      </c>
      <c r="F337" s="67" t="s">
        <v>167</v>
      </c>
      <c r="G337" s="69" t="s">
        <v>305</v>
      </c>
      <c r="H337" s="67">
        <v>0</v>
      </c>
      <c r="I337" s="67">
        <v>26</v>
      </c>
      <c r="J337" s="67" t="s">
        <v>316</v>
      </c>
      <c r="K337" s="67" t="s">
        <v>39</v>
      </c>
      <c r="L337" s="67" t="s">
        <v>3</v>
      </c>
      <c r="M337" s="67" t="s">
        <v>142</v>
      </c>
      <c r="N337" s="70">
        <v>1000</v>
      </c>
      <c r="O337" s="70">
        <v>1E-3</v>
      </c>
      <c r="P337" s="70"/>
      <c r="Q337" s="98">
        <v>5500</v>
      </c>
      <c r="R337" s="70">
        <v>5</v>
      </c>
      <c r="S337" s="70">
        <v>500</v>
      </c>
    </row>
    <row r="338" spans="1:19" s="56" customFormat="1">
      <c r="A338" s="67" t="s">
        <v>491</v>
      </c>
      <c r="B338" s="68" t="s">
        <v>492</v>
      </c>
      <c r="C338" s="67" t="s">
        <v>137</v>
      </c>
      <c r="D338" s="67" t="s">
        <v>138</v>
      </c>
      <c r="E338" s="67" t="s">
        <v>139</v>
      </c>
      <c r="F338" s="67" t="s">
        <v>162</v>
      </c>
      <c r="G338" s="69" t="s">
        <v>305</v>
      </c>
      <c r="H338" s="67">
        <v>0</v>
      </c>
      <c r="I338" s="67">
        <v>27</v>
      </c>
      <c r="J338" s="67" t="s">
        <v>234</v>
      </c>
      <c r="K338" s="67" t="s">
        <v>233</v>
      </c>
      <c r="L338" s="67" t="s">
        <v>3</v>
      </c>
      <c r="M338" s="67" t="s">
        <v>142</v>
      </c>
      <c r="N338" s="70">
        <v>1000</v>
      </c>
      <c r="O338" s="70">
        <v>5.6</v>
      </c>
      <c r="P338" s="70"/>
      <c r="Q338" s="98">
        <v>500000</v>
      </c>
      <c r="R338" s="70">
        <v>500</v>
      </c>
      <c r="S338" s="70">
        <v>0</v>
      </c>
    </row>
    <row r="339" spans="1:19" s="56" customFormat="1">
      <c r="A339" s="67" t="s">
        <v>491</v>
      </c>
      <c r="B339" s="68" t="s">
        <v>492</v>
      </c>
      <c r="C339" s="67" t="s">
        <v>137</v>
      </c>
      <c r="D339" s="67" t="s">
        <v>138</v>
      </c>
      <c r="E339" s="67" t="s">
        <v>139</v>
      </c>
      <c r="F339" s="67" t="s">
        <v>162</v>
      </c>
      <c r="G339" s="69" t="s">
        <v>305</v>
      </c>
      <c r="H339" s="67">
        <v>0</v>
      </c>
      <c r="I339" s="67">
        <v>28</v>
      </c>
      <c r="J339" s="67" t="s">
        <v>262</v>
      </c>
      <c r="K339" s="67" t="s">
        <v>258</v>
      </c>
      <c r="L339" s="67" t="s">
        <v>3</v>
      </c>
      <c r="M339" s="67" t="s">
        <v>142</v>
      </c>
      <c r="N339" s="70">
        <v>1000</v>
      </c>
      <c r="O339" s="70">
        <v>1E-3</v>
      </c>
      <c r="P339" s="70"/>
      <c r="Q339" s="98">
        <v>11000</v>
      </c>
      <c r="R339" s="70">
        <v>11</v>
      </c>
      <c r="S339" s="70">
        <v>0</v>
      </c>
    </row>
    <row r="340" spans="1:19" s="56" customFormat="1">
      <c r="A340" s="67" t="s">
        <v>491</v>
      </c>
      <c r="B340" s="68" t="s">
        <v>492</v>
      </c>
      <c r="C340" s="67" t="s">
        <v>137</v>
      </c>
      <c r="D340" s="67" t="s">
        <v>138</v>
      </c>
      <c r="E340" s="67" t="s">
        <v>139</v>
      </c>
      <c r="F340" s="67" t="s">
        <v>162</v>
      </c>
      <c r="G340" s="69" t="s">
        <v>305</v>
      </c>
      <c r="H340" s="67">
        <v>0</v>
      </c>
      <c r="I340" s="67">
        <v>29</v>
      </c>
      <c r="J340" s="67" t="s">
        <v>263</v>
      </c>
      <c r="K340" s="67" t="s">
        <v>259</v>
      </c>
      <c r="L340" s="67" t="s">
        <v>3</v>
      </c>
      <c r="M340" s="67" t="s">
        <v>142</v>
      </c>
      <c r="N340" s="70">
        <v>1000</v>
      </c>
      <c r="O340" s="70">
        <v>1E-3</v>
      </c>
      <c r="P340" s="70"/>
      <c r="Q340" s="98">
        <v>5000</v>
      </c>
      <c r="R340" s="70">
        <v>5</v>
      </c>
      <c r="S340" s="70">
        <v>0</v>
      </c>
    </row>
    <row r="341" spans="1:19" s="56" customFormat="1">
      <c r="A341" s="67" t="s">
        <v>491</v>
      </c>
      <c r="B341" s="68" t="s">
        <v>492</v>
      </c>
      <c r="C341" s="67" t="s">
        <v>137</v>
      </c>
      <c r="D341" s="67" t="s">
        <v>138</v>
      </c>
      <c r="E341" s="67" t="s">
        <v>139</v>
      </c>
      <c r="F341" s="67" t="s">
        <v>162</v>
      </c>
      <c r="G341" s="69" t="s">
        <v>305</v>
      </c>
      <c r="H341" s="67">
        <v>0</v>
      </c>
      <c r="I341" s="67">
        <v>30</v>
      </c>
      <c r="J341" s="67" t="s">
        <v>163</v>
      </c>
      <c r="K341" s="67" t="s">
        <v>14</v>
      </c>
      <c r="L341" s="67" t="s">
        <v>3</v>
      </c>
      <c r="M341" s="67" t="s">
        <v>142</v>
      </c>
      <c r="N341" s="70">
        <v>1000</v>
      </c>
      <c r="O341" s="70">
        <v>0</v>
      </c>
      <c r="P341" s="70"/>
      <c r="Q341" s="98">
        <v>30000</v>
      </c>
      <c r="R341" s="70">
        <v>30</v>
      </c>
      <c r="S341" s="70">
        <v>0</v>
      </c>
    </row>
    <row r="342" spans="1:19" s="56" customFormat="1">
      <c r="A342" s="67" t="s">
        <v>491</v>
      </c>
      <c r="B342" s="68" t="s">
        <v>492</v>
      </c>
      <c r="C342" s="67" t="s">
        <v>137</v>
      </c>
      <c r="D342" s="67" t="s">
        <v>138</v>
      </c>
      <c r="E342" s="67" t="s">
        <v>139</v>
      </c>
      <c r="F342" s="67" t="s">
        <v>162</v>
      </c>
      <c r="G342" s="69" t="s">
        <v>305</v>
      </c>
      <c r="H342" s="67">
        <v>0</v>
      </c>
      <c r="I342" s="67">
        <v>31</v>
      </c>
      <c r="J342" s="67" t="s">
        <v>164</v>
      </c>
      <c r="K342" s="67" t="s">
        <v>74</v>
      </c>
      <c r="L342" s="67" t="s">
        <v>5</v>
      </c>
      <c r="M342" s="67" t="s">
        <v>142</v>
      </c>
      <c r="N342" s="70">
        <v>1000</v>
      </c>
      <c r="O342" s="70">
        <v>1E-3</v>
      </c>
      <c r="P342" s="70"/>
      <c r="Q342" s="98">
        <v>15000</v>
      </c>
      <c r="R342" s="70">
        <v>15</v>
      </c>
      <c r="S342" s="70">
        <v>0</v>
      </c>
    </row>
    <row r="343" spans="1:19" s="56" customFormat="1">
      <c r="A343" s="67" t="s">
        <v>491</v>
      </c>
      <c r="B343" s="68" t="s">
        <v>492</v>
      </c>
      <c r="C343" s="67" t="s">
        <v>137</v>
      </c>
      <c r="D343" s="67" t="s">
        <v>138</v>
      </c>
      <c r="E343" s="67" t="s">
        <v>139</v>
      </c>
      <c r="F343" s="67" t="s">
        <v>162</v>
      </c>
      <c r="G343" s="69" t="s">
        <v>305</v>
      </c>
      <c r="H343" s="67">
        <v>0</v>
      </c>
      <c r="I343" s="67">
        <v>32</v>
      </c>
      <c r="J343" s="67" t="s">
        <v>165</v>
      </c>
      <c r="K343" s="67" t="s">
        <v>80</v>
      </c>
      <c r="L343" s="67" t="s">
        <v>3</v>
      </c>
      <c r="M343" s="67" t="s">
        <v>142</v>
      </c>
      <c r="N343" s="70">
        <v>1000</v>
      </c>
      <c r="O343" s="70">
        <v>1E-3</v>
      </c>
      <c r="P343" s="70"/>
      <c r="Q343" s="98">
        <v>50</v>
      </c>
      <c r="R343" s="70">
        <v>0</v>
      </c>
      <c r="S343" s="70">
        <v>50</v>
      </c>
    </row>
    <row r="344" spans="1:19" s="56" customFormat="1">
      <c r="A344" s="67" t="s">
        <v>493</v>
      </c>
      <c r="B344" s="68" t="s">
        <v>494</v>
      </c>
      <c r="C344" s="67" t="s">
        <v>137</v>
      </c>
      <c r="D344" s="67" t="s">
        <v>138</v>
      </c>
      <c r="E344" s="67" t="s">
        <v>139</v>
      </c>
      <c r="F344" s="67" t="s">
        <v>140</v>
      </c>
      <c r="G344" s="69" t="s">
        <v>305</v>
      </c>
      <c r="H344" s="67">
        <v>0</v>
      </c>
      <c r="I344" s="67">
        <v>1</v>
      </c>
      <c r="J344" s="67" t="s">
        <v>141</v>
      </c>
      <c r="K344" s="67" t="s">
        <v>37</v>
      </c>
      <c r="L344" s="67" t="s">
        <v>3</v>
      </c>
      <c r="M344" s="67" t="s">
        <v>142</v>
      </c>
      <c r="N344" s="70">
        <v>1000</v>
      </c>
      <c r="O344" s="70">
        <v>200</v>
      </c>
      <c r="P344" s="70"/>
      <c r="Q344" s="98">
        <v>6800</v>
      </c>
      <c r="R344" s="70">
        <v>6</v>
      </c>
      <c r="S344" s="70">
        <v>800</v>
      </c>
    </row>
    <row r="345" spans="1:19" s="56" customFormat="1">
      <c r="A345" s="67" t="s">
        <v>493</v>
      </c>
      <c r="B345" s="68" t="s">
        <v>494</v>
      </c>
      <c r="C345" s="67" t="s">
        <v>137</v>
      </c>
      <c r="D345" s="67" t="s">
        <v>138</v>
      </c>
      <c r="E345" s="67" t="s">
        <v>139</v>
      </c>
      <c r="F345" s="67" t="s">
        <v>140</v>
      </c>
      <c r="G345" s="69" t="s">
        <v>305</v>
      </c>
      <c r="H345" s="67">
        <v>0</v>
      </c>
      <c r="I345" s="67">
        <v>2</v>
      </c>
      <c r="J345" s="67" t="s">
        <v>346</v>
      </c>
      <c r="K345" s="67" t="s">
        <v>343</v>
      </c>
      <c r="L345" s="67" t="s">
        <v>3</v>
      </c>
      <c r="M345" s="67" t="s">
        <v>142</v>
      </c>
      <c r="N345" s="70">
        <v>1000</v>
      </c>
      <c r="O345" s="70">
        <v>1E-3</v>
      </c>
      <c r="P345" s="70"/>
      <c r="Q345" s="98">
        <v>12057</v>
      </c>
      <c r="R345" s="70">
        <v>12</v>
      </c>
      <c r="S345" s="70">
        <v>57</v>
      </c>
    </row>
    <row r="346" spans="1:19" s="56" customFormat="1">
      <c r="A346" s="67" t="s">
        <v>493</v>
      </c>
      <c r="B346" s="68" t="s">
        <v>494</v>
      </c>
      <c r="C346" s="67" t="s">
        <v>137</v>
      </c>
      <c r="D346" s="67" t="s">
        <v>138</v>
      </c>
      <c r="E346" s="67" t="s">
        <v>139</v>
      </c>
      <c r="F346" s="67" t="s">
        <v>140</v>
      </c>
      <c r="G346" s="69" t="s">
        <v>305</v>
      </c>
      <c r="H346" s="67">
        <v>0</v>
      </c>
      <c r="I346" s="67">
        <v>3</v>
      </c>
      <c r="J346" s="67" t="s">
        <v>169</v>
      </c>
      <c r="K346" s="67" t="s">
        <v>64</v>
      </c>
      <c r="L346" s="67" t="s">
        <v>3</v>
      </c>
      <c r="M346" s="67" t="s">
        <v>142</v>
      </c>
      <c r="N346" s="70">
        <v>1000</v>
      </c>
      <c r="O346" s="70">
        <v>1E-3</v>
      </c>
      <c r="P346" s="70"/>
      <c r="Q346" s="98">
        <v>161</v>
      </c>
      <c r="R346" s="70">
        <v>0</v>
      </c>
      <c r="S346" s="70">
        <v>161</v>
      </c>
    </row>
    <row r="347" spans="1:19" s="56" customFormat="1">
      <c r="A347" s="67" t="s">
        <v>493</v>
      </c>
      <c r="B347" s="68" t="s">
        <v>494</v>
      </c>
      <c r="C347" s="67" t="s">
        <v>137</v>
      </c>
      <c r="D347" s="67" t="s">
        <v>138</v>
      </c>
      <c r="E347" s="67" t="s">
        <v>139</v>
      </c>
      <c r="F347" s="67" t="s">
        <v>140</v>
      </c>
      <c r="G347" s="69" t="s">
        <v>305</v>
      </c>
      <c r="H347" s="67">
        <v>0</v>
      </c>
      <c r="I347" s="67">
        <v>4</v>
      </c>
      <c r="J347" s="67" t="s">
        <v>143</v>
      </c>
      <c r="K347" s="67" t="s">
        <v>90</v>
      </c>
      <c r="L347" s="67" t="s">
        <v>3</v>
      </c>
      <c r="M347" s="67" t="s">
        <v>142</v>
      </c>
      <c r="N347" s="70">
        <v>1000</v>
      </c>
      <c r="O347" s="70">
        <v>359.59699999999998</v>
      </c>
      <c r="P347" s="70"/>
      <c r="Q347" s="98">
        <v>1633</v>
      </c>
      <c r="R347" s="70">
        <v>1</v>
      </c>
      <c r="S347" s="70">
        <v>633</v>
      </c>
    </row>
    <row r="348" spans="1:19" s="56" customFormat="1">
      <c r="A348" s="67" t="s">
        <v>493</v>
      </c>
      <c r="B348" s="68" t="s">
        <v>494</v>
      </c>
      <c r="C348" s="67" t="s">
        <v>137</v>
      </c>
      <c r="D348" s="67" t="s">
        <v>138</v>
      </c>
      <c r="E348" s="67" t="s">
        <v>139</v>
      </c>
      <c r="F348" s="67" t="s">
        <v>140</v>
      </c>
      <c r="G348" s="69" t="s">
        <v>305</v>
      </c>
      <c r="H348" s="67">
        <v>0</v>
      </c>
      <c r="I348" s="67">
        <v>5</v>
      </c>
      <c r="J348" s="67" t="s">
        <v>250</v>
      </c>
      <c r="K348" s="67" t="s">
        <v>38</v>
      </c>
      <c r="L348" s="67" t="s">
        <v>3</v>
      </c>
      <c r="M348" s="67" t="s">
        <v>142</v>
      </c>
      <c r="N348" s="70">
        <v>1000</v>
      </c>
      <c r="O348" s="70">
        <v>1E-3</v>
      </c>
      <c r="P348" s="70"/>
      <c r="Q348" s="98">
        <v>2730</v>
      </c>
      <c r="R348" s="70">
        <v>2</v>
      </c>
      <c r="S348" s="70">
        <v>730</v>
      </c>
    </row>
    <row r="349" spans="1:19" s="56" customFormat="1">
      <c r="A349" s="67" t="s">
        <v>493</v>
      </c>
      <c r="B349" s="68" t="s">
        <v>494</v>
      </c>
      <c r="C349" s="67" t="s">
        <v>137</v>
      </c>
      <c r="D349" s="67" t="s">
        <v>138</v>
      </c>
      <c r="E349" s="67" t="s">
        <v>139</v>
      </c>
      <c r="F349" s="67" t="s">
        <v>140</v>
      </c>
      <c r="G349" s="69" t="s">
        <v>305</v>
      </c>
      <c r="H349" s="67">
        <v>0</v>
      </c>
      <c r="I349" s="67">
        <v>6</v>
      </c>
      <c r="J349" s="67" t="s">
        <v>144</v>
      </c>
      <c r="K349" s="67" t="s">
        <v>26</v>
      </c>
      <c r="L349" s="67" t="s">
        <v>3</v>
      </c>
      <c r="M349" s="67" t="s">
        <v>142</v>
      </c>
      <c r="N349" s="70">
        <v>1000</v>
      </c>
      <c r="O349" s="70">
        <v>1E-3</v>
      </c>
      <c r="P349" s="70"/>
      <c r="Q349" s="98">
        <v>14795</v>
      </c>
      <c r="R349" s="70">
        <v>14</v>
      </c>
      <c r="S349" s="70">
        <v>795</v>
      </c>
    </row>
    <row r="350" spans="1:19" s="56" customFormat="1">
      <c r="A350" s="67" t="s">
        <v>493</v>
      </c>
      <c r="B350" s="68" t="s">
        <v>494</v>
      </c>
      <c r="C350" s="67" t="s">
        <v>137</v>
      </c>
      <c r="D350" s="67" t="s">
        <v>138</v>
      </c>
      <c r="E350" s="67" t="s">
        <v>139</v>
      </c>
      <c r="F350" s="67" t="s">
        <v>140</v>
      </c>
      <c r="G350" s="69" t="s">
        <v>305</v>
      </c>
      <c r="H350" s="67">
        <v>0</v>
      </c>
      <c r="I350" s="67">
        <v>7</v>
      </c>
      <c r="J350" s="67" t="s">
        <v>145</v>
      </c>
      <c r="K350" s="67" t="s">
        <v>27</v>
      </c>
      <c r="L350" s="67" t="s">
        <v>3</v>
      </c>
      <c r="M350" s="67" t="s">
        <v>142</v>
      </c>
      <c r="N350" s="70">
        <v>1000</v>
      </c>
      <c r="O350" s="70">
        <v>1E-3</v>
      </c>
      <c r="P350" s="70"/>
      <c r="Q350" s="98">
        <v>11427</v>
      </c>
      <c r="R350" s="70">
        <v>11</v>
      </c>
      <c r="S350" s="70">
        <v>427</v>
      </c>
    </row>
    <row r="351" spans="1:19" s="56" customFormat="1">
      <c r="A351" s="67" t="s">
        <v>493</v>
      </c>
      <c r="B351" s="68" t="s">
        <v>494</v>
      </c>
      <c r="C351" s="67" t="s">
        <v>137</v>
      </c>
      <c r="D351" s="67" t="s">
        <v>138</v>
      </c>
      <c r="E351" s="67" t="s">
        <v>139</v>
      </c>
      <c r="F351" s="67" t="s">
        <v>140</v>
      </c>
      <c r="G351" s="69" t="s">
        <v>305</v>
      </c>
      <c r="H351" s="67">
        <v>0</v>
      </c>
      <c r="I351" s="67">
        <v>8</v>
      </c>
      <c r="J351" s="67" t="s">
        <v>171</v>
      </c>
      <c r="K351" s="67" t="s">
        <v>102</v>
      </c>
      <c r="L351" s="67" t="s">
        <v>3</v>
      </c>
      <c r="M351" s="67" t="s">
        <v>142</v>
      </c>
      <c r="N351" s="70">
        <v>1000</v>
      </c>
      <c r="O351" s="70">
        <v>1E-3</v>
      </c>
      <c r="P351" s="70"/>
      <c r="Q351" s="98">
        <v>34</v>
      </c>
      <c r="R351" s="70">
        <v>0</v>
      </c>
      <c r="S351" s="70">
        <v>34</v>
      </c>
    </row>
    <row r="352" spans="1:19" s="56" customFormat="1">
      <c r="A352" s="67" t="s">
        <v>493</v>
      </c>
      <c r="B352" s="68" t="s">
        <v>494</v>
      </c>
      <c r="C352" s="67" t="s">
        <v>137</v>
      </c>
      <c r="D352" s="67" t="s">
        <v>138</v>
      </c>
      <c r="E352" s="67" t="s">
        <v>139</v>
      </c>
      <c r="F352" s="67" t="s">
        <v>140</v>
      </c>
      <c r="G352" s="69" t="s">
        <v>305</v>
      </c>
      <c r="H352" s="67">
        <v>0</v>
      </c>
      <c r="I352" s="67">
        <v>9</v>
      </c>
      <c r="J352" s="67" t="s">
        <v>146</v>
      </c>
      <c r="K352" s="67" t="s">
        <v>46</v>
      </c>
      <c r="L352" s="67" t="s">
        <v>3</v>
      </c>
      <c r="M352" s="67" t="s">
        <v>142</v>
      </c>
      <c r="N352" s="70">
        <v>1000</v>
      </c>
      <c r="O352" s="70">
        <v>1E-3</v>
      </c>
      <c r="P352" s="70"/>
      <c r="Q352" s="98">
        <v>3818</v>
      </c>
      <c r="R352" s="70">
        <v>3</v>
      </c>
      <c r="S352" s="70">
        <v>818</v>
      </c>
    </row>
    <row r="353" spans="1:19" s="56" customFormat="1">
      <c r="A353" s="67" t="s">
        <v>493</v>
      </c>
      <c r="B353" s="68" t="s">
        <v>494</v>
      </c>
      <c r="C353" s="67" t="s">
        <v>137</v>
      </c>
      <c r="D353" s="67" t="s">
        <v>138</v>
      </c>
      <c r="E353" s="67" t="s">
        <v>139</v>
      </c>
      <c r="F353" s="67" t="s">
        <v>140</v>
      </c>
      <c r="G353" s="69" t="s">
        <v>305</v>
      </c>
      <c r="H353" s="67">
        <v>0</v>
      </c>
      <c r="I353" s="67">
        <v>10</v>
      </c>
      <c r="J353" s="67" t="s">
        <v>147</v>
      </c>
      <c r="K353" s="67" t="s">
        <v>41</v>
      </c>
      <c r="L353" s="67" t="s">
        <v>3</v>
      </c>
      <c r="M353" s="67" t="s">
        <v>142</v>
      </c>
      <c r="N353" s="70">
        <v>1000</v>
      </c>
      <c r="O353" s="70">
        <v>1E-3</v>
      </c>
      <c r="P353" s="70"/>
      <c r="Q353" s="98">
        <v>14285</v>
      </c>
      <c r="R353" s="70">
        <v>14</v>
      </c>
      <c r="S353" s="70">
        <v>285</v>
      </c>
    </row>
    <row r="354" spans="1:19" s="56" customFormat="1">
      <c r="A354" s="67" t="s">
        <v>493</v>
      </c>
      <c r="B354" s="68" t="s">
        <v>494</v>
      </c>
      <c r="C354" s="67" t="s">
        <v>137</v>
      </c>
      <c r="D354" s="67" t="s">
        <v>138</v>
      </c>
      <c r="E354" s="67" t="s">
        <v>139</v>
      </c>
      <c r="F354" s="67" t="s">
        <v>140</v>
      </c>
      <c r="G354" s="69" t="s">
        <v>305</v>
      </c>
      <c r="H354" s="67">
        <v>0</v>
      </c>
      <c r="I354" s="67">
        <v>11</v>
      </c>
      <c r="J354" s="67" t="s">
        <v>151</v>
      </c>
      <c r="K354" s="67" t="s">
        <v>28</v>
      </c>
      <c r="L354" s="67" t="s">
        <v>3</v>
      </c>
      <c r="M354" s="67" t="s">
        <v>142</v>
      </c>
      <c r="N354" s="70">
        <v>1000</v>
      </c>
      <c r="O354" s="70">
        <v>1E-3</v>
      </c>
      <c r="P354" s="70"/>
      <c r="Q354" s="98">
        <v>109</v>
      </c>
      <c r="R354" s="70">
        <v>0</v>
      </c>
      <c r="S354" s="70">
        <v>109</v>
      </c>
    </row>
    <row r="355" spans="1:19" s="56" customFormat="1">
      <c r="A355" s="67" t="s">
        <v>493</v>
      </c>
      <c r="B355" s="68" t="s">
        <v>494</v>
      </c>
      <c r="C355" s="67" t="s">
        <v>137</v>
      </c>
      <c r="D355" s="67" t="s">
        <v>138</v>
      </c>
      <c r="E355" s="67" t="s">
        <v>139</v>
      </c>
      <c r="F355" s="67" t="s">
        <v>140</v>
      </c>
      <c r="G355" s="69" t="s">
        <v>305</v>
      </c>
      <c r="H355" s="67">
        <v>0</v>
      </c>
      <c r="I355" s="67">
        <v>12</v>
      </c>
      <c r="J355" s="67" t="s">
        <v>170</v>
      </c>
      <c r="K355" s="67" t="s">
        <v>29</v>
      </c>
      <c r="L355" s="67" t="s">
        <v>3</v>
      </c>
      <c r="M355" s="67" t="s">
        <v>142</v>
      </c>
      <c r="N355" s="70">
        <v>1000</v>
      </c>
      <c r="O355" s="70">
        <v>1E-3</v>
      </c>
      <c r="P355" s="70"/>
      <c r="Q355" s="98">
        <v>506</v>
      </c>
      <c r="R355" s="70">
        <v>0</v>
      </c>
      <c r="S355" s="70">
        <v>506</v>
      </c>
    </row>
    <row r="356" spans="1:19" s="56" customFormat="1">
      <c r="A356" s="67" t="s">
        <v>493</v>
      </c>
      <c r="B356" s="68" t="s">
        <v>494</v>
      </c>
      <c r="C356" s="67" t="s">
        <v>137</v>
      </c>
      <c r="D356" s="67" t="s">
        <v>138</v>
      </c>
      <c r="E356" s="67" t="s">
        <v>139</v>
      </c>
      <c r="F356" s="67" t="s">
        <v>140</v>
      </c>
      <c r="G356" s="69" t="s">
        <v>305</v>
      </c>
      <c r="H356" s="67">
        <v>0</v>
      </c>
      <c r="I356" s="67">
        <v>13</v>
      </c>
      <c r="J356" s="67" t="s">
        <v>148</v>
      </c>
      <c r="K356" s="67" t="s">
        <v>30</v>
      </c>
      <c r="L356" s="67" t="s">
        <v>3</v>
      </c>
      <c r="M356" s="67" t="s">
        <v>142</v>
      </c>
      <c r="N356" s="70">
        <v>1000</v>
      </c>
      <c r="O356" s="70">
        <v>1E-3</v>
      </c>
      <c r="P356" s="70"/>
      <c r="Q356" s="98">
        <v>10514</v>
      </c>
      <c r="R356" s="70">
        <v>10</v>
      </c>
      <c r="S356" s="70">
        <v>514</v>
      </c>
    </row>
    <row r="357" spans="1:19" s="56" customFormat="1">
      <c r="A357" s="67" t="s">
        <v>493</v>
      </c>
      <c r="B357" s="68" t="s">
        <v>494</v>
      </c>
      <c r="C357" s="67" t="s">
        <v>137</v>
      </c>
      <c r="D357" s="67" t="s">
        <v>138</v>
      </c>
      <c r="E357" s="67" t="s">
        <v>139</v>
      </c>
      <c r="F357" s="67" t="s">
        <v>140</v>
      </c>
      <c r="G357" s="69" t="s">
        <v>305</v>
      </c>
      <c r="H357" s="67">
        <v>0</v>
      </c>
      <c r="I357" s="67">
        <v>14</v>
      </c>
      <c r="J357" s="67" t="s">
        <v>314</v>
      </c>
      <c r="K357" s="67" t="s">
        <v>281</v>
      </c>
      <c r="L357" s="67" t="s">
        <v>3</v>
      </c>
      <c r="M357" s="67" t="s">
        <v>142</v>
      </c>
      <c r="N357" s="70">
        <v>1000</v>
      </c>
      <c r="O357" s="70">
        <v>1E-3</v>
      </c>
      <c r="P357" s="70"/>
      <c r="Q357" s="98">
        <v>180000</v>
      </c>
      <c r="R357" s="70">
        <v>180</v>
      </c>
      <c r="S357" s="70">
        <v>0</v>
      </c>
    </row>
    <row r="358" spans="1:19" s="56" customFormat="1">
      <c r="A358" s="67" t="s">
        <v>493</v>
      </c>
      <c r="B358" s="68" t="s">
        <v>494</v>
      </c>
      <c r="C358" s="67" t="s">
        <v>137</v>
      </c>
      <c r="D358" s="67" t="s">
        <v>138</v>
      </c>
      <c r="E358" s="67" t="s">
        <v>139</v>
      </c>
      <c r="F358" s="67" t="s">
        <v>140</v>
      </c>
      <c r="G358" s="69" t="s">
        <v>305</v>
      </c>
      <c r="H358" s="67">
        <v>0</v>
      </c>
      <c r="I358" s="67">
        <v>15</v>
      </c>
      <c r="J358" s="67" t="s">
        <v>152</v>
      </c>
      <c r="K358" s="67" t="s">
        <v>57</v>
      </c>
      <c r="L358" s="67" t="s">
        <v>3</v>
      </c>
      <c r="M358" s="67" t="s">
        <v>142</v>
      </c>
      <c r="N358" s="70">
        <v>1000</v>
      </c>
      <c r="O358" s="70">
        <v>16</v>
      </c>
      <c r="P358" s="70"/>
      <c r="Q358" s="98">
        <v>25000</v>
      </c>
      <c r="R358" s="70">
        <v>25</v>
      </c>
      <c r="S358" s="70">
        <v>0</v>
      </c>
    </row>
    <row r="359" spans="1:19" s="56" customFormat="1">
      <c r="A359" s="67" t="s">
        <v>493</v>
      </c>
      <c r="B359" s="68" t="s">
        <v>494</v>
      </c>
      <c r="C359" s="67" t="s">
        <v>137</v>
      </c>
      <c r="D359" s="67" t="s">
        <v>138</v>
      </c>
      <c r="E359" s="67" t="s">
        <v>139</v>
      </c>
      <c r="F359" s="67" t="s">
        <v>140</v>
      </c>
      <c r="G359" s="69" t="s">
        <v>305</v>
      </c>
      <c r="H359" s="67">
        <v>0</v>
      </c>
      <c r="I359" s="67">
        <v>16</v>
      </c>
      <c r="J359" s="67" t="s">
        <v>149</v>
      </c>
      <c r="K359" s="67" t="s">
        <v>24</v>
      </c>
      <c r="L359" s="67" t="s">
        <v>3</v>
      </c>
      <c r="M359" s="67" t="s">
        <v>142</v>
      </c>
      <c r="N359" s="70">
        <v>1000</v>
      </c>
      <c r="O359" s="70">
        <v>19</v>
      </c>
      <c r="P359" s="70"/>
      <c r="Q359" s="98">
        <v>2000</v>
      </c>
      <c r="R359" s="70">
        <v>2</v>
      </c>
      <c r="S359" s="70">
        <v>0</v>
      </c>
    </row>
    <row r="360" spans="1:19" s="56" customFormat="1">
      <c r="A360" s="67" t="s">
        <v>493</v>
      </c>
      <c r="B360" s="68" t="s">
        <v>494</v>
      </c>
      <c r="C360" s="67" t="s">
        <v>137</v>
      </c>
      <c r="D360" s="67" t="s">
        <v>138</v>
      </c>
      <c r="E360" s="67" t="s">
        <v>139</v>
      </c>
      <c r="F360" s="67" t="s">
        <v>140</v>
      </c>
      <c r="G360" s="69" t="s">
        <v>305</v>
      </c>
      <c r="H360" s="67">
        <v>0</v>
      </c>
      <c r="I360" s="67">
        <v>17</v>
      </c>
      <c r="J360" s="67" t="s">
        <v>150</v>
      </c>
      <c r="K360" s="67" t="s">
        <v>32</v>
      </c>
      <c r="L360" s="67" t="s">
        <v>3</v>
      </c>
      <c r="M360" s="67" t="s">
        <v>142</v>
      </c>
      <c r="N360" s="70">
        <v>1000</v>
      </c>
      <c r="O360" s="70">
        <v>20.5</v>
      </c>
      <c r="P360" s="70"/>
      <c r="Q360" s="98">
        <v>500</v>
      </c>
      <c r="R360" s="70">
        <v>0</v>
      </c>
      <c r="S360" s="70">
        <v>500</v>
      </c>
    </row>
    <row r="361" spans="1:19" s="56" customFormat="1">
      <c r="A361" s="67" t="s">
        <v>493</v>
      </c>
      <c r="B361" s="68" t="s">
        <v>494</v>
      </c>
      <c r="C361" s="67" t="s">
        <v>137</v>
      </c>
      <c r="D361" s="67" t="s">
        <v>138</v>
      </c>
      <c r="E361" s="67" t="s">
        <v>139</v>
      </c>
      <c r="F361" s="67" t="s">
        <v>153</v>
      </c>
      <c r="G361" s="69" t="s">
        <v>305</v>
      </c>
      <c r="H361" s="67">
        <v>0</v>
      </c>
      <c r="I361" s="67">
        <v>18</v>
      </c>
      <c r="J361" s="67" t="s">
        <v>154</v>
      </c>
      <c r="K361" s="67" t="s">
        <v>23</v>
      </c>
      <c r="L361" s="67" t="s">
        <v>3</v>
      </c>
      <c r="M361" s="67" t="s">
        <v>142</v>
      </c>
      <c r="N361" s="70">
        <v>1000</v>
      </c>
      <c r="O361" s="70">
        <v>32.021000000000001</v>
      </c>
      <c r="P361" s="70"/>
      <c r="Q361" s="98">
        <v>100000</v>
      </c>
      <c r="R361" s="70">
        <v>100</v>
      </c>
      <c r="S361" s="70">
        <v>0</v>
      </c>
    </row>
    <row r="362" spans="1:19" s="56" customFormat="1">
      <c r="A362" s="67" t="s">
        <v>493</v>
      </c>
      <c r="B362" s="68" t="s">
        <v>494</v>
      </c>
      <c r="C362" s="67" t="s">
        <v>137</v>
      </c>
      <c r="D362" s="67" t="s">
        <v>138</v>
      </c>
      <c r="E362" s="67" t="s">
        <v>139</v>
      </c>
      <c r="F362" s="67" t="s">
        <v>153</v>
      </c>
      <c r="G362" s="69" t="s">
        <v>305</v>
      </c>
      <c r="H362" s="67">
        <v>0</v>
      </c>
      <c r="I362" s="67">
        <v>19</v>
      </c>
      <c r="J362" s="67" t="s">
        <v>155</v>
      </c>
      <c r="K362" s="67" t="s">
        <v>33</v>
      </c>
      <c r="L362" s="67" t="s">
        <v>3</v>
      </c>
      <c r="M362" s="67" t="s">
        <v>142</v>
      </c>
      <c r="N362" s="70">
        <v>1000</v>
      </c>
      <c r="O362" s="70">
        <v>1.3599999999999999E-2</v>
      </c>
      <c r="P362" s="70"/>
      <c r="Q362" s="98">
        <v>95000</v>
      </c>
      <c r="R362" s="70">
        <v>95</v>
      </c>
      <c r="S362" s="70">
        <v>0</v>
      </c>
    </row>
    <row r="363" spans="1:19" s="56" customFormat="1">
      <c r="A363" s="67" t="s">
        <v>493</v>
      </c>
      <c r="B363" s="68" t="s">
        <v>494</v>
      </c>
      <c r="C363" s="67" t="s">
        <v>137</v>
      </c>
      <c r="D363" s="67" t="s">
        <v>138</v>
      </c>
      <c r="E363" s="67" t="s">
        <v>139</v>
      </c>
      <c r="F363" s="67" t="s">
        <v>153</v>
      </c>
      <c r="G363" s="69" t="s">
        <v>305</v>
      </c>
      <c r="H363" s="67">
        <v>0</v>
      </c>
      <c r="I363" s="67">
        <v>20</v>
      </c>
      <c r="J363" s="67" t="s">
        <v>317</v>
      </c>
      <c r="K363" s="67" t="s">
        <v>17</v>
      </c>
      <c r="L363" s="67" t="s">
        <v>3</v>
      </c>
      <c r="M363" s="67" t="s">
        <v>142</v>
      </c>
      <c r="N363" s="70">
        <v>1000</v>
      </c>
      <c r="O363" s="70">
        <v>1E-3</v>
      </c>
      <c r="P363" s="70"/>
      <c r="Q363" s="98">
        <v>38000</v>
      </c>
      <c r="R363" s="70">
        <v>38</v>
      </c>
      <c r="S363" s="70">
        <v>0</v>
      </c>
    </row>
    <row r="364" spans="1:19" s="56" customFormat="1">
      <c r="A364" s="67" t="s">
        <v>493</v>
      </c>
      <c r="B364" s="68" t="s">
        <v>494</v>
      </c>
      <c r="C364" s="67" t="s">
        <v>137</v>
      </c>
      <c r="D364" s="67" t="s">
        <v>138</v>
      </c>
      <c r="E364" s="67" t="s">
        <v>139</v>
      </c>
      <c r="F364" s="67" t="s">
        <v>153</v>
      </c>
      <c r="G364" s="69" t="s">
        <v>305</v>
      </c>
      <c r="H364" s="67">
        <v>0</v>
      </c>
      <c r="I364" s="67">
        <v>21</v>
      </c>
      <c r="J364" s="67" t="s">
        <v>251</v>
      </c>
      <c r="K364" s="67" t="s">
        <v>249</v>
      </c>
      <c r="L364" s="67" t="s">
        <v>3</v>
      </c>
      <c r="M364" s="67" t="s">
        <v>142</v>
      </c>
      <c r="N364" s="70">
        <v>1000</v>
      </c>
      <c r="O364" s="70">
        <v>1E-3</v>
      </c>
      <c r="P364" s="70"/>
      <c r="Q364" s="98">
        <v>20000</v>
      </c>
      <c r="R364" s="70">
        <v>20</v>
      </c>
      <c r="S364" s="70">
        <v>0</v>
      </c>
    </row>
    <row r="365" spans="1:19" s="56" customFormat="1">
      <c r="A365" s="67" t="s">
        <v>493</v>
      </c>
      <c r="B365" s="68" t="s">
        <v>494</v>
      </c>
      <c r="C365" s="67" t="s">
        <v>137</v>
      </c>
      <c r="D365" s="67" t="s">
        <v>138</v>
      </c>
      <c r="E365" s="67" t="s">
        <v>139</v>
      </c>
      <c r="F365" s="67" t="s">
        <v>153</v>
      </c>
      <c r="G365" s="69" t="s">
        <v>305</v>
      </c>
      <c r="H365" s="67">
        <v>0</v>
      </c>
      <c r="I365" s="67">
        <v>22</v>
      </c>
      <c r="J365" s="67" t="s">
        <v>168</v>
      </c>
      <c r="K365" s="67" t="s">
        <v>34</v>
      </c>
      <c r="L365" s="67" t="s">
        <v>3</v>
      </c>
      <c r="M365" s="67" t="s">
        <v>142</v>
      </c>
      <c r="N365" s="70">
        <v>1000</v>
      </c>
      <c r="O365" s="70">
        <v>1E-3</v>
      </c>
      <c r="P365" s="70"/>
      <c r="Q365" s="98">
        <v>5200</v>
      </c>
      <c r="R365" s="70">
        <v>5</v>
      </c>
      <c r="S365" s="70">
        <v>200</v>
      </c>
    </row>
    <row r="366" spans="1:19" s="56" customFormat="1">
      <c r="A366" s="67" t="s">
        <v>493</v>
      </c>
      <c r="B366" s="68" t="s">
        <v>494</v>
      </c>
      <c r="C366" s="67" t="s">
        <v>137</v>
      </c>
      <c r="D366" s="67" t="s">
        <v>138</v>
      </c>
      <c r="E366" s="67" t="s">
        <v>139</v>
      </c>
      <c r="F366" s="67" t="s">
        <v>153</v>
      </c>
      <c r="G366" s="69" t="s">
        <v>305</v>
      </c>
      <c r="H366" s="67">
        <v>0</v>
      </c>
      <c r="I366" s="67">
        <v>23</v>
      </c>
      <c r="J366" s="67" t="s">
        <v>495</v>
      </c>
      <c r="K366" s="67" t="s">
        <v>43</v>
      </c>
      <c r="L366" s="67" t="s">
        <v>3</v>
      </c>
      <c r="M366" s="67" t="s">
        <v>142</v>
      </c>
      <c r="N366" s="70">
        <v>1000</v>
      </c>
      <c r="O366" s="70">
        <v>1E-3</v>
      </c>
      <c r="P366" s="70"/>
      <c r="Q366" s="98">
        <v>24000</v>
      </c>
      <c r="R366" s="70">
        <v>24</v>
      </c>
      <c r="S366" s="70">
        <v>0</v>
      </c>
    </row>
    <row r="367" spans="1:19" s="56" customFormat="1">
      <c r="A367" s="67" t="s">
        <v>493</v>
      </c>
      <c r="B367" s="68" t="s">
        <v>494</v>
      </c>
      <c r="C367" s="67" t="s">
        <v>137</v>
      </c>
      <c r="D367" s="67" t="s">
        <v>138</v>
      </c>
      <c r="E367" s="67" t="s">
        <v>139</v>
      </c>
      <c r="F367" s="67" t="s">
        <v>153</v>
      </c>
      <c r="G367" s="69" t="s">
        <v>305</v>
      </c>
      <c r="H367" s="67">
        <v>0</v>
      </c>
      <c r="I367" s="67">
        <v>24</v>
      </c>
      <c r="J367" s="67" t="s">
        <v>247</v>
      </c>
      <c r="K367" s="67" t="s">
        <v>79</v>
      </c>
      <c r="L367" s="67" t="s">
        <v>3</v>
      </c>
      <c r="M367" s="67" t="s">
        <v>142</v>
      </c>
      <c r="N367" s="70">
        <v>1000</v>
      </c>
      <c r="O367" s="70">
        <v>1E-3</v>
      </c>
      <c r="P367" s="70"/>
      <c r="Q367" s="98">
        <v>8000</v>
      </c>
      <c r="R367" s="70">
        <v>8</v>
      </c>
      <c r="S367" s="70">
        <v>0</v>
      </c>
    </row>
    <row r="368" spans="1:19" s="56" customFormat="1">
      <c r="A368" s="67" t="s">
        <v>493</v>
      </c>
      <c r="B368" s="68" t="s">
        <v>494</v>
      </c>
      <c r="C368" s="67" t="s">
        <v>137</v>
      </c>
      <c r="D368" s="67" t="s">
        <v>138</v>
      </c>
      <c r="E368" s="67" t="s">
        <v>139</v>
      </c>
      <c r="F368" s="67" t="s">
        <v>153</v>
      </c>
      <c r="G368" s="69" t="s">
        <v>305</v>
      </c>
      <c r="H368" s="67">
        <v>0</v>
      </c>
      <c r="I368" s="67">
        <v>25</v>
      </c>
      <c r="J368" s="67" t="s">
        <v>315</v>
      </c>
      <c r="K368" s="67" t="s">
        <v>47</v>
      </c>
      <c r="L368" s="67" t="s">
        <v>3</v>
      </c>
      <c r="M368" s="67" t="s">
        <v>142</v>
      </c>
      <c r="N368" s="70">
        <v>1000</v>
      </c>
      <c r="O368" s="70">
        <v>1E-3</v>
      </c>
      <c r="P368" s="70"/>
      <c r="Q368" s="98">
        <v>3000</v>
      </c>
      <c r="R368" s="70">
        <v>3</v>
      </c>
      <c r="S368" s="70">
        <v>0</v>
      </c>
    </row>
    <row r="369" spans="1:19" s="56" customFormat="1">
      <c r="A369" s="67" t="s">
        <v>493</v>
      </c>
      <c r="B369" s="68" t="s">
        <v>494</v>
      </c>
      <c r="C369" s="67" t="s">
        <v>137</v>
      </c>
      <c r="D369" s="67" t="s">
        <v>138</v>
      </c>
      <c r="E369" s="67" t="s">
        <v>139</v>
      </c>
      <c r="F369" s="67" t="s">
        <v>153</v>
      </c>
      <c r="G369" s="69" t="s">
        <v>305</v>
      </c>
      <c r="H369" s="67">
        <v>0</v>
      </c>
      <c r="I369" s="67">
        <v>26</v>
      </c>
      <c r="J369" s="67" t="s">
        <v>344</v>
      </c>
      <c r="K369" s="67" t="s">
        <v>15</v>
      </c>
      <c r="L369" s="67" t="s">
        <v>3</v>
      </c>
      <c r="M369" s="67" t="s">
        <v>142</v>
      </c>
      <c r="N369" s="70">
        <v>1000</v>
      </c>
      <c r="O369" s="70">
        <v>1E-3</v>
      </c>
      <c r="P369" s="70"/>
      <c r="Q369" s="98">
        <v>24000</v>
      </c>
      <c r="R369" s="70">
        <v>24</v>
      </c>
      <c r="S369" s="70">
        <v>0</v>
      </c>
    </row>
    <row r="370" spans="1:19" s="56" customFormat="1">
      <c r="A370" s="67" t="s">
        <v>493</v>
      </c>
      <c r="B370" s="68" t="s">
        <v>494</v>
      </c>
      <c r="C370" s="67" t="s">
        <v>137</v>
      </c>
      <c r="D370" s="67" t="s">
        <v>138</v>
      </c>
      <c r="E370" s="67" t="s">
        <v>139</v>
      </c>
      <c r="F370" s="67" t="s">
        <v>166</v>
      </c>
      <c r="G370" s="69" t="s">
        <v>305</v>
      </c>
      <c r="H370" s="67">
        <v>0</v>
      </c>
      <c r="I370" s="67">
        <v>27</v>
      </c>
      <c r="J370" s="67" t="s">
        <v>157</v>
      </c>
      <c r="K370" s="67" t="s">
        <v>48</v>
      </c>
      <c r="L370" s="67" t="s">
        <v>93</v>
      </c>
      <c r="M370" s="67" t="s">
        <v>158</v>
      </c>
      <c r="N370" s="70">
        <v>1000</v>
      </c>
      <c r="O370" s="70">
        <v>1E-3</v>
      </c>
      <c r="P370" s="70"/>
      <c r="Q370" s="98">
        <v>40000</v>
      </c>
      <c r="R370" s="70">
        <v>40</v>
      </c>
      <c r="S370" s="70">
        <v>0</v>
      </c>
    </row>
    <row r="371" spans="1:19" s="56" customFormat="1">
      <c r="A371" s="67" t="s">
        <v>493</v>
      </c>
      <c r="B371" s="68" t="s">
        <v>494</v>
      </c>
      <c r="C371" s="67" t="s">
        <v>137</v>
      </c>
      <c r="D371" s="67" t="s">
        <v>138</v>
      </c>
      <c r="E371" s="67" t="s">
        <v>139</v>
      </c>
      <c r="F371" s="67" t="s">
        <v>166</v>
      </c>
      <c r="G371" s="69" t="s">
        <v>305</v>
      </c>
      <c r="H371" s="67">
        <v>0</v>
      </c>
      <c r="I371" s="67">
        <v>28</v>
      </c>
      <c r="J371" s="67" t="s">
        <v>318</v>
      </c>
      <c r="K371" s="67" t="s">
        <v>56</v>
      </c>
      <c r="L371" s="67" t="s">
        <v>3</v>
      </c>
      <c r="M371" s="67" t="s">
        <v>142</v>
      </c>
      <c r="N371" s="70">
        <v>1000</v>
      </c>
      <c r="O371" s="70">
        <v>1E-3</v>
      </c>
      <c r="P371" s="70"/>
      <c r="Q371" s="98">
        <v>25000</v>
      </c>
      <c r="R371" s="70">
        <v>25</v>
      </c>
      <c r="S371" s="70">
        <v>0</v>
      </c>
    </row>
    <row r="372" spans="1:19" s="56" customFormat="1">
      <c r="A372" s="67" t="s">
        <v>493</v>
      </c>
      <c r="B372" s="68" t="s">
        <v>494</v>
      </c>
      <c r="C372" s="67" t="s">
        <v>137</v>
      </c>
      <c r="D372" s="67" t="s">
        <v>138</v>
      </c>
      <c r="E372" s="67" t="s">
        <v>139</v>
      </c>
      <c r="F372" s="67" t="s">
        <v>162</v>
      </c>
      <c r="G372" s="69" t="s">
        <v>305</v>
      </c>
      <c r="H372" s="67">
        <v>0</v>
      </c>
      <c r="I372" s="67">
        <v>29</v>
      </c>
      <c r="J372" s="67" t="s">
        <v>234</v>
      </c>
      <c r="K372" s="67" t="s">
        <v>233</v>
      </c>
      <c r="L372" s="67" t="s">
        <v>3</v>
      </c>
      <c r="M372" s="67" t="s">
        <v>142</v>
      </c>
      <c r="N372" s="70">
        <v>1000</v>
      </c>
      <c r="O372" s="70">
        <v>5.6</v>
      </c>
      <c r="P372" s="70"/>
      <c r="Q372" s="98">
        <v>950000</v>
      </c>
      <c r="R372" s="70">
        <v>950</v>
      </c>
      <c r="S372" s="70">
        <v>0</v>
      </c>
    </row>
    <row r="373" spans="1:19" s="56" customFormat="1">
      <c r="A373" s="67" t="s">
        <v>493</v>
      </c>
      <c r="B373" s="68" t="s">
        <v>494</v>
      </c>
      <c r="C373" s="67" t="s">
        <v>137</v>
      </c>
      <c r="D373" s="67" t="s">
        <v>138</v>
      </c>
      <c r="E373" s="67" t="s">
        <v>139</v>
      </c>
      <c r="F373" s="67" t="s">
        <v>162</v>
      </c>
      <c r="G373" s="69" t="s">
        <v>305</v>
      </c>
      <c r="H373" s="67">
        <v>0</v>
      </c>
      <c r="I373" s="67">
        <v>30</v>
      </c>
      <c r="J373" s="67" t="s">
        <v>262</v>
      </c>
      <c r="K373" s="67" t="s">
        <v>258</v>
      </c>
      <c r="L373" s="67" t="s">
        <v>3</v>
      </c>
      <c r="M373" s="67" t="s">
        <v>142</v>
      </c>
      <c r="N373" s="70">
        <v>1000</v>
      </c>
      <c r="O373" s="70">
        <v>0</v>
      </c>
      <c r="P373" s="70"/>
      <c r="Q373" s="98">
        <v>12000</v>
      </c>
      <c r="R373" s="70">
        <v>12</v>
      </c>
      <c r="S373" s="70">
        <v>0</v>
      </c>
    </row>
    <row r="374" spans="1:19" s="56" customFormat="1">
      <c r="A374" s="67" t="s">
        <v>493</v>
      </c>
      <c r="B374" s="68" t="s">
        <v>494</v>
      </c>
      <c r="C374" s="67" t="s">
        <v>137</v>
      </c>
      <c r="D374" s="67" t="s">
        <v>138</v>
      </c>
      <c r="E374" s="67" t="s">
        <v>139</v>
      </c>
      <c r="F374" s="67" t="s">
        <v>162</v>
      </c>
      <c r="G374" s="69" t="s">
        <v>305</v>
      </c>
      <c r="H374" s="67">
        <v>0</v>
      </c>
      <c r="I374" s="67">
        <v>31</v>
      </c>
      <c r="J374" s="67" t="s">
        <v>263</v>
      </c>
      <c r="K374" s="67" t="s">
        <v>259</v>
      </c>
      <c r="L374" s="67" t="s">
        <v>3</v>
      </c>
      <c r="M374" s="67" t="s">
        <v>142</v>
      </c>
      <c r="N374" s="70">
        <v>1000</v>
      </c>
      <c r="O374" s="70">
        <v>1E-3</v>
      </c>
      <c r="P374" s="70"/>
      <c r="Q374" s="98">
        <v>12000</v>
      </c>
      <c r="R374" s="70">
        <v>12</v>
      </c>
      <c r="S374" s="70">
        <v>0</v>
      </c>
    </row>
    <row r="375" spans="1:19" s="56" customFormat="1">
      <c r="A375" s="67" t="s">
        <v>493</v>
      </c>
      <c r="B375" s="68" t="s">
        <v>494</v>
      </c>
      <c r="C375" s="67" t="s">
        <v>137</v>
      </c>
      <c r="D375" s="67" t="s">
        <v>138</v>
      </c>
      <c r="E375" s="67" t="s">
        <v>139</v>
      </c>
      <c r="F375" s="67" t="s">
        <v>162</v>
      </c>
      <c r="G375" s="69" t="s">
        <v>305</v>
      </c>
      <c r="H375" s="67">
        <v>0</v>
      </c>
      <c r="I375" s="67">
        <v>32</v>
      </c>
      <c r="J375" s="67" t="s">
        <v>163</v>
      </c>
      <c r="K375" s="67" t="s">
        <v>14</v>
      </c>
      <c r="L375" s="67" t="s">
        <v>3</v>
      </c>
      <c r="M375" s="67" t="s">
        <v>142</v>
      </c>
      <c r="N375" s="70">
        <v>1000</v>
      </c>
      <c r="O375" s="70">
        <v>1E-3</v>
      </c>
      <c r="P375" s="70"/>
      <c r="Q375" s="98">
        <v>20000</v>
      </c>
      <c r="R375" s="70">
        <v>20</v>
      </c>
      <c r="S375" s="70">
        <v>0</v>
      </c>
    </row>
    <row r="376" spans="1:19" s="56" customFormat="1">
      <c r="A376" s="67" t="s">
        <v>493</v>
      </c>
      <c r="B376" s="68" t="s">
        <v>494</v>
      </c>
      <c r="C376" s="67" t="s">
        <v>137</v>
      </c>
      <c r="D376" s="67" t="s">
        <v>138</v>
      </c>
      <c r="E376" s="67" t="s">
        <v>139</v>
      </c>
      <c r="F376" s="67" t="s">
        <v>162</v>
      </c>
      <c r="G376" s="69" t="s">
        <v>305</v>
      </c>
      <c r="H376" s="67">
        <v>0</v>
      </c>
      <c r="I376" s="67">
        <v>33</v>
      </c>
      <c r="J376" s="67" t="s">
        <v>164</v>
      </c>
      <c r="K376" s="67" t="s">
        <v>74</v>
      </c>
      <c r="L376" s="67" t="s">
        <v>5</v>
      </c>
      <c r="M376" s="67" t="s">
        <v>142</v>
      </c>
      <c r="N376" s="70">
        <v>1000</v>
      </c>
      <c r="O376" s="70">
        <v>1E-3</v>
      </c>
      <c r="P376" s="70"/>
      <c r="Q376" s="98">
        <v>15000</v>
      </c>
      <c r="R376" s="70">
        <v>15</v>
      </c>
      <c r="S376" s="70">
        <v>0</v>
      </c>
    </row>
    <row r="377" spans="1:19" s="56" customFormat="1">
      <c r="A377" s="67" t="s">
        <v>493</v>
      </c>
      <c r="B377" s="68" t="s">
        <v>494</v>
      </c>
      <c r="C377" s="67" t="s">
        <v>137</v>
      </c>
      <c r="D377" s="67" t="s">
        <v>138</v>
      </c>
      <c r="E377" s="67" t="s">
        <v>139</v>
      </c>
      <c r="F377" s="67" t="s">
        <v>162</v>
      </c>
      <c r="G377" s="69" t="s">
        <v>305</v>
      </c>
      <c r="H377" s="67">
        <v>0</v>
      </c>
      <c r="I377" s="67">
        <v>34</v>
      </c>
      <c r="J377" s="67" t="s">
        <v>165</v>
      </c>
      <c r="K377" s="67" t="s">
        <v>80</v>
      </c>
      <c r="L377" s="67" t="s">
        <v>3</v>
      </c>
      <c r="M377" s="67" t="s">
        <v>142</v>
      </c>
      <c r="N377" s="70">
        <v>1000</v>
      </c>
      <c r="O377" s="70">
        <v>1E-3</v>
      </c>
      <c r="P377" s="70"/>
      <c r="Q377" s="98">
        <v>50</v>
      </c>
      <c r="R377" s="70">
        <v>0</v>
      </c>
      <c r="S377" s="70">
        <v>50</v>
      </c>
    </row>
    <row r="378" spans="1:19" s="56" customFormat="1">
      <c r="A378" s="67" t="s">
        <v>493</v>
      </c>
      <c r="B378" s="68" t="s">
        <v>494</v>
      </c>
      <c r="C378" s="67" t="s">
        <v>137</v>
      </c>
      <c r="D378" s="67" t="s">
        <v>138</v>
      </c>
      <c r="E378" s="67" t="s">
        <v>139</v>
      </c>
      <c r="F378" s="67" t="s">
        <v>162</v>
      </c>
      <c r="G378" s="69" t="s">
        <v>305</v>
      </c>
      <c r="H378" s="67">
        <v>0</v>
      </c>
      <c r="I378" s="67">
        <v>35</v>
      </c>
      <c r="J378" s="67" t="s">
        <v>240</v>
      </c>
      <c r="K378" s="67" t="s">
        <v>237</v>
      </c>
      <c r="L378" s="67" t="s">
        <v>3</v>
      </c>
      <c r="M378" s="67" t="s">
        <v>142</v>
      </c>
      <c r="N378" s="70">
        <v>1000</v>
      </c>
      <c r="O378" s="70">
        <v>1E-3</v>
      </c>
      <c r="P378" s="70"/>
      <c r="Q378" s="98">
        <v>25000</v>
      </c>
      <c r="R378" s="70">
        <v>25</v>
      </c>
      <c r="S378" s="70">
        <v>0</v>
      </c>
    </row>
    <row r="379" spans="1:19" s="56" customFormat="1">
      <c r="A379" s="67" t="s">
        <v>496</v>
      </c>
      <c r="B379" s="68" t="s">
        <v>497</v>
      </c>
      <c r="C379" s="67" t="s">
        <v>137</v>
      </c>
      <c r="D379" s="67" t="s">
        <v>138</v>
      </c>
      <c r="E379" s="67" t="s">
        <v>139</v>
      </c>
      <c r="F379" s="67" t="s">
        <v>140</v>
      </c>
      <c r="G379" s="69" t="s">
        <v>305</v>
      </c>
      <c r="H379" s="67">
        <v>0</v>
      </c>
      <c r="I379" s="67">
        <v>1</v>
      </c>
      <c r="J379" s="67" t="s">
        <v>141</v>
      </c>
      <c r="K379" s="67" t="s">
        <v>37</v>
      </c>
      <c r="L379" s="67" t="s">
        <v>3</v>
      </c>
      <c r="M379" s="67" t="s">
        <v>142</v>
      </c>
      <c r="N379" s="70">
        <v>1000</v>
      </c>
      <c r="O379" s="70">
        <v>200</v>
      </c>
      <c r="P379" s="70"/>
      <c r="Q379" s="98">
        <v>2721</v>
      </c>
      <c r="R379" s="70">
        <v>2</v>
      </c>
      <c r="S379" s="70">
        <v>721</v>
      </c>
    </row>
    <row r="380" spans="1:19" s="56" customFormat="1">
      <c r="A380" s="67" t="s">
        <v>496</v>
      </c>
      <c r="B380" s="68" t="s">
        <v>497</v>
      </c>
      <c r="C380" s="67" t="s">
        <v>137</v>
      </c>
      <c r="D380" s="67" t="s">
        <v>138</v>
      </c>
      <c r="E380" s="67" t="s">
        <v>139</v>
      </c>
      <c r="F380" s="67" t="s">
        <v>140</v>
      </c>
      <c r="G380" s="69" t="s">
        <v>305</v>
      </c>
      <c r="H380" s="67">
        <v>0</v>
      </c>
      <c r="I380" s="67">
        <v>2</v>
      </c>
      <c r="J380" s="67" t="s">
        <v>143</v>
      </c>
      <c r="K380" s="67" t="s">
        <v>90</v>
      </c>
      <c r="L380" s="67" t="s">
        <v>3</v>
      </c>
      <c r="M380" s="67" t="s">
        <v>142</v>
      </c>
      <c r="N380" s="70">
        <v>1000</v>
      </c>
      <c r="O380" s="70">
        <v>359.59699999999998</v>
      </c>
      <c r="P380" s="70"/>
      <c r="Q380" s="98">
        <v>5</v>
      </c>
      <c r="R380" s="70">
        <v>0</v>
      </c>
      <c r="S380" s="70">
        <v>5</v>
      </c>
    </row>
    <row r="381" spans="1:19" s="56" customFormat="1">
      <c r="A381" s="67" t="s">
        <v>496</v>
      </c>
      <c r="B381" s="68" t="s">
        <v>497</v>
      </c>
      <c r="C381" s="67" t="s">
        <v>137</v>
      </c>
      <c r="D381" s="67" t="s">
        <v>138</v>
      </c>
      <c r="E381" s="67" t="s">
        <v>139</v>
      </c>
      <c r="F381" s="67" t="s">
        <v>140</v>
      </c>
      <c r="G381" s="69" t="s">
        <v>305</v>
      </c>
      <c r="H381" s="67">
        <v>0</v>
      </c>
      <c r="I381" s="67">
        <v>3</v>
      </c>
      <c r="J381" s="67" t="s">
        <v>346</v>
      </c>
      <c r="K381" s="67" t="s">
        <v>343</v>
      </c>
      <c r="L381" s="67" t="s">
        <v>3</v>
      </c>
      <c r="M381" s="67" t="s">
        <v>142</v>
      </c>
      <c r="N381" s="70">
        <v>1000</v>
      </c>
      <c r="O381" s="70">
        <v>1E-3</v>
      </c>
      <c r="P381" s="70"/>
      <c r="Q381" s="98">
        <v>18529</v>
      </c>
      <c r="R381" s="70">
        <v>18</v>
      </c>
      <c r="S381" s="70">
        <v>529</v>
      </c>
    </row>
    <row r="382" spans="1:19" s="56" customFormat="1">
      <c r="A382" s="67" t="s">
        <v>496</v>
      </c>
      <c r="B382" s="68" t="s">
        <v>497</v>
      </c>
      <c r="C382" s="67" t="s">
        <v>137</v>
      </c>
      <c r="D382" s="67" t="s">
        <v>138</v>
      </c>
      <c r="E382" s="67" t="s">
        <v>139</v>
      </c>
      <c r="F382" s="67" t="s">
        <v>140</v>
      </c>
      <c r="G382" s="69" t="s">
        <v>305</v>
      </c>
      <c r="H382" s="67">
        <v>0</v>
      </c>
      <c r="I382" s="67">
        <v>4</v>
      </c>
      <c r="J382" s="67" t="s">
        <v>169</v>
      </c>
      <c r="K382" s="67" t="s">
        <v>64</v>
      </c>
      <c r="L382" s="67" t="s">
        <v>3</v>
      </c>
      <c r="M382" s="67" t="s">
        <v>142</v>
      </c>
      <c r="N382" s="70">
        <v>1000</v>
      </c>
      <c r="O382" s="70">
        <v>1E-3</v>
      </c>
      <c r="P382" s="70"/>
      <c r="Q382" s="98">
        <v>6</v>
      </c>
      <c r="R382" s="70">
        <v>0</v>
      </c>
      <c r="S382" s="70">
        <v>6</v>
      </c>
    </row>
    <row r="383" spans="1:19" s="56" customFormat="1">
      <c r="A383" s="67" t="s">
        <v>496</v>
      </c>
      <c r="B383" s="68" t="s">
        <v>497</v>
      </c>
      <c r="C383" s="67" t="s">
        <v>137</v>
      </c>
      <c r="D383" s="67" t="s">
        <v>138</v>
      </c>
      <c r="E383" s="67" t="s">
        <v>139</v>
      </c>
      <c r="F383" s="67" t="s">
        <v>140</v>
      </c>
      <c r="G383" s="69" t="s">
        <v>305</v>
      </c>
      <c r="H383" s="67">
        <v>0</v>
      </c>
      <c r="I383" s="67">
        <v>5</v>
      </c>
      <c r="J383" s="67" t="s">
        <v>250</v>
      </c>
      <c r="K383" s="67" t="s">
        <v>38</v>
      </c>
      <c r="L383" s="67" t="s">
        <v>3</v>
      </c>
      <c r="M383" s="67" t="s">
        <v>142</v>
      </c>
      <c r="N383" s="70">
        <v>1000</v>
      </c>
      <c r="O383" s="70">
        <v>1E-3</v>
      </c>
      <c r="P383" s="70"/>
      <c r="Q383" s="98">
        <v>7877</v>
      </c>
      <c r="R383" s="70">
        <v>7</v>
      </c>
      <c r="S383" s="70">
        <v>877</v>
      </c>
    </row>
    <row r="384" spans="1:19" s="56" customFormat="1">
      <c r="A384" s="67" t="s">
        <v>496</v>
      </c>
      <c r="B384" s="68" t="s">
        <v>497</v>
      </c>
      <c r="C384" s="67" t="s">
        <v>137</v>
      </c>
      <c r="D384" s="67" t="s">
        <v>138</v>
      </c>
      <c r="E384" s="67" t="s">
        <v>139</v>
      </c>
      <c r="F384" s="67" t="s">
        <v>140</v>
      </c>
      <c r="G384" s="69" t="s">
        <v>305</v>
      </c>
      <c r="H384" s="67">
        <v>0</v>
      </c>
      <c r="I384" s="67">
        <v>6</v>
      </c>
      <c r="J384" s="67" t="s">
        <v>144</v>
      </c>
      <c r="K384" s="67" t="s">
        <v>26</v>
      </c>
      <c r="L384" s="67" t="s">
        <v>3</v>
      </c>
      <c r="M384" s="67" t="s">
        <v>142</v>
      </c>
      <c r="N384" s="70">
        <v>1000</v>
      </c>
      <c r="O384" s="70">
        <v>1E-3</v>
      </c>
      <c r="P384" s="70"/>
      <c r="Q384" s="98">
        <v>8066</v>
      </c>
      <c r="R384" s="70">
        <v>8</v>
      </c>
      <c r="S384" s="70">
        <v>66</v>
      </c>
    </row>
    <row r="385" spans="1:19" s="56" customFormat="1">
      <c r="A385" s="67" t="s">
        <v>496</v>
      </c>
      <c r="B385" s="68" t="s">
        <v>497</v>
      </c>
      <c r="C385" s="67" t="s">
        <v>137</v>
      </c>
      <c r="D385" s="67" t="s">
        <v>138</v>
      </c>
      <c r="E385" s="67" t="s">
        <v>139</v>
      </c>
      <c r="F385" s="67" t="s">
        <v>140</v>
      </c>
      <c r="G385" s="69" t="s">
        <v>305</v>
      </c>
      <c r="H385" s="67">
        <v>0</v>
      </c>
      <c r="I385" s="67">
        <v>7</v>
      </c>
      <c r="J385" s="67" t="s">
        <v>145</v>
      </c>
      <c r="K385" s="67" t="s">
        <v>27</v>
      </c>
      <c r="L385" s="67" t="s">
        <v>3</v>
      </c>
      <c r="M385" s="67" t="s">
        <v>142</v>
      </c>
      <c r="N385" s="70">
        <v>1000</v>
      </c>
      <c r="O385" s="70">
        <v>1E-3</v>
      </c>
      <c r="P385" s="70"/>
      <c r="Q385" s="98">
        <v>2814</v>
      </c>
      <c r="R385" s="70">
        <v>2</v>
      </c>
      <c r="S385" s="70">
        <v>814</v>
      </c>
    </row>
    <row r="386" spans="1:19" s="56" customFormat="1">
      <c r="A386" s="67" t="s">
        <v>496</v>
      </c>
      <c r="B386" s="68" t="s">
        <v>497</v>
      </c>
      <c r="C386" s="67" t="s">
        <v>137</v>
      </c>
      <c r="D386" s="67" t="s">
        <v>138</v>
      </c>
      <c r="E386" s="67" t="s">
        <v>139</v>
      </c>
      <c r="F386" s="67" t="s">
        <v>140</v>
      </c>
      <c r="G386" s="69" t="s">
        <v>305</v>
      </c>
      <c r="H386" s="67">
        <v>0</v>
      </c>
      <c r="I386" s="67">
        <v>8</v>
      </c>
      <c r="J386" s="67" t="s">
        <v>489</v>
      </c>
      <c r="K386" s="67" t="s">
        <v>490</v>
      </c>
      <c r="L386" s="67" t="s">
        <v>3</v>
      </c>
      <c r="M386" s="67" t="s">
        <v>142</v>
      </c>
      <c r="N386" s="70">
        <v>1000</v>
      </c>
      <c r="O386" s="70">
        <v>1E-3</v>
      </c>
      <c r="P386" s="70"/>
      <c r="Q386" s="98">
        <v>18</v>
      </c>
      <c r="R386" s="70">
        <v>0</v>
      </c>
      <c r="S386" s="70">
        <v>18</v>
      </c>
    </row>
    <row r="387" spans="1:19" s="56" customFormat="1">
      <c r="A387" s="67" t="s">
        <v>496</v>
      </c>
      <c r="B387" s="68" t="s">
        <v>497</v>
      </c>
      <c r="C387" s="67" t="s">
        <v>137</v>
      </c>
      <c r="D387" s="67" t="s">
        <v>138</v>
      </c>
      <c r="E387" s="67" t="s">
        <v>139</v>
      </c>
      <c r="F387" s="67" t="s">
        <v>140</v>
      </c>
      <c r="G387" s="69" t="s">
        <v>305</v>
      </c>
      <c r="H387" s="67">
        <v>0</v>
      </c>
      <c r="I387" s="67">
        <v>9</v>
      </c>
      <c r="J387" s="67" t="s">
        <v>171</v>
      </c>
      <c r="K387" s="67" t="s">
        <v>102</v>
      </c>
      <c r="L387" s="67" t="s">
        <v>3</v>
      </c>
      <c r="M387" s="67" t="s">
        <v>142</v>
      </c>
      <c r="N387" s="70">
        <v>1000</v>
      </c>
      <c r="O387" s="70">
        <v>1E-3</v>
      </c>
      <c r="P387" s="70"/>
      <c r="Q387" s="98">
        <v>9</v>
      </c>
      <c r="R387" s="70">
        <v>0</v>
      </c>
      <c r="S387" s="70">
        <v>9</v>
      </c>
    </row>
    <row r="388" spans="1:19" s="56" customFormat="1">
      <c r="A388" s="67" t="s">
        <v>496</v>
      </c>
      <c r="B388" s="68" t="s">
        <v>497</v>
      </c>
      <c r="C388" s="67" t="s">
        <v>137</v>
      </c>
      <c r="D388" s="67" t="s">
        <v>138</v>
      </c>
      <c r="E388" s="67" t="s">
        <v>139</v>
      </c>
      <c r="F388" s="67" t="s">
        <v>140</v>
      </c>
      <c r="G388" s="69" t="s">
        <v>305</v>
      </c>
      <c r="H388" s="67">
        <v>0</v>
      </c>
      <c r="I388" s="67">
        <v>10</v>
      </c>
      <c r="J388" s="67" t="s">
        <v>146</v>
      </c>
      <c r="K388" s="67" t="s">
        <v>46</v>
      </c>
      <c r="L388" s="67" t="s">
        <v>3</v>
      </c>
      <c r="M388" s="67" t="s">
        <v>142</v>
      </c>
      <c r="N388" s="70">
        <v>1000</v>
      </c>
      <c r="O388" s="70">
        <v>1E-3</v>
      </c>
      <c r="P388" s="70"/>
      <c r="Q388" s="98">
        <v>1358</v>
      </c>
      <c r="R388" s="70">
        <v>1</v>
      </c>
      <c r="S388" s="70">
        <v>358</v>
      </c>
    </row>
    <row r="389" spans="1:19" s="56" customFormat="1">
      <c r="A389" s="67" t="s">
        <v>496</v>
      </c>
      <c r="B389" s="68" t="s">
        <v>497</v>
      </c>
      <c r="C389" s="67" t="s">
        <v>137</v>
      </c>
      <c r="D389" s="67" t="s">
        <v>138</v>
      </c>
      <c r="E389" s="67" t="s">
        <v>139</v>
      </c>
      <c r="F389" s="67" t="s">
        <v>140</v>
      </c>
      <c r="G389" s="69" t="s">
        <v>305</v>
      </c>
      <c r="H389" s="67">
        <v>0</v>
      </c>
      <c r="I389" s="67">
        <v>11</v>
      </c>
      <c r="J389" s="67" t="s">
        <v>147</v>
      </c>
      <c r="K389" s="67" t="s">
        <v>41</v>
      </c>
      <c r="L389" s="67" t="s">
        <v>3</v>
      </c>
      <c r="M389" s="67" t="s">
        <v>142</v>
      </c>
      <c r="N389" s="70">
        <v>1000</v>
      </c>
      <c r="O389" s="70">
        <v>1E-3</v>
      </c>
      <c r="P389" s="70"/>
      <c r="Q389" s="98">
        <v>9638</v>
      </c>
      <c r="R389" s="70">
        <v>9</v>
      </c>
      <c r="S389" s="70">
        <v>638</v>
      </c>
    </row>
    <row r="390" spans="1:19" s="56" customFormat="1">
      <c r="A390" s="67" t="s">
        <v>496</v>
      </c>
      <c r="B390" s="68" t="s">
        <v>497</v>
      </c>
      <c r="C390" s="67" t="s">
        <v>137</v>
      </c>
      <c r="D390" s="67" t="s">
        <v>138</v>
      </c>
      <c r="E390" s="67" t="s">
        <v>139</v>
      </c>
      <c r="F390" s="67" t="s">
        <v>140</v>
      </c>
      <c r="G390" s="69" t="s">
        <v>305</v>
      </c>
      <c r="H390" s="67">
        <v>0</v>
      </c>
      <c r="I390" s="67">
        <v>12</v>
      </c>
      <c r="J390" s="67" t="s">
        <v>151</v>
      </c>
      <c r="K390" s="67" t="s">
        <v>28</v>
      </c>
      <c r="L390" s="67" t="s">
        <v>3</v>
      </c>
      <c r="M390" s="67" t="s">
        <v>142</v>
      </c>
      <c r="N390" s="70">
        <v>1000</v>
      </c>
      <c r="O390" s="70">
        <v>1E-3</v>
      </c>
      <c r="P390" s="70"/>
      <c r="Q390" s="98">
        <v>30</v>
      </c>
      <c r="R390" s="70">
        <v>0</v>
      </c>
      <c r="S390" s="70">
        <v>30</v>
      </c>
    </row>
    <row r="391" spans="1:19" s="56" customFormat="1">
      <c r="A391" s="67" t="s">
        <v>496</v>
      </c>
      <c r="B391" s="68" t="s">
        <v>497</v>
      </c>
      <c r="C391" s="67" t="s">
        <v>137</v>
      </c>
      <c r="D391" s="67" t="s">
        <v>138</v>
      </c>
      <c r="E391" s="67" t="s">
        <v>139</v>
      </c>
      <c r="F391" s="67" t="s">
        <v>140</v>
      </c>
      <c r="G391" s="69" t="s">
        <v>305</v>
      </c>
      <c r="H391" s="67">
        <v>0</v>
      </c>
      <c r="I391" s="67">
        <v>13</v>
      </c>
      <c r="J391" s="67" t="s">
        <v>170</v>
      </c>
      <c r="K391" s="67" t="s">
        <v>29</v>
      </c>
      <c r="L391" s="67" t="s">
        <v>3</v>
      </c>
      <c r="M391" s="67" t="s">
        <v>142</v>
      </c>
      <c r="N391" s="70">
        <v>1000</v>
      </c>
      <c r="O391" s="70">
        <v>1E-3</v>
      </c>
      <c r="P391" s="70"/>
      <c r="Q391" s="98">
        <v>6</v>
      </c>
      <c r="R391" s="70">
        <v>0</v>
      </c>
      <c r="S391" s="70">
        <v>6</v>
      </c>
    </row>
    <row r="392" spans="1:19" s="56" customFormat="1">
      <c r="A392" s="67" t="s">
        <v>496</v>
      </c>
      <c r="B392" s="68" t="s">
        <v>497</v>
      </c>
      <c r="C392" s="67" t="s">
        <v>137</v>
      </c>
      <c r="D392" s="67" t="s">
        <v>138</v>
      </c>
      <c r="E392" s="67" t="s">
        <v>139</v>
      </c>
      <c r="F392" s="67" t="s">
        <v>140</v>
      </c>
      <c r="G392" s="69" t="s">
        <v>305</v>
      </c>
      <c r="H392" s="67">
        <v>0</v>
      </c>
      <c r="I392" s="67">
        <v>14</v>
      </c>
      <c r="J392" s="67" t="s">
        <v>148</v>
      </c>
      <c r="K392" s="67" t="s">
        <v>30</v>
      </c>
      <c r="L392" s="67" t="s">
        <v>3</v>
      </c>
      <c r="M392" s="67" t="s">
        <v>142</v>
      </c>
      <c r="N392" s="70">
        <v>1000</v>
      </c>
      <c r="O392" s="70">
        <v>1E-3</v>
      </c>
      <c r="P392" s="70"/>
      <c r="Q392" s="98">
        <v>5508</v>
      </c>
      <c r="R392" s="70">
        <v>5</v>
      </c>
      <c r="S392" s="70">
        <v>508</v>
      </c>
    </row>
    <row r="393" spans="1:19" s="56" customFormat="1">
      <c r="A393" s="67" t="s">
        <v>496</v>
      </c>
      <c r="B393" s="68" t="s">
        <v>497</v>
      </c>
      <c r="C393" s="67" t="s">
        <v>137</v>
      </c>
      <c r="D393" s="67" t="s">
        <v>138</v>
      </c>
      <c r="E393" s="67" t="s">
        <v>139</v>
      </c>
      <c r="F393" s="67" t="s">
        <v>140</v>
      </c>
      <c r="G393" s="69" t="s">
        <v>305</v>
      </c>
      <c r="H393" s="67">
        <v>0</v>
      </c>
      <c r="I393" s="67">
        <v>15</v>
      </c>
      <c r="J393" s="67" t="s">
        <v>314</v>
      </c>
      <c r="K393" s="67" t="s">
        <v>281</v>
      </c>
      <c r="L393" s="67" t="s">
        <v>3</v>
      </c>
      <c r="M393" s="67" t="s">
        <v>142</v>
      </c>
      <c r="N393" s="70">
        <v>1000</v>
      </c>
      <c r="O393" s="70">
        <v>1E-3</v>
      </c>
      <c r="P393" s="70"/>
      <c r="Q393" s="98">
        <v>180000</v>
      </c>
      <c r="R393" s="70">
        <v>180</v>
      </c>
      <c r="S393" s="70">
        <v>0</v>
      </c>
    </row>
    <row r="394" spans="1:19" s="56" customFormat="1">
      <c r="A394" s="67" t="s">
        <v>496</v>
      </c>
      <c r="B394" s="68" t="s">
        <v>497</v>
      </c>
      <c r="C394" s="67" t="s">
        <v>137</v>
      </c>
      <c r="D394" s="67" t="s">
        <v>138</v>
      </c>
      <c r="E394" s="67" t="s">
        <v>139</v>
      </c>
      <c r="F394" s="67" t="s">
        <v>162</v>
      </c>
      <c r="G394" s="69" t="s">
        <v>305</v>
      </c>
      <c r="H394" s="67">
        <v>0</v>
      </c>
      <c r="I394" s="67">
        <v>16</v>
      </c>
      <c r="J394" s="67" t="s">
        <v>234</v>
      </c>
      <c r="K394" s="67" t="s">
        <v>233</v>
      </c>
      <c r="L394" s="67" t="s">
        <v>3</v>
      </c>
      <c r="M394" s="67" t="s">
        <v>142</v>
      </c>
      <c r="N394" s="70">
        <v>1000</v>
      </c>
      <c r="O394" s="70">
        <v>5.6</v>
      </c>
      <c r="P394" s="70"/>
      <c r="Q394" s="98">
        <v>125000</v>
      </c>
      <c r="R394" s="70">
        <v>125</v>
      </c>
      <c r="S394" s="70">
        <v>0</v>
      </c>
    </row>
    <row r="395" spans="1:19" s="56" customFormat="1">
      <c r="A395" s="67" t="s">
        <v>496</v>
      </c>
      <c r="B395" s="68" t="s">
        <v>497</v>
      </c>
      <c r="C395" s="67" t="s">
        <v>137</v>
      </c>
      <c r="D395" s="67" t="s">
        <v>138</v>
      </c>
      <c r="E395" s="67" t="s">
        <v>139</v>
      </c>
      <c r="F395" s="67" t="s">
        <v>162</v>
      </c>
      <c r="G395" s="69" t="s">
        <v>305</v>
      </c>
      <c r="H395" s="67">
        <v>0</v>
      </c>
      <c r="I395" s="67">
        <v>17</v>
      </c>
      <c r="J395" s="67" t="s">
        <v>262</v>
      </c>
      <c r="K395" s="67" t="s">
        <v>258</v>
      </c>
      <c r="L395" s="67" t="s">
        <v>3</v>
      </c>
      <c r="M395" s="67" t="s">
        <v>142</v>
      </c>
      <c r="N395" s="70">
        <v>1000</v>
      </c>
      <c r="O395" s="70">
        <v>1E-3</v>
      </c>
      <c r="P395" s="70"/>
      <c r="Q395" s="98">
        <v>7000</v>
      </c>
      <c r="R395" s="70">
        <v>7</v>
      </c>
      <c r="S395" s="70">
        <v>0</v>
      </c>
    </row>
    <row r="396" spans="1:19" s="56" customFormat="1">
      <c r="A396" s="67" t="s">
        <v>496</v>
      </c>
      <c r="B396" s="68" t="s">
        <v>497</v>
      </c>
      <c r="C396" s="67" t="s">
        <v>137</v>
      </c>
      <c r="D396" s="67" t="s">
        <v>138</v>
      </c>
      <c r="E396" s="67" t="s">
        <v>139</v>
      </c>
      <c r="F396" s="67" t="s">
        <v>162</v>
      </c>
      <c r="G396" s="69" t="s">
        <v>305</v>
      </c>
      <c r="H396" s="67">
        <v>0</v>
      </c>
      <c r="I396" s="67">
        <v>18</v>
      </c>
      <c r="J396" s="67" t="s">
        <v>263</v>
      </c>
      <c r="K396" s="67" t="s">
        <v>259</v>
      </c>
      <c r="L396" s="67" t="s">
        <v>3</v>
      </c>
      <c r="M396" s="67" t="s">
        <v>142</v>
      </c>
      <c r="N396" s="70">
        <v>1000</v>
      </c>
      <c r="O396" s="70">
        <v>1E-3</v>
      </c>
      <c r="P396" s="70"/>
      <c r="Q396" s="98">
        <v>9000</v>
      </c>
      <c r="R396" s="70">
        <v>9</v>
      </c>
      <c r="S396" s="70">
        <v>0</v>
      </c>
    </row>
    <row r="397" spans="1:19" s="56" customFormat="1">
      <c r="A397" s="67" t="s">
        <v>496</v>
      </c>
      <c r="B397" s="68" t="s">
        <v>497</v>
      </c>
      <c r="C397" s="67" t="s">
        <v>137</v>
      </c>
      <c r="D397" s="67" t="s">
        <v>138</v>
      </c>
      <c r="E397" s="67" t="s">
        <v>139</v>
      </c>
      <c r="F397" s="67" t="s">
        <v>162</v>
      </c>
      <c r="G397" s="69" t="s">
        <v>305</v>
      </c>
      <c r="H397" s="67">
        <v>0</v>
      </c>
      <c r="I397" s="67">
        <v>19</v>
      </c>
      <c r="J397" s="67" t="s">
        <v>163</v>
      </c>
      <c r="K397" s="67" t="s">
        <v>14</v>
      </c>
      <c r="L397" s="67" t="s">
        <v>3</v>
      </c>
      <c r="M397" s="67" t="s">
        <v>142</v>
      </c>
      <c r="N397" s="70">
        <v>1000</v>
      </c>
      <c r="O397" s="70">
        <v>1E-3</v>
      </c>
      <c r="P397" s="70"/>
      <c r="Q397" s="98">
        <v>15000</v>
      </c>
      <c r="R397" s="70">
        <v>15</v>
      </c>
      <c r="S397" s="70">
        <v>0</v>
      </c>
    </row>
    <row r="398" spans="1:19" s="56" customFormat="1">
      <c r="A398" s="67" t="s">
        <v>496</v>
      </c>
      <c r="B398" s="68" t="s">
        <v>497</v>
      </c>
      <c r="C398" s="67" t="s">
        <v>137</v>
      </c>
      <c r="D398" s="67" t="s">
        <v>138</v>
      </c>
      <c r="E398" s="67" t="s">
        <v>139</v>
      </c>
      <c r="F398" s="67" t="s">
        <v>162</v>
      </c>
      <c r="G398" s="69" t="s">
        <v>305</v>
      </c>
      <c r="H398" s="67">
        <v>0</v>
      </c>
      <c r="I398" s="67">
        <v>20</v>
      </c>
      <c r="J398" s="67" t="s">
        <v>240</v>
      </c>
      <c r="K398" s="67" t="s">
        <v>237</v>
      </c>
      <c r="L398" s="67" t="s">
        <v>3</v>
      </c>
      <c r="M398" s="67" t="s">
        <v>142</v>
      </c>
      <c r="N398" s="70">
        <v>1000</v>
      </c>
      <c r="O398" s="70">
        <v>1E-3</v>
      </c>
      <c r="P398" s="70"/>
      <c r="Q398" s="98">
        <v>15000</v>
      </c>
      <c r="R398" s="70">
        <v>15</v>
      </c>
      <c r="S398" s="70">
        <v>0</v>
      </c>
    </row>
    <row r="399" spans="1:19" s="56" customFormat="1">
      <c r="A399" s="67" t="s">
        <v>496</v>
      </c>
      <c r="B399" s="68" t="s">
        <v>497</v>
      </c>
      <c r="C399" s="67" t="s">
        <v>137</v>
      </c>
      <c r="D399" s="67" t="s">
        <v>138</v>
      </c>
      <c r="E399" s="67" t="s">
        <v>139</v>
      </c>
      <c r="F399" s="67" t="s">
        <v>162</v>
      </c>
      <c r="G399" s="69" t="s">
        <v>305</v>
      </c>
      <c r="H399" s="67">
        <v>0</v>
      </c>
      <c r="I399" s="67">
        <v>21</v>
      </c>
      <c r="J399" s="67" t="s">
        <v>164</v>
      </c>
      <c r="K399" s="67" t="s">
        <v>74</v>
      </c>
      <c r="L399" s="67" t="s">
        <v>5</v>
      </c>
      <c r="M399" s="67" t="s">
        <v>142</v>
      </c>
      <c r="N399" s="70">
        <v>1000</v>
      </c>
      <c r="O399" s="70">
        <v>1E-3</v>
      </c>
      <c r="P399" s="70"/>
      <c r="Q399" s="98">
        <v>15000</v>
      </c>
      <c r="R399" s="70">
        <v>15</v>
      </c>
      <c r="S399" s="70">
        <v>0</v>
      </c>
    </row>
    <row r="400" spans="1:19" s="56" customFormat="1">
      <c r="A400" s="67" t="s">
        <v>496</v>
      </c>
      <c r="B400" s="68" t="s">
        <v>497</v>
      </c>
      <c r="C400" s="67" t="s">
        <v>137</v>
      </c>
      <c r="D400" s="67" t="s">
        <v>138</v>
      </c>
      <c r="E400" s="67" t="s">
        <v>139</v>
      </c>
      <c r="F400" s="67" t="s">
        <v>162</v>
      </c>
      <c r="G400" s="69" t="s">
        <v>305</v>
      </c>
      <c r="H400" s="67">
        <v>0</v>
      </c>
      <c r="I400" s="67">
        <v>22</v>
      </c>
      <c r="J400" s="67" t="s">
        <v>165</v>
      </c>
      <c r="K400" s="67" t="s">
        <v>80</v>
      </c>
      <c r="L400" s="67" t="s">
        <v>3</v>
      </c>
      <c r="M400" s="67" t="s">
        <v>142</v>
      </c>
      <c r="N400" s="70">
        <v>1000</v>
      </c>
      <c r="O400" s="70">
        <v>1E-3</v>
      </c>
      <c r="P400" s="70"/>
      <c r="Q400" s="98">
        <v>50</v>
      </c>
      <c r="R400" s="70">
        <v>0</v>
      </c>
      <c r="S400" s="70">
        <v>50</v>
      </c>
    </row>
    <row r="401" spans="1:19" s="56" customFormat="1">
      <c r="A401" s="67" t="s">
        <v>498</v>
      </c>
      <c r="B401" s="68" t="s">
        <v>499</v>
      </c>
      <c r="C401" s="67" t="s">
        <v>137</v>
      </c>
      <c r="D401" s="67" t="s">
        <v>138</v>
      </c>
      <c r="E401" s="67" t="s">
        <v>139</v>
      </c>
      <c r="F401" s="67" t="s">
        <v>140</v>
      </c>
      <c r="G401" s="69" t="s">
        <v>305</v>
      </c>
      <c r="H401" s="67">
        <v>0</v>
      </c>
      <c r="I401" s="67">
        <v>1</v>
      </c>
      <c r="J401" s="67" t="s">
        <v>141</v>
      </c>
      <c r="K401" s="67" t="s">
        <v>37</v>
      </c>
      <c r="L401" s="67" t="s">
        <v>3</v>
      </c>
      <c r="M401" s="67" t="s">
        <v>142</v>
      </c>
      <c r="N401" s="70">
        <v>1000</v>
      </c>
      <c r="O401" s="70">
        <v>200</v>
      </c>
      <c r="P401" s="70"/>
      <c r="Q401" s="98">
        <v>5448</v>
      </c>
      <c r="R401" s="70">
        <v>5</v>
      </c>
      <c r="S401" s="70">
        <v>448</v>
      </c>
    </row>
    <row r="402" spans="1:19" s="56" customFormat="1">
      <c r="A402" s="67" t="s">
        <v>498</v>
      </c>
      <c r="B402" s="68" t="s">
        <v>499</v>
      </c>
      <c r="C402" s="67" t="s">
        <v>137</v>
      </c>
      <c r="D402" s="67" t="s">
        <v>138</v>
      </c>
      <c r="E402" s="67" t="s">
        <v>139</v>
      </c>
      <c r="F402" s="67" t="s">
        <v>140</v>
      </c>
      <c r="G402" s="69" t="s">
        <v>305</v>
      </c>
      <c r="H402" s="67">
        <v>0</v>
      </c>
      <c r="I402" s="67">
        <v>2</v>
      </c>
      <c r="J402" s="67" t="s">
        <v>346</v>
      </c>
      <c r="K402" s="67" t="s">
        <v>343</v>
      </c>
      <c r="L402" s="67" t="s">
        <v>3</v>
      </c>
      <c r="M402" s="67" t="s">
        <v>142</v>
      </c>
      <c r="N402" s="70">
        <v>1000</v>
      </c>
      <c r="O402" s="70">
        <v>1E-3</v>
      </c>
      <c r="P402" s="70"/>
      <c r="Q402" s="98">
        <v>15291</v>
      </c>
      <c r="R402" s="70">
        <v>15</v>
      </c>
      <c r="S402" s="70">
        <v>291</v>
      </c>
    </row>
    <row r="403" spans="1:19" s="56" customFormat="1">
      <c r="A403" s="67" t="s">
        <v>498</v>
      </c>
      <c r="B403" s="68" t="s">
        <v>499</v>
      </c>
      <c r="C403" s="67" t="s">
        <v>137</v>
      </c>
      <c r="D403" s="67" t="s">
        <v>138</v>
      </c>
      <c r="E403" s="67" t="s">
        <v>139</v>
      </c>
      <c r="F403" s="67" t="s">
        <v>140</v>
      </c>
      <c r="G403" s="69" t="s">
        <v>305</v>
      </c>
      <c r="H403" s="67">
        <v>0</v>
      </c>
      <c r="I403" s="67">
        <v>3</v>
      </c>
      <c r="J403" s="67" t="s">
        <v>169</v>
      </c>
      <c r="K403" s="67" t="s">
        <v>64</v>
      </c>
      <c r="L403" s="67" t="s">
        <v>3</v>
      </c>
      <c r="M403" s="67" t="s">
        <v>142</v>
      </c>
      <c r="N403" s="70">
        <v>1000</v>
      </c>
      <c r="O403" s="70">
        <v>1E-3</v>
      </c>
      <c r="P403" s="70"/>
      <c r="Q403" s="98">
        <v>139</v>
      </c>
      <c r="R403" s="70">
        <v>0</v>
      </c>
      <c r="S403" s="70">
        <v>139</v>
      </c>
    </row>
    <row r="404" spans="1:19" s="56" customFormat="1">
      <c r="A404" s="67" t="s">
        <v>498</v>
      </c>
      <c r="B404" s="68" t="s">
        <v>499</v>
      </c>
      <c r="C404" s="67" t="s">
        <v>137</v>
      </c>
      <c r="D404" s="67" t="s">
        <v>138</v>
      </c>
      <c r="E404" s="67" t="s">
        <v>139</v>
      </c>
      <c r="F404" s="67" t="s">
        <v>140</v>
      </c>
      <c r="G404" s="69" t="s">
        <v>305</v>
      </c>
      <c r="H404" s="67">
        <v>0</v>
      </c>
      <c r="I404" s="67">
        <v>4</v>
      </c>
      <c r="J404" s="67" t="s">
        <v>250</v>
      </c>
      <c r="K404" s="67" t="s">
        <v>38</v>
      </c>
      <c r="L404" s="67" t="s">
        <v>3</v>
      </c>
      <c r="M404" s="67" t="s">
        <v>142</v>
      </c>
      <c r="N404" s="70">
        <v>1000</v>
      </c>
      <c r="O404" s="70">
        <v>1E-3</v>
      </c>
      <c r="P404" s="70"/>
      <c r="Q404" s="98">
        <v>10</v>
      </c>
      <c r="R404" s="70">
        <v>0</v>
      </c>
      <c r="S404" s="70">
        <v>10</v>
      </c>
    </row>
    <row r="405" spans="1:19" s="56" customFormat="1">
      <c r="A405" s="67" t="s">
        <v>498</v>
      </c>
      <c r="B405" s="68" t="s">
        <v>499</v>
      </c>
      <c r="C405" s="67" t="s">
        <v>137</v>
      </c>
      <c r="D405" s="67" t="s">
        <v>138</v>
      </c>
      <c r="E405" s="67" t="s">
        <v>139</v>
      </c>
      <c r="F405" s="67" t="s">
        <v>140</v>
      </c>
      <c r="G405" s="69" t="s">
        <v>305</v>
      </c>
      <c r="H405" s="67">
        <v>0</v>
      </c>
      <c r="I405" s="67">
        <v>5</v>
      </c>
      <c r="J405" s="67" t="s">
        <v>144</v>
      </c>
      <c r="K405" s="67" t="s">
        <v>26</v>
      </c>
      <c r="L405" s="67" t="s">
        <v>3</v>
      </c>
      <c r="M405" s="67" t="s">
        <v>142</v>
      </c>
      <c r="N405" s="70">
        <v>1000</v>
      </c>
      <c r="O405" s="70">
        <v>1E-3</v>
      </c>
      <c r="P405" s="70"/>
      <c r="Q405" s="98">
        <v>9472</v>
      </c>
      <c r="R405" s="70">
        <v>9</v>
      </c>
      <c r="S405" s="70">
        <v>472</v>
      </c>
    </row>
    <row r="406" spans="1:19" s="56" customFormat="1">
      <c r="A406" s="67" t="s">
        <v>498</v>
      </c>
      <c r="B406" s="68" t="s">
        <v>499</v>
      </c>
      <c r="C406" s="67" t="s">
        <v>137</v>
      </c>
      <c r="D406" s="67" t="s">
        <v>138</v>
      </c>
      <c r="E406" s="67" t="s">
        <v>139</v>
      </c>
      <c r="F406" s="67" t="s">
        <v>140</v>
      </c>
      <c r="G406" s="69" t="s">
        <v>305</v>
      </c>
      <c r="H406" s="67">
        <v>0</v>
      </c>
      <c r="I406" s="67">
        <v>6</v>
      </c>
      <c r="J406" s="67" t="s">
        <v>145</v>
      </c>
      <c r="K406" s="67" t="s">
        <v>27</v>
      </c>
      <c r="L406" s="67" t="s">
        <v>3</v>
      </c>
      <c r="M406" s="67" t="s">
        <v>142</v>
      </c>
      <c r="N406" s="70">
        <v>1000</v>
      </c>
      <c r="O406" s="70">
        <v>1E-3</v>
      </c>
      <c r="P406" s="70"/>
      <c r="Q406" s="98">
        <v>858</v>
      </c>
      <c r="R406" s="70">
        <v>0</v>
      </c>
      <c r="S406" s="70">
        <v>858</v>
      </c>
    </row>
    <row r="407" spans="1:19" s="56" customFormat="1">
      <c r="A407" s="67" t="s">
        <v>498</v>
      </c>
      <c r="B407" s="68" t="s">
        <v>499</v>
      </c>
      <c r="C407" s="67" t="s">
        <v>137</v>
      </c>
      <c r="D407" s="67" t="s">
        <v>138</v>
      </c>
      <c r="E407" s="67" t="s">
        <v>139</v>
      </c>
      <c r="F407" s="67" t="s">
        <v>140</v>
      </c>
      <c r="G407" s="69" t="s">
        <v>305</v>
      </c>
      <c r="H407" s="67">
        <v>0</v>
      </c>
      <c r="I407" s="67">
        <v>7</v>
      </c>
      <c r="J407" s="67" t="s">
        <v>289</v>
      </c>
      <c r="K407" s="67" t="s">
        <v>255</v>
      </c>
      <c r="L407" s="67" t="s">
        <v>3</v>
      </c>
      <c r="M407" s="67" t="s">
        <v>142</v>
      </c>
      <c r="N407" s="70">
        <v>1000</v>
      </c>
      <c r="O407" s="70">
        <v>1E-3</v>
      </c>
      <c r="P407" s="70"/>
      <c r="Q407" s="98">
        <v>30</v>
      </c>
      <c r="R407" s="70">
        <v>0</v>
      </c>
      <c r="S407" s="70">
        <v>30</v>
      </c>
    </row>
    <row r="408" spans="1:19" s="56" customFormat="1">
      <c r="A408" s="67" t="s">
        <v>498</v>
      </c>
      <c r="B408" s="68" t="s">
        <v>499</v>
      </c>
      <c r="C408" s="67" t="s">
        <v>137</v>
      </c>
      <c r="D408" s="67" t="s">
        <v>138</v>
      </c>
      <c r="E408" s="67" t="s">
        <v>139</v>
      </c>
      <c r="F408" s="67" t="s">
        <v>140</v>
      </c>
      <c r="G408" s="69" t="s">
        <v>305</v>
      </c>
      <c r="H408" s="67">
        <v>0</v>
      </c>
      <c r="I408" s="67">
        <v>8</v>
      </c>
      <c r="J408" s="67" t="s">
        <v>171</v>
      </c>
      <c r="K408" s="67" t="s">
        <v>102</v>
      </c>
      <c r="L408" s="67" t="s">
        <v>3</v>
      </c>
      <c r="M408" s="67" t="s">
        <v>142</v>
      </c>
      <c r="N408" s="70">
        <v>1000</v>
      </c>
      <c r="O408" s="70">
        <v>1E-3</v>
      </c>
      <c r="P408" s="70"/>
      <c r="Q408" s="98">
        <v>14</v>
      </c>
      <c r="R408" s="70">
        <v>0</v>
      </c>
      <c r="S408" s="70">
        <v>14</v>
      </c>
    </row>
    <row r="409" spans="1:19" s="56" customFormat="1">
      <c r="A409" s="67" t="s">
        <v>498</v>
      </c>
      <c r="B409" s="68" t="s">
        <v>499</v>
      </c>
      <c r="C409" s="67" t="s">
        <v>137</v>
      </c>
      <c r="D409" s="67" t="s">
        <v>138</v>
      </c>
      <c r="E409" s="67" t="s">
        <v>139</v>
      </c>
      <c r="F409" s="67" t="s">
        <v>140</v>
      </c>
      <c r="G409" s="69" t="s">
        <v>305</v>
      </c>
      <c r="H409" s="67">
        <v>0</v>
      </c>
      <c r="I409" s="67">
        <v>9</v>
      </c>
      <c r="J409" s="67" t="s">
        <v>146</v>
      </c>
      <c r="K409" s="67" t="s">
        <v>46</v>
      </c>
      <c r="L409" s="67" t="s">
        <v>3</v>
      </c>
      <c r="M409" s="67" t="s">
        <v>142</v>
      </c>
      <c r="N409" s="70">
        <v>1000</v>
      </c>
      <c r="O409" s="70">
        <v>1E-3</v>
      </c>
      <c r="P409" s="70"/>
      <c r="Q409" s="98">
        <v>892</v>
      </c>
      <c r="R409" s="70">
        <v>0</v>
      </c>
      <c r="S409" s="70">
        <v>892</v>
      </c>
    </row>
    <row r="410" spans="1:19" s="56" customFormat="1">
      <c r="A410" s="67" t="s">
        <v>498</v>
      </c>
      <c r="B410" s="68" t="s">
        <v>499</v>
      </c>
      <c r="C410" s="67" t="s">
        <v>137</v>
      </c>
      <c r="D410" s="67" t="s">
        <v>138</v>
      </c>
      <c r="E410" s="67" t="s">
        <v>139</v>
      </c>
      <c r="F410" s="67" t="s">
        <v>140</v>
      </c>
      <c r="G410" s="69" t="s">
        <v>305</v>
      </c>
      <c r="H410" s="67">
        <v>0</v>
      </c>
      <c r="I410" s="67">
        <v>10</v>
      </c>
      <c r="J410" s="67" t="s">
        <v>147</v>
      </c>
      <c r="K410" s="67" t="s">
        <v>41</v>
      </c>
      <c r="L410" s="67" t="s">
        <v>3</v>
      </c>
      <c r="M410" s="67" t="s">
        <v>142</v>
      </c>
      <c r="N410" s="70">
        <v>1000</v>
      </c>
      <c r="O410" s="70">
        <v>1E-3</v>
      </c>
      <c r="P410" s="70"/>
      <c r="Q410" s="98">
        <v>5432</v>
      </c>
      <c r="R410" s="70">
        <v>5</v>
      </c>
      <c r="S410" s="70">
        <v>432</v>
      </c>
    </row>
    <row r="411" spans="1:19" s="56" customFormat="1">
      <c r="A411" s="67" t="s">
        <v>498</v>
      </c>
      <c r="B411" s="68" t="s">
        <v>499</v>
      </c>
      <c r="C411" s="67" t="s">
        <v>137</v>
      </c>
      <c r="D411" s="67" t="s">
        <v>138</v>
      </c>
      <c r="E411" s="67" t="s">
        <v>139</v>
      </c>
      <c r="F411" s="67" t="s">
        <v>140</v>
      </c>
      <c r="G411" s="69" t="s">
        <v>305</v>
      </c>
      <c r="H411" s="67">
        <v>0</v>
      </c>
      <c r="I411" s="67">
        <v>11</v>
      </c>
      <c r="J411" s="67" t="s">
        <v>151</v>
      </c>
      <c r="K411" s="67" t="s">
        <v>28</v>
      </c>
      <c r="L411" s="67" t="s">
        <v>3</v>
      </c>
      <c r="M411" s="67" t="s">
        <v>142</v>
      </c>
      <c r="N411" s="70">
        <v>1000</v>
      </c>
      <c r="O411" s="70">
        <v>1E-3</v>
      </c>
      <c r="P411" s="70"/>
      <c r="Q411" s="98">
        <v>14</v>
      </c>
      <c r="R411" s="70">
        <v>0</v>
      </c>
      <c r="S411" s="70">
        <v>14</v>
      </c>
    </row>
    <row r="412" spans="1:19" s="56" customFormat="1">
      <c r="A412" s="67" t="s">
        <v>498</v>
      </c>
      <c r="B412" s="68" t="s">
        <v>499</v>
      </c>
      <c r="C412" s="67" t="s">
        <v>137</v>
      </c>
      <c r="D412" s="67" t="s">
        <v>138</v>
      </c>
      <c r="E412" s="67" t="s">
        <v>139</v>
      </c>
      <c r="F412" s="67" t="s">
        <v>140</v>
      </c>
      <c r="G412" s="69" t="s">
        <v>305</v>
      </c>
      <c r="H412" s="67">
        <v>0</v>
      </c>
      <c r="I412" s="67">
        <v>12</v>
      </c>
      <c r="J412" s="67" t="s">
        <v>170</v>
      </c>
      <c r="K412" s="67" t="s">
        <v>29</v>
      </c>
      <c r="L412" s="67" t="s">
        <v>3</v>
      </c>
      <c r="M412" s="67" t="s">
        <v>142</v>
      </c>
      <c r="N412" s="70">
        <v>1000</v>
      </c>
      <c r="O412" s="70">
        <v>0</v>
      </c>
      <c r="P412" s="70"/>
      <c r="Q412" s="98">
        <v>30</v>
      </c>
      <c r="R412" s="70">
        <v>0</v>
      </c>
      <c r="S412" s="70">
        <v>30</v>
      </c>
    </row>
    <row r="413" spans="1:19" s="56" customFormat="1">
      <c r="A413" s="67" t="s">
        <v>498</v>
      </c>
      <c r="B413" s="68" t="s">
        <v>499</v>
      </c>
      <c r="C413" s="67" t="s">
        <v>137</v>
      </c>
      <c r="D413" s="67" t="s">
        <v>138</v>
      </c>
      <c r="E413" s="67" t="s">
        <v>139</v>
      </c>
      <c r="F413" s="67" t="s">
        <v>140</v>
      </c>
      <c r="G413" s="69" t="s">
        <v>305</v>
      </c>
      <c r="H413" s="67">
        <v>0</v>
      </c>
      <c r="I413" s="67">
        <v>13</v>
      </c>
      <c r="J413" s="67" t="s">
        <v>148</v>
      </c>
      <c r="K413" s="67" t="s">
        <v>30</v>
      </c>
      <c r="L413" s="67" t="s">
        <v>3</v>
      </c>
      <c r="M413" s="67" t="s">
        <v>142</v>
      </c>
      <c r="N413" s="70">
        <v>1000</v>
      </c>
      <c r="O413" s="70">
        <v>1E-3</v>
      </c>
      <c r="P413" s="70"/>
      <c r="Q413" s="98">
        <v>12826</v>
      </c>
      <c r="R413" s="70">
        <v>12</v>
      </c>
      <c r="S413" s="70">
        <v>826</v>
      </c>
    </row>
    <row r="414" spans="1:19" s="56" customFormat="1">
      <c r="A414" s="67" t="s">
        <v>498</v>
      </c>
      <c r="B414" s="68" t="s">
        <v>499</v>
      </c>
      <c r="C414" s="67" t="s">
        <v>137</v>
      </c>
      <c r="D414" s="67" t="s">
        <v>138</v>
      </c>
      <c r="E414" s="67" t="s">
        <v>139</v>
      </c>
      <c r="F414" s="67" t="s">
        <v>140</v>
      </c>
      <c r="G414" s="69" t="s">
        <v>305</v>
      </c>
      <c r="H414" s="67">
        <v>0</v>
      </c>
      <c r="I414" s="67">
        <v>14</v>
      </c>
      <c r="J414" s="67" t="s">
        <v>314</v>
      </c>
      <c r="K414" s="67" t="s">
        <v>281</v>
      </c>
      <c r="L414" s="67" t="s">
        <v>3</v>
      </c>
      <c r="M414" s="67" t="s">
        <v>142</v>
      </c>
      <c r="N414" s="70">
        <v>1000</v>
      </c>
      <c r="O414" s="70">
        <v>1E-3</v>
      </c>
      <c r="P414" s="70"/>
      <c r="Q414" s="98">
        <v>180000</v>
      </c>
      <c r="R414" s="70">
        <v>180</v>
      </c>
      <c r="S414" s="70">
        <v>0</v>
      </c>
    </row>
    <row r="415" spans="1:19" s="56" customFormat="1">
      <c r="A415" s="67" t="s">
        <v>498</v>
      </c>
      <c r="B415" s="68" t="s">
        <v>499</v>
      </c>
      <c r="C415" s="67" t="s">
        <v>137</v>
      </c>
      <c r="D415" s="67" t="s">
        <v>138</v>
      </c>
      <c r="E415" s="67" t="s">
        <v>139</v>
      </c>
      <c r="F415" s="67" t="s">
        <v>140</v>
      </c>
      <c r="G415" s="69" t="s">
        <v>305</v>
      </c>
      <c r="H415" s="67">
        <v>0</v>
      </c>
      <c r="I415" s="67">
        <v>15</v>
      </c>
      <c r="J415" s="67" t="s">
        <v>345</v>
      </c>
      <c r="K415" s="67" t="s">
        <v>313</v>
      </c>
      <c r="L415" s="67" t="s">
        <v>3</v>
      </c>
      <c r="M415" s="67" t="s">
        <v>142</v>
      </c>
      <c r="N415" s="70">
        <v>1000</v>
      </c>
      <c r="O415" s="70">
        <v>1E-3</v>
      </c>
      <c r="P415" s="70"/>
      <c r="Q415" s="98">
        <v>141000</v>
      </c>
      <c r="R415" s="70">
        <v>141</v>
      </c>
      <c r="S415" s="70">
        <v>0</v>
      </c>
    </row>
    <row r="416" spans="1:19" s="56" customFormat="1">
      <c r="A416" s="67" t="s">
        <v>498</v>
      </c>
      <c r="B416" s="68" t="s">
        <v>499</v>
      </c>
      <c r="C416" s="67" t="s">
        <v>137</v>
      </c>
      <c r="D416" s="67" t="s">
        <v>138</v>
      </c>
      <c r="E416" s="67" t="s">
        <v>139</v>
      </c>
      <c r="F416" s="67" t="s">
        <v>140</v>
      </c>
      <c r="G416" s="69" t="s">
        <v>305</v>
      </c>
      <c r="H416" s="67">
        <v>0</v>
      </c>
      <c r="I416" s="67">
        <v>16</v>
      </c>
      <c r="J416" s="67" t="s">
        <v>500</v>
      </c>
      <c r="K416" s="67" t="s">
        <v>232</v>
      </c>
      <c r="L416" s="67" t="s">
        <v>3</v>
      </c>
      <c r="M416" s="67" t="s">
        <v>142</v>
      </c>
      <c r="N416" s="70">
        <v>1000</v>
      </c>
      <c r="O416" s="70">
        <v>1E-3</v>
      </c>
      <c r="P416" s="70"/>
      <c r="Q416" s="98">
        <v>60000</v>
      </c>
      <c r="R416" s="70">
        <v>60</v>
      </c>
      <c r="S416" s="70">
        <v>0</v>
      </c>
    </row>
    <row r="417" spans="1:19" s="56" customFormat="1">
      <c r="A417" s="67" t="s">
        <v>498</v>
      </c>
      <c r="B417" s="68" t="s">
        <v>499</v>
      </c>
      <c r="C417" s="67" t="s">
        <v>137</v>
      </c>
      <c r="D417" s="67" t="s">
        <v>138</v>
      </c>
      <c r="E417" s="67" t="s">
        <v>139</v>
      </c>
      <c r="F417" s="67" t="s">
        <v>153</v>
      </c>
      <c r="G417" s="69" t="s">
        <v>305</v>
      </c>
      <c r="H417" s="67">
        <v>0</v>
      </c>
      <c r="I417" s="67">
        <v>17</v>
      </c>
      <c r="J417" s="67" t="s">
        <v>154</v>
      </c>
      <c r="K417" s="67" t="s">
        <v>23</v>
      </c>
      <c r="L417" s="67" t="s">
        <v>3</v>
      </c>
      <c r="M417" s="67" t="s">
        <v>142</v>
      </c>
      <c r="N417" s="70">
        <v>1000</v>
      </c>
      <c r="O417" s="70">
        <v>32.021000000000001</v>
      </c>
      <c r="P417" s="70"/>
      <c r="Q417" s="98">
        <v>150000</v>
      </c>
      <c r="R417" s="70">
        <v>150</v>
      </c>
      <c r="S417" s="70">
        <v>0</v>
      </c>
    </row>
    <row r="418" spans="1:19" s="56" customFormat="1">
      <c r="A418" s="67" t="s">
        <v>498</v>
      </c>
      <c r="B418" s="68" t="s">
        <v>499</v>
      </c>
      <c r="C418" s="67" t="s">
        <v>137</v>
      </c>
      <c r="D418" s="67" t="s">
        <v>138</v>
      </c>
      <c r="E418" s="67" t="s">
        <v>139</v>
      </c>
      <c r="F418" s="67" t="s">
        <v>153</v>
      </c>
      <c r="G418" s="69" t="s">
        <v>305</v>
      </c>
      <c r="H418" s="67">
        <v>0</v>
      </c>
      <c r="I418" s="67">
        <v>18</v>
      </c>
      <c r="J418" s="67" t="s">
        <v>155</v>
      </c>
      <c r="K418" s="67" t="s">
        <v>33</v>
      </c>
      <c r="L418" s="67" t="s">
        <v>3</v>
      </c>
      <c r="M418" s="67" t="s">
        <v>142</v>
      </c>
      <c r="N418" s="70">
        <v>1000</v>
      </c>
      <c r="O418" s="70">
        <v>13.6</v>
      </c>
      <c r="P418" s="70"/>
      <c r="Q418" s="98">
        <v>100000</v>
      </c>
      <c r="R418" s="70">
        <v>100</v>
      </c>
      <c r="S418" s="70">
        <v>0</v>
      </c>
    </row>
    <row r="419" spans="1:19" s="56" customFormat="1">
      <c r="A419" s="67" t="s">
        <v>498</v>
      </c>
      <c r="B419" s="68" t="s">
        <v>499</v>
      </c>
      <c r="C419" s="67" t="s">
        <v>137</v>
      </c>
      <c r="D419" s="67" t="s">
        <v>138</v>
      </c>
      <c r="E419" s="67" t="s">
        <v>139</v>
      </c>
      <c r="F419" s="67" t="s">
        <v>153</v>
      </c>
      <c r="G419" s="69" t="s">
        <v>305</v>
      </c>
      <c r="H419" s="67">
        <v>0</v>
      </c>
      <c r="I419" s="67">
        <v>19</v>
      </c>
      <c r="J419" s="67" t="s">
        <v>251</v>
      </c>
      <c r="K419" s="67" t="s">
        <v>249</v>
      </c>
      <c r="L419" s="67" t="s">
        <v>3</v>
      </c>
      <c r="M419" s="67" t="s">
        <v>142</v>
      </c>
      <c r="N419" s="70">
        <v>1000</v>
      </c>
      <c r="O419" s="70">
        <v>1E-3</v>
      </c>
      <c r="P419" s="70"/>
      <c r="Q419" s="98">
        <v>15000</v>
      </c>
      <c r="R419" s="70">
        <v>15</v>
      </c>
      <c r="S419" s="70">
        <v>0</v>
      </c>
    </row>
    <row r="420" spans="1:19" s="56" customFormat="1">
      <c r="A420" s="67" t="s">
        <v>498</v>
      </c>
      <c r="B420" s="68" t="s">
        <v>499</v>
      </c>
      <c r="C420" s="67" t="s">
        <v>137</v>
      </c>
      <c r="D420" s="67" t="s">
        <v>138</v>
      </c>
      <c r="E420" s="67" t="s">
        <v>139</v>
      </c>
      <c r="F420" s="67" t="s">
        <v>153</v>
      </c>
      <c r="G420" s="69" t="s">
        <v>305</v>
      </c>
      <c r="H420" s="67">
        <v>0</v>
      </c>
      <c r="I420" s="67">
        <v>20</v>
      </c>
      <c r="J420" s="67" t="s">
        <v>317</v>
      </c>
      <c r="K420" s="67" t="s">
        <v>17</v>
      </c>
      <c r="L420" s="67" t="s">
        <v>3</v>
      </c>
      <c r="M420" s="67" t="s">
        <v>142</v>
      </c>
      <c r="N420" s="70">
        <v>1000</v>
      </c>
      <c r="O420" s="70">
        <v>1E-3</v>
      </c>
      <c r="P420" s="70"/>
      <c r="Q420" s="98">
        <v>52000</v>
      </c>
      <c r="R420" s="70">
        <v>52</v>
      </c>
      <c r="S420" s="70">
        <v>0</v>
      </c>
    </row>
    <row r="421" spans="1:19" s="56" customFormat="1">
      <c r="A421" s="67" t="s">
        <v>498</v>
      </c>
      <c r="B421" s="68" t="s">
        <v>499</v>
      </c>
      <c r="C421" s="67" t="s">
        <v>137</v>
      </c>
      <c r="D421" s="67" t="s">
        <v>138</v>
      </c>
      <c r="E421" s="67" t="s">
        <v>139</v>
      </c>
      <c r="F421" s="67" t="s">
        <v>153</v>
      </c>
      <c r="G421" s="69" t="s">
        <v>305</v>
      </c>
      <c r="H421" s="67">
        <v>0</v>
      </c>
      <c r="I421" s="67">
        <v>21</v>
      </c>
      <c r="J421" s="67" t="s">
        <v>344</v>
      </c>
      <c r="K421" s="67" t="s">
        <v>15</v>
      </c>
      <c r="L421" s="67" t="s">
        <v>3</v>
      </c>
      <c r="M421" s="67" t="s">
        <v>142</v>
      </c>
      <c r="N421" s="70">
        <v>1000</v>
      </c>
      <c r="O421" s="70">
        <v>1E-3</v>
      </c>
      <c r="P421" s="70"/>
      <c r="Q421" s="98">
        <v>36000</v>
      </c>
      <c r="R421" s="70">
        <v>36</v>
      </c>
      <c r="S421" s="70">
        <v>0</v>
      </c>
    </row>
    <row r="422" spans="1:19" s="56" customFormat="1">
      <c r="A422" s="67" t="s">
        <v>498</v>
      </c>
      <c r="B422" s="68" t="s">
        <v>499</v>
      </c>
      <c r="C422" s="67" t="s">
        <v>137</v>
      </c>
      <c r="D422" s="67" t="s">
        <v>138</v>
      </c>
      <c r="E422" s="67" t="s">
        <v>139</v>
      </c>
      <c r="F422" s="67" t="s">
        <v>159</v>
      </c>
      <c r="G422" s="69" t="s">
        <v>305</v>
      </c>
      <c r="H422" s="67">
        <v>0</v>
      </c>
      <c r="I422" s="67">
        <v>22</v>
      </c>
      <c r="J422" s="67" t="s">
        <v>160</v>
      </c>
      <c r="K422" s="67" t="s">
        <v>62</v>
      </c>
      <c r="L422" s="67" t="s">
        <v>3</v>
      </c>
      <c r="M422" s="67" t="s">
        <v>142</v>
      </c>
      <c r="N422" s="70">
        <v>1000</v>
      </c>
      <c r="O422" s="70">
        <v>24</v>
      </c>
      <c r="P422" s="70"/>
      <c r="Q422" s="98">
        <v>60000</v>
      </c>
      <c r="R422" s="70">
        <v>60</v>
      </c>
      <c r="S422" s="70">
        <v>0</v>
      </c>
    </row>
    <row r="423" spans="1:19" s="56" customFormat="1">
      <c r="A423" s="67" t="s">
        <v>498</v>
      </c>
      <c r="B423" s="68" t="s">
        <v>499</v>
      </c>
      <c r="C423" s="67" t="s">
        <v>137</v>
      </c>
      <c r="D423" s="67" t="s">
        <v>138</v>
      </c>
      <c r="E423" s="67" t="s">
        <v>139</v>
      </c>
      <c r="F423" s="67" t="s">
        <v>159</v>
      </c>
      <c r="G423" s="69" t="s">
        <v>305</v>
      </c>
      <c r="H423" s="67">
        <v>0</v>
      </c>
      <c r="I423" s="67">
        <v>23</v>
      </c>
      <c r="J423" s="67" t="s">
        <v>161</v>
      </c>
      <c r="K423" s="67" t="s">
        <v>63</v>
      </c>
      <c r="L423" s="67" t="s">
        <v>3</v>
      </c>
      <c r="M423" s="67" t="s">
        <v>142</v>
      </c>
      <c r="N423" s="70">
        <v>1000</v>
      </c>
      <c r="O423" s="70">
        <v>23</v>
      </c>
      <c r="P423" s="70"/>
      <c r="Q423" s="98">
        <v>60000</v>
      </c>
      <c r="R423" s="70">
        <v>60</v>
      </c>
      <c r="S423" s="70">
        <v>0</v>
      </c>
    </row>
    <row r="424" spans="1:19" s="56" customFormat="1">
      <c r="A424" s="67" t="s">
        <v>498</v>
      </c>
      <c r="B424" s="68" t="s">
        <v>499</v>
      </c>
      <c r="C424" s="67" t="s">
        <v>137</v>
      </c>
      <c r="D424" s="67" t="s">
        <v>138</v>
      </c>
      <c r="E424" s="67" t="s">
        <v>139</v>
      </c>
      <c r="F424" s="67" t="s">
        <v>140</v>
      </c>
      <c r="G424" s="69" t="s">
        <v>305</v>
      </c>
      <c r="H424" s="67">
        <v>0</v>
      </c>
      <c r="I424" s="67">
        <v>24</v>
      </c>
      <c r="J424" s="67" t="s">
        <v>501</v>
      </c>
      <c r="K424" s="67" t="s">
        <v>98</v>
      </c>
      <c r="L424" s="67" t="s">
        <v>3</v>
      </c>
      <c r="M424" s="67" t="s">
        <v>142</v>
      </c>
      <c r="N424" s="70">
        <v>1000</v>
      </c>
      <c r="O424" s="70">
        <v>1E-3</v>
      </c>
      <c r="P424" s="70"/>
      <c r="Q424" s="98">
        <v>117</v>
      </c>
      <c r="R424" s="70">
        <v>0</v>
      </c>
      <c r="S424" s="70">
        <v>117</v>
      </c>
    </row>
    <row r="425" spans="1:19" s="56" customFormat="1">
      <c r="A425" s="67" t="s">
        <v>498</v>
      </c>
      <c r="B425" s="68" t="s">
        <v>499</v>
      </c>
      <c r="C425" s="67" t="s">
        <v>137</v>
      </c>
      <c r="D425" s="67" t="s">
        <v>138</v>
      </c>
      <c r="E425" s="67" t="s">
        <v>139</v>
      </c>
      <c r="F425" s="67" t="s">
        <v>140</v>
      </c>
      <c r="G425" s="69" t="s">
        <v>305</v>
      </c>
      <c r="H425" s="67">
        <v>0</v>
      </c>
      <c r="I425" s="67">
        <v>25</v>
      </c>
      <c r="J425" s="67" t="s">
        <v>502</v>
      </c>
      <c r="K425" s="67" t="s">
        <v>103</v>
      </c>
      <c r="L425" s="67" t="s">
        <v>3</v>
      </c>
      <c r="M425" s="67" t="s">
        <v>142</v>
      </c>
      <c r="N425" s="70">
        <v>1000</v>
      </c>
      <c r="O425" s="70">
        <v>1E-3</v>
      </c>
      <c r="P425" s="70"/>
      <c r="Q425" s="98">
        <v>1313</v>
      </c>
      <c r="R425" s="70">
        <v>1</v>
      </c>
      <c r="S425" s="70">
        <v>313</v>
      </c>
    </row>
    <row r="426" spans="1:19" s="56" customFormat="1">
      <c r="A426" s="67" t="s">
        <v>498</v>
      </c>
      <c r="B426" s="68" t="s">
        <v>499</v>
      </c>
      <c r="C426" s="67" t="s">
        <v>137</v>
      </c>
      <c r="D426" s="67" t="s">
        <v>138</v>
      </c>
      <c r="E426" s="67" t="s">
        <v>139</v>
      </c>
      <c r="F426" s="67" t="s">
        <v>140</v>
      </c>
      <c r="G426" s="69" t="s">
        <v>305</v>
      </c>
      <c r="H426" s="67">
        <v>0</v>
      </c>
      <c r="I426" s="67">
        <v>26</v>
      </c>
      <c r="J426" s="67" t="s">
        <v>503</v>
      </c>
      <c r="K426" s="67" t="s">
        <v>104</v>
      </c>
      <c r="L426" s="67" t="s">
        <v>3</v>
      </c>
      <c r="M426" s="67" t="s">
        <v>142</v>
      </c>
      <c r="N426" s="70">
        <v>1000</v>
      </c>
      <c r="O426" s="70">
        <v>1E-3</v>
      </c>
      <c r="P426" s="70"/>
      <c r="Q426" s="98">
        <v>937</v>
      </c>
      <c r="R426" s="70">
        <v>0</v>
      </c>
      <c r="S426" s="70">
        <v>937</v>
      </c>
    </row>
    <row r="427" spans="1:19" s="56" customFormat="1">
      <c r="A427" s="67" t="s">
        <v>498</v>
      </c>
      <c r="B427" s="68" t="s">
        <v>499</v>
      </c>
      <c r="C427" s="67" t="s">
        <v>137</v>
      </c>
      <c r="D427" s="67" t="s">
        <v>138</v>
      </c>
      <c r="E427" s="67" t="s">
        <v>139</v>
      </c>
      <c r="F427" s="67" t="s">
        <v>140</v>
      </c>
      <c r="G427" s="69" t="s">
        <v>305</v>
      </c>
      <c r="H427" s="67">
        <v>0</v>
      </c>
      <c r="I427" s="67">
        <v>27</v>
      </c>
      <c r="J427" s="67" t="s">
        <v>504</v>
      </c>
      <c r="K427" s="67" t="s">
        <v>107</v>
      </c>
      <c r="L427" s="67" t="s">
        <v>3</v>
      </c>
      <c r="M427" s="67" t="s">
        <v>142</v>
      </c>
      <c r="N427" s="70">
        <v>1000</v>
      </c>
      <c r="O427" s="70">
        <v>1E-3</v>
      </c>
      <c r="P427" s="70"/>
      <c r="Q427" s="98">
        <v>1984</v>
      </c>
      <c r="R427" s="70">
        <v>1</v>
      </c>
      <c r="S427" s="70">
        <v>984</v>
      </c>
    </row>
    <row r="428" spans="1:19" s="56" customFormat="1">
      <c r="A428" s="67" t="s">
        <v>498</v>
      </c>
      <c r="B428" s="68" t="s">
        <v>499</v>
      </c>
      <c r="C428" s="67" t="s">
        <v>137</v>
      </c>
      <c r="D428" s="67" t="s">
        <v>138</v>
      </c>
      <c r="E428" s="67" t="s">
        <v>139</v>
      </c>
      <c r="F428" s="67" t="s">
        <v>140</v>
      </c>
      <c r="G428" s="69" t="s">
        <v>305</v>
      </c>
      <c r="H428" s="67">
        <v>0</v>
      </c>
      <c r="I428" s="67">
        <v>28</v>
      </c>
      <c r="J428" s="67" t="s">
        <v>505</v>
      </c>
      <c r="K428" s="67" t="s">
        <v>109</v>
      </c>
      <c r="L428" s="67" t="s">
        <v>3</v>
      </c>
      <c r="M428" s="67" t="s">
        <v>142</v>
      </c>
      <c r="N428" s="70">
        <v>1000</v>
      </c>
      <c r="O428" s="70">
        <v>1E-3</v>
      </c>
      <c r="P428" s="70"/>
      <c r="Q428" s="98">
        <v>134</v>
      </c>
      <c r="R428" s="70">
        <v>0</v>
      </c>
      <c r="S428" s="70">
        <v>134</v>
      </c>
    </row>
    <row r="429" spans="1:19" s="56" customFormat="1">
      <c r="A429" s="67" t="s">
        <v>498</v>
      </c>
      <c r="B429" s="68" t="s">
        <v>499</v>
      </c>
      <c r="C429" s="67" t="s">
        <v>137</v>
      </c>
      <c r="D429" s="67" t="s">
        <v>138</v>
      </c>
      <c r="E429" s="67" t="s">
        <v>139</v>
      </c>
      <c r="F429" s="67" t="s">
        <v>140</v>
      </c>
      <c r="G429" s="69" t="s">
        <v>305</v>
      </c>
      <c r="H429" s="67">
        <v>0</v>
      </c>
      <c r="I429" s="67">
        <v>29</v>
      </c>
      <c r="J429" s="67" t="s">
        <v>506</v>
      </c>
      <c r="K429" s="67" t="s">
        <v>110</v>
      </c>
      <c r="L429" s="67" t="s">
        <v>3</v>
      </c>
      <c r="M429" s="67" t="s">
        <v>142</v>
      </c>
      <c r="N429" s="70">
        <v>1000</v>
      </c>
      <c r="O429" s="70">
        <v>1E-3</v>
      </c>
      <c r="P429" s="70"/>
      <c r="Q429" s="98">
        <v>2625</v>
      </c>
      <c r="R429" s="70">
        <v>2</v>
      </c>
      <c r="S429" s="70">
        <v>625</v>
      </c>
    </row>
    <row r="430" spans="1:19" s="56" customFormat="1">
      <c r="A430" s="67" t="s">
        <v>498</v>
      </c>
      <c r="B430" s="68" t="s">
        <v>499</v>
      </c>
      <c r="C430" s="67" t="s">
        <v>137</v>
      </c>
      <c r="D430" s="67" t="s">
        <v>138</v>
      </c>
      <c r="E430" s="67" t="s">
        <v>139</v>
      </c>
      <c r="F430" s="67" t="s">
        <v>140</v>
      </c>
      <c r="G430" s="69" t="s">
        <v>305</v>
      </c>
      <c r="H430" s="67">
        <v>0</v>
      </c>
      <c r="I430" s="67">
        <v>30</v>
      </c>
      <c r="J430" s="67" t="s">
        <v>507</v>
      </c>
      <c r="K430" s="67" t="s">
        <v>113</v>
      </c>
      <c r="L430" s="67" t="s">
        <v>3</v>
      </c>
      <c r="M430" s="67" t="s">
        <v>142</v>
      </c>
      <c r="N430" s="70">
        <v>1000</v>
      </c>
      <c r="O430" s="70">
        <v>1E-3</v>
      </c>
      <c r="P430" s="70"/>
      <c r="Q430" s="98">
        <v>5666</v>
      </c>
      <c r="R430" s="70">
        <v>5</v>
      </c>
      <c r="S430" s="70">
        <v>666</v>
      </c>
    </row>
    <row r="431" spans="1:19" s="56" customFormat="1">
      <c r="A431" s="67" t="s">
        <v>498</v>
      </c>
      <c r="B431" s="68" t="s">
        <v>499</v>
      </c>
      <c r="C431" s="67" t="s">
        <v>137</v>
      </c>
      <c r="D431" s="67" t="s">
        <v>138</v>
      </c>
      <c r="E431" s="67" t="s">
        <v>139</v>
      </c>
      <c r="F431" s="67" t="s">
        <v>162</v>
      </c>
      <c r="G431" s="69" t="s">
        <v>305</v>
      </c>
      <c r="H431" s="67">
        <v>0</v>
      </c>
      <c r="I431" s="67">
        <v>31</v>
      </c>
      <c r="J431" s="67" t="s">
        <v>234</v>
      </c>
      <c r="K431" s="67" t="s">
        <v>233</v>
      </c>
      <c r="L431" s="67" t="s">
        <v>3</v>
      </c>
      <c r="M431" s="67" t="s">
        <v>142</v>
      </c>
      <c r="N431" s="70">
        <v>1000</v>
      </c>
      <c r="O431" s="70">
        <v>5.6</v>
      </c>
      <c r="P431" s="70"/>
      <c r="Q431" s="98">
        <v>375000</v>
      </c>
      <c r="R431" s="70">
        <v>375</v>
      </c>
      <c r="S431" s="70">
        <v>0</v>
      </c>
    </row>
    <row r="432" spans="1:19" s="56" customFormat="1">
      <c r="A432" s="67" t="s">
        <v>498</v>
      </c>
      <c r="B432" s="68" t="s">
        <v>499</v>
      </c>
      <c r="C432" s="67" t="s">
        <v>137</v>
      </c>
      <c r="D432" s="67" t="s">
        <v>138</v>
      </c>
      <c r="E432" s="67" t="s">
        <v>139</v>
      </c>
      <c r="F432" s="67" t="s">
        <v>162</v>
      </c>
      <c r="G432" s="69" t="s">
        <v>305</v>
      </c>
      <c r="H432" s="67">
        <v>0</v>
      </c>
      <c r="I432" s="67">
        <v>32</v>
      </c>
      <c r="J432" s="67" t="s">
        <v>262</v>
      </c>
      <c r="K432" s="67" t="s">
        <v>258</v>
      </c>
      <c r="L432" s="67" t="s">
        <v>3</v>
      </c>
      <c r="M432" s="67" t="s">
        <v>142</v>
      </c>
      <c r="N432" s="70">
        <v>1000</v>
      </c>
      <c r="O432" s="70">
        <v>1E-3</v>
      </c>
      <c r="P432" s="70"/>
      <c r="Q432" s="98">
        <v>13000</v>
      </c>
      <c r="R432" s="70">
        <v>13</v>
      </c>
      <c r="S432" s="70">
        <v>0</v>
      </c>
    </row>
    <row r="433" spans="1:19" s="56" customFormat="1">
      <c r="A433" s="67" t="s">
        <v>498</v>
      </c>
      <c r="B433" s="68" t="s">
        <v>499</v>
      </c>
      <c r="C433" s="67" t="s">
        <v>137</v>
      </c>
      <c r="D433" s="67" t="s">
        <v>138</v>
      </c>
      <c r="E433" s="67" t="s">
        <v>139</v>
      </c>
      <c r="F433" s="67" t="s">
        <v>162</v>
      </c>
      <c r="G433" s="69" t="s">
        <v>305</v>
      </c>
      <c r="H433" s="67">
        <v>0</v>
      </c>
      <c r="I433" s="67">
        <v>33</v>
      </c>
      <c r="J433" s="67" t="s">
        <v>263</v>
      </c>
      <c r="K433" s="67" t="s">
        <v>259</v>
      </c>
      <c r="L433" s="67" t="s">
        <v>3</v>
      </c>
      <c r="M433" s="67" t="s">
        <v>142</v>
      </c>
      <c r="N433" s="70">
        <v>1000</v>
      </c>
      <c r="O433" s="70">
        <v>1E-3</v>
      </c>
      <c r="P433" s="70"/>
      <c r="Q433" s="98">
        <v>13000</v>
      </c>
      <c r="R433" s="70">
        <v>13</v>
      </c>
      <c r="S433" s="70">
        <v>0</v>
      </c>
    </row>
    <row r="434" spans="1:19" s="56" customFormat="1">
      <c r="A434" s="67" t="s">
        <v>498</v>
      </c>
      <c r="B434" s="68" t="s">
        <v>499</v>
      </c>
      <c r="C434" s="67" t="s">
        <v>137</v>
      </c>
      <c r="D434" s="67" t="s">
        <v>138</v>
      </c>
      <c r="E434" s="67" t="s">
        <v>139</v>
      </c>
      <c r="F434" s="67" t="s">
        <v>162</v>
      </c>
      <c r="G434" s="69" t="s">
        <v>305</v>
      </c>
      <c r="H434" s="67">
        <v>0</v>
      </c>
      <c r="I434" s="67">
        <v>34</v>
      </c>
      <c r="J434" s="67" t="s">
        <v>163</v>
      </c>
      <c r="K434" s="67" t="s">
        <v>14</v>
      </c>
      <c r="L434" s="67" t="s">
        <v>3</v>
      </c>
      <c r="M434" s="67" t="s">
        <v>142</v>
      </c>
      <c r="N434" s="70">
        <v>1000</v>
      </c>
      <c r="O434" s="70">
        <v>1E-3</v>
      </c>
      <c r="P434" s="70"/>
      <c r="Q434" s="98">
        <v>20000</v>
      </c>
      <c r="R434" s="70">
        <v>20</v>
      </c>
      <c r="S434" s="70">
        <v>0</v>
      </c>
    </row>
    <row r="435" spans="1:19" s="56" customFormat="1">
      <c r="A435" s="67" t="s">
        <v>498</v>
      </c>
      <c r="B435" s="68" t="s">
        <v>499</v>
      </c>
      <c r="C435" s="67" t="s">
        <v>137</v>
      </c>
      <c r="D435" s="67" t="s">
        <v>138</v>
      </c>
      <c r="E435" s="67" t="s">
        <v>139</v>
      </c>
      <c r="F435" s="67" t="s">
        <v>162</v>
      </c>
      <c r="G435" s="69" t="s">
        <v>305</v>
      </c>
      <c r="H435" s="67">
        <v>0</v>
      </c>
      <c r="I435" s="67">
        <v>35</v>
      </c>
      <c r="J435" s="67" t="s">
        <v>164</v>
      </c>
      <c r="K435" s="67" t="s">
        <v>74</v>
      </c>
      <c r="L435" s="67" t="s">
        <v>5</v>
      </c>
      <c r="M435" s="67" t="s">
        <v>142</v>
      </c>
      <c r="N435" s="70">
        <v>1000</v>
      </c>
      <c r="O435" s="70">
        <v>1E-3</v>
      </c>
      <c r="P435" s="70"/>
      <c r="Q435" s="98">
        <v>15000</v>
      </c>
      <c r="R435" s="70">
        <v>15</v>
      </c>
      <c r="S435" s="70">
        <v>0</v>
      </c>
    </row>
    <row r="436" spans="1:19" s="56" customFormat="1">
      <c r="A436" s="67" t="s">
        <v>498</v>
      </c>
      <c r="B436" s="68" t="s">
        <v>499</v>
      </c>
      <c r="C436" s="67" t="s">
        <v>137</v>
      </c>
      <c r="D436" s="67" t="s">
        <v>138</v>
      </c>
      <c r="E436" s="67" t="s">
        <v>139</v>
      </c>
      <c r="F436" s="67" t="s">
        <v>162</v>
      </c>
      <c r="G436" s="69" t="s">
        <v>305</v>
      </c>
      <c r="H436" s="67">
        <v>0</v>
      </c>
      <c r="I436" s="67">
        <v>36</v>
      </c>
      <c r="J436" s="67" t="s">
        <v>165</v>
      </c>
      <c r="K436" s="67" t="s">
        <v>80</v>
      </c>
      <c r="L436" s="67" t="s">
        <v>3</v>
      </c>
      <c r="M436" s="67" t="s">
        <v>142</v>
      </c>
      <c r="N436" s="70">
        <v>1000</v>
      </c>
      <c r="O436" s="70">
        <v>1E-3</v>
      </c>
      <c r="P436" s="70"/>
      <c r="Q436" s="98">
        <v>50</v>
      </c>
      <c r="R436" s="70">
        <v>0</v>
      </c>
      <c r="S436" s="70">
        <v>50</v>
      </c>
    </row>
    <row r="437" spans="1:19" s="56" customFormat="1">
      <c r="A437" s="67" t="s">
        <v>498</v>
      </c>
      <c r="B437" s="68" t="s">
        <v>499</v>
      </c>
      <c r="C437" s="67" t="s">
        <v>137</v>
      </c>
      <c r="D437" s="67" t="s">
        <v>138</v>
      </c>
      <c r="E437" s="67" t="s">
        <v>139</v>
      </c>
      <c r="F437" s="67" t="s">
        <v>159</v>
      </c>
      <c r="G437" s="69" t="s">
        <v>305</v>
      </c>
      <c r="H437" s="67">
        <v>0</v>
      </c>
      <c r="I437" s="67">
        <v>37</v>
      </c>
      <c r="J437" s="67" t="s">
        <v>261</v>
      </c>
      <c r="K437" s="67" t="s">
        <v>49</v>
      </c>
      <c r="L437" s="67" t="s">
        <v>3</v>
      </c>
      <c r="M437" s="67" t="s">
        <v>142</v>
      </c>
      <c r="N437" s="70">
        <v>1000</v>
      </c>
      <c r="O437" s="70">
        <v>1E-3</v>
      </c>
      <c r="P437" s="70"/>
      <c r="Q437" s="98">
        <v>300000</v>
      </c>
      <c r="R437" s="70">
        <v>300</v>
      </c>
      <c r="S437" s="70">
        <v>0</v>
      </c>
    </row>
    <row r="438" spans="1:19" s="56" customFormat="1">
      <c r="A438" s="67" t="s">
        <v>508</v>
      </c>
      <c r="B438" s="68" t="s">
        <v>509</v>
      </c>
      <c r="C438" s="67" t="s">
        <v>137</v>
      </c>
      <c r="D438" s="67" t="s">
        <v>138</v>
      </c>
      <c r="E438" s="67" t="s">
        <v>139</v>
      </c>
      <c r="F438" s="67" t="s">
        <v>140</v>
      </c>
      <c r="G438" s="69" t="s">
        <v>305</v>
      </c>
      <c r="H438" s="67">
        <v>0</v>
      </c>
      <c r="I438" s="67">
        <v>1</v>
      </c>
      <c r="J438" s="67" t="s">
        <v>141</v>
      </c>
      <c r="K438" s="67" t="s">
        <v>37</v>
      </c>
      <c r="L438" s="67" t="s">
        <v>3</v>
      </c>
      <c r="M438" s="67" t="s">
        <v>142</v>
      </c>
      <c r="N438" s="70">
        <v>1000</v>
      </c>
      <c r="O438" s="70">
        <v>200</v>
      </c>
      <c r="P438" s="70"/>
      <c r="Q438" s="98">
        <v>6144</v>
      </c>
      <c r="R438" s="70">
        <v>6</v>
      </c>
      <c r="S438" s="70">
        <v>144</v>
      </c>
    </row>
    <row r="439" spans="1:19" s="56" customFormat="1">
      <c r="A439" s="67" t="s">
        <v>508</v>
      </c>
      <c r="B439" s="68" t="s">
        <v>509</v>
      </c>
      <c r="C439" s="67" t="s">
        <v>137</v>
      </c>
      <c r="D439" s="67" t="s">
        <v>138</v>
      </c>
      <c r="E439" s="67" t="s">
        <v>139</v>
      </c>
      <c r="F439" s="67" t="s">
        <v>140</v>
      </c>
      <c r="G439" s="69" t="s">
        <v>305</v>
      </c>
      <c r="H439" s="67">
        <v>0</v>
      </c>
      <c r="I439" s="67">
        <v>2</v>
      </c>
      <c r="J439" s="67" t="s">
        <v>346</v>
      </c>
      <c r="K439" s="67" t="s">
        <v>343</v>
      </c>
      <c r="L439" s="67" t="s">
        <v>3</v>
      </c>
      <c r="M439" s="67" t="s">
        <v>142</v>
      </c>
      <c r="N439" s="70">
        <v>1000</v>
      </c>
      <c r="O439" s="70">
        <v>1E-3</v>
      </c>
      <c r="P439" s="70"/>
      <c r="Q439" s="98">
        <v>13608</v>
      </c>
      <c r="R439" s="70">
        <v>13</v>
      </c>
      <c r="S439" s="70">
        <v>608</v>
      </c>
    </row>
    <row r="440" spans="1:19" s="56" customFormat="1">
      <c r="A440" s="67" t="s">
        <v>508</v>
      </c>
      <c r="B440" s="68" t="s">
        <v>509</v>
      </c>
      <c r="C440" s="67" t="s">
        <v>137</v>
      </c>
      <c r="D440" s="67" t="s">
        <v>138</v>
      </c>
      <c r="E440" s="67" t="s">
        <v>139</v>
      </c>
      <c r="F440" s="67" t="s">
        <v>140</v>
      </c>
      <c r="G440" s="69" t="s">
        <v>305</v>
      </c>
      <c r="H440" s="67">
        <v>0</v>
      </c>
      <c r="I440" s="67">
        <v>3</v>
      </c>
      <c r="J440" s="67" t="s">
        <v>169</v>
      </c>
      <c r="K440" s="67" t="s">
        <v>64</v>
      </c>
      <c r="L440" s="67" t="s">
        <v>3</v>
      </c>
      <c r="M440" s="67" t="s">
        <v>142</v>
      </c>
      <c r="N440" s="70">
        <v>1000</v>
      </c>
      <c r="O440" s="70">
        <v>1E-3</v>
      </c>
      <c r="P440" s="70"/>
      <c r="Q440" s="98">
        <v>273</v>
      </c>
      <c r="R440" s="70">
        <v>0</v>
      </c>
      <c r="S440" s="70">
        <v>273</v>
      </c>
    </row>
    <row r="441" spans="1:19" s="56" customFormat="1">
      <c r="A441" s="67" t="s">
        <v>508</v>
      </c>
      <c r="B441" s="68" t="s">
        <v>509</v>
      </c>
      <c r="C441" s="67" t="s">
        <v>137</v>
      </c>
      <c r="D441" s="67" t="s">
        <v>138</v>
      </c>
      <c r="E441" s="67" t="s">
        <v>139</v>
      </c>
      <c r="F441" s="67" t="s">
        <v>140</v>
      </c>
      <c r="G441" s="69" t="s">
        <v>305</v>
      </c>
      <c r="H441" s="67">
        <v>0</v>
      </c>
      <c r="I441" s="67">
        <v>4</v>
      </c>
      <c r="J441" s="67" t="s">
        <v>250</v>
      </c>
      <c r="K441" s="67" t="s">
        <v>38</v>
      </c>
      <c r="L441" s="67" t="s">
        <v>3</v>
      </c>
      <c r="M441" s="67" t="s">
        <v>142</v>
      </c>
      <c r="N441" s="70">
        <v>1000</v>
      </c>
      <c r="O441" s="70">
        <v>1E-3</v>
      </c>
      <c r="P441" s="70"/>
      <c r="Q441" s="98">
        <v>1208</v>
      </c>
      <c r="R441" s="70">
        <v>1</v>
      </c>
      <c r="S441" s="70">
        <v>208</v>
      </c>
    </row>
    <row r="442" spans="1:19" s="56" customFormat="1">
      <c r="A442" s="67" t="s">
        <v>508</v>
      </c>
      <c r="B442" s="68" t="s">
        <v>509</v>
      </c>
      <c r="C442" s="67" t="s">
        <v>137</v>
      </c>
      <c r="D442" s="67" t="s">
        <v>138</v>
      </c>
      <c r="E442" s="67" t="s">
        <v>139</v>
      </c>
      <c r="F442" s="67" t="s">
        <v>140</v>
      </c>
      <c r="G442" s="69" t="s">
        <v>305</v>
      </c>
      <c r="H442" s="67">
        <v>0</v>
      </c>
      <c r="I442" s="67">
        <v>5</v>
      </c>
      <c r="J442" s="67" t="s">
        <v>143</v>
      </c>
      <c r="K442" s="67" t="s">
        <v>90</v>
      </c>
      <c r="L442" s="67" t="s">
        <v>3</v>
      </c>
      <c r="M442" s="67" t="s">
        <v>142</v>
      </c>
      <c r="N442" s="70">
        <v>1000</v>
      </c>
      <c r="O442" s="70">
        <v>359.59699999999998</v>
      </c>
      <c r="P442" s="70"/>
      <c r="Q442" s="98">
        <v>517</v>
      </c>
      <c r="R442" s="70">
        <v>0</v>
      </c>
      <c r="S442" s="70">
        <v>517</v>
      </c>
    </row>
    <row r="443" spans="1:19" s="56" customFormat="1">
      <c r="A443" s="67" t="s">
        <v>508</v>
      </c>
      <c r="B443" s="68" t="s">
        <v>509</v>
      </c>
      <c r="C443" s="67" t="s">
        <v>137</v>
      </c>
      <c r="D443" s="67" t="s">
        <v>138</v>
      </c>
      <c r="E443" s="67" t="s">
        <v>139</v>
      </c>
      <c r="F443" s="67" t="s">
        <v>140</v>
      </c>
      <c r="G443" s="69" t="s">
        <v>305</v>
      </c>
      <c r="H443" s="67">
        <v>0</v>
      </c>
      <c r="I443" s="67">
        <v>6</v>
      </c>
      <c r="J443" s="67" t="s">
        <v>144</v>
      </c>
      <c r="K443" s="67" t="s">
        <v>26</v>
      </c>
      <c r="L443" s="67" t="s">
        <v>3</v>
      </c>
      <c r="M443" s="67" t="s">
        <v>142</v>
      </c>
      <c r="N443" s="70">
        <v>1000</v>
      </c>
      <c r="O443" s="70">
        <v>1E-3</v>
      </c>
      <c r="P443" s="70"/>
      <c r="Q443" s="98">
        <v>3482</v>
      </c>
      <c r="R443" s="70">
        <v>3</v>
      </c>
      <c r="S443" s="70">
        <v>482</v>
      </c>
    </row>
    <row r="444" spans="1:19" s="56" customFormat="1">
      <c r="A444" s="67" t="s">
        <v>508</v>
      </c>
      <c r="B444" s="68" t="s">
        <v>509</v>
      </c>
      <c r="C444" s="67" t="s">
        <v>137</v>
      </c>
      <c r="D444" s="67" t="s">
        <v>138</v>
      </c>
      <c r="E444" s="67" t="s">
        <v>139</v>
      </c>
      <c r="F444" s="67" t="s">
        <v>140</v>
      </c>
      <c r="G444" s="69" t="s">
        <v>305</v>
      </c>
      <c r="H444" s="67">
        <v>0</v>
      </c>
      <c r="I444" s="67">
        <v>7</v>
      </c>
      <c r="J444" s="67" t="s">
        <v>145</v>
      </c>
      <c r="K444" s="67" t="s">
        <v>27</v>
      </c>
      <c r="L444" s="67" t="s">
        <v>3</v>
      </c>
      <c r="M444" s="67" t="s">
        <v>142</v>
      </c>
      <c r="N444" s="70">
        <v>1000</v>
      </c>
      <c r="O444" s="70">
        <v>1E-3</v>
      </c>
      <c r="P444" s="70"/>
      <c r="Q444" s="98">
        <v>2615</v>
      </c>
      <c r="R444" s="70">
        <v>2</v>
      </c>
      <c r="S444" s="70">
        <v>615</v>
      </c>
    </row>
    <row r="445" spans="1:19" s="56" customFormat="1">
      <c r="A445" s="67" t="s">
        <v>508</v>
      </c>
      <c r="B445" s="68" t="s">
        <v>509</v>
      </c>
      <c r="C445" s="67" t="s">
        <v>137</v>
      </c>
      <c r="D445" s="67" t="s">
        <v>138</v>
      </c>
      <c r="E445" s="67" t="s">
        <v>139</v>
      </c>
      <c r="F445" s="67" t="s">
        <v>140</v>
      </c>
      <c r="G445" s="69" t="s">
        <v>305</v>
      </c>
      <c r="H445" s="67">
        <v>0</v>
      </c>
      <c r="I445" s="67">
        <v>8</v>
      </c>
      <c r="J445" s="67" t="s">
        <v>146</v>
      </c>
      <c r="K445" s="67" t="s">
        <v>46</v>
      </c>
      <c r="L445" s="67" t="s">
        <v>3</v>
      </c>
      <c r="M445" s="67" t="s">
        <v>142</v>
      </c>
      <c r="N445" s="70">
        <v>1000</v>
      </c>
      <c r="O445" s="70">
        <v>1E-3</v>
      </c>
      <c r="P445" s="70"/>
      <c r="Q445" s="98">
        <v>413</v>
      </c>
      <c r="R445" s="70">
        <v>0</v>
      </c>
      <c r="S445" s="70">
        <v>413</v>
      </c>
    </row>
    <row r="446" spans="1:19" s="56" customFormat="1">
      <c r="A446" s="67" t="s">
        <v>508</v>
      </c>
      <c r="B446" s="68" t="s">
        <v>509</v>
      </c>
      <c r="C446" s="67" t="s">
        <v>137</v>
      </c>
      <c r="D446" s="67" t="s">
        <v>138</v>
      </c>
      <c r="E446" s="67" t="s">
        <v>139</v>
      </c>
      <c r="F446" s="67" t="s">
        <v>140</v>
      </c>
      <c r="G446" s="69" t="s">
        <v>305</v>
      </c>
      <c r="H446" s="67">
        <v>0</v>
      </c>
      <c r="I446" s="67">
        <v>9</v>
      </c>
      <c r="J446" s="67" t="s">
        <v>147</v>
      </c>
      <c r="K446" s="67" t="s">
        <v>41</v>
      </c>
      <c r="L446" s="67" t="s">
        <v>3</v>
      </c>
      <c r="M446" s="67" t="s">
        <v>142</v>
      </c>
      <c r="N446" s="70">
        <v>1000</v>
      </c>
      <c r="O446" s="70">
        <v>1E-3</v>
      </c>
      <c r="P446" s="70"/>
      <c r="Q446" s="98">
        <v>8947</v>
      </c>
      <c r="R446" s="70">
        <v>8</v>
      </c>
      <c r="S446" s="70">
        <v>947</v>
      </c>
    </row>
    <row r="447" spans="1:19" s="56" customFormat="1">
      <c r="A447" s="67" t="s">
        <v>508</v>
      </c>
      <c r="B447" s="68" t="s">
        <v>509</v>
      </c>
      <c r="C447" s="67" t="s">
        <v>137</v>
      </c>
      <c r="D447" s="67" t="s">
        <v>138</v>
      </c>
      <c r="E447" s="67" t="s">
        <v>139</v>
      </c>
      <c r="F447" s="67" t="s">
        <v>140</v>
      </c>
      <c r="G447" s="69" t="s">
        <v>305</v>
      </c>
      <c r="H447" s="67">
        <v>0</v>
      </c>
      <c r="I447" s="67">
        <v>10</v>
      </c>
      <c r="J447" s="67" t="s">
        <v>151</v>
      </c>
      <c r="K447" s="67" t="s">
        <v>28</v>
      </c>
      <c r="L447" s="67" t="s">
        <v>3</v>
      </c>
      <c r="M447" s="67" t="s">
        <v>142</v>
      </c>
      <c r="N447" s="70">
        <v>1000</v>
      </c>
      <c r="O447" s="70">
        <v>1E-3</v>
      </c>
      <c r="P447" s="70"/>
      <c r="Q447" s="98">
        <v>35</v>
      </c>
      <c r="R447" s="70">
        <v>0</v>
      </c>
      <c r="S447" s="70">
        <v>35</v>
      </c>
    </row>
    <row r="448" spans="1:19" s="56" customFormat="1">
      <c r="A448" s="67" t="s">
        <v>508</v>
      </c>
      <c r="B448" s="68" t="s">
        <v>509</v>
      </c>
      <c r="C448" s="67" t="s">
        <v>137</v>
      </c>
      <c r="D448" s="67" t="s">
        <v>138</v>
      </c>
      <c r="E448" s="67" t="s">
        <v>139</v>
      </c>
      <c r="F448" s="67" t="s">
        <v>140</v>
      </c>
      <c r="G448" s="69" t="s">
        <v>305</v>
      </c>
      <c r="H448" s="67">
        <v>0</v>
      </c>
      <c r="I448" s="67">
        <v>11</v>
      </c>
      <c r="J448" s="67" t="s">
        <v>148</v>
      </c>
      <c r="K448" s="67" t="s">
        <v>30</v>
      </c>
      <c r="L448" s="67" t="s">
        <v>3</v>
      </c>
      <c r="M448" s="67" t="s">
        <v>142</v>
      </c>
      <c r="N448" s="70">
        <v>1000</v>
      </c>
      <c r="O448" s="70">
        <v>1E-3</v>
      </c>
      <c r="P448" s="70"/>
      <c r="Q448" s="98">
        <v>20513</v>
      </c>
      <c r="R448" s="70">
        <v>20</v>
      </c>
      <c r="S448" s="70">
        <v>513</v>
      </c>
    </row>
    <row r="449" spans="1:19" s="56" customFormat="1">
      <c r="A449" s="67" t="s">
        <v>508</v>
      </c>
      <c r="B449" s="68" t="s">
        <v>509</v>
      </c>
      <c r="C449" s="67" t="s">
        <v>137</v>
      </c>
      <c r="D449" s="67" t="s">
        <v>138</v>
      </c>
      <c r="E449" s="67" t="s">
        <v>139</v>
      </c>
      <c r="F449" s="67" t="s">
        <v>140</v>
      </c>
      <c r="G449" s="69" t="s">
        <v>305</v>
      </c>
      <c r="H449" s="67">
        <v>0</v>
      </c>
      <c r="I449" s="67">
        <v>12</v>
      </c>
      <c r="J449" s="67" t="s">
        <v>502</v>
      </c>
      <c r="K449" s="67" t="s">
        <v>103</v>
      </c>
      <c r="L449" s="67" t="s">
        <v>3</v>
      </c>
      <c r="M449" s="67" t="s">
        <v>142</v>
      </c>
      <c r="N449" s="70">
        <v>1000</v>
      </c>
      <c r="O449" s="70">
        <v>1E-3</v>
      </c>
      <c r="P449" s="70"/>
      <c r="Q449" s="98">
        <v>11</v>
      </c>
      <c r="R449" s="70">
        <v>0</v>
      </c>
      <c r="S449" s="70">
        <v>11</v>
      </c>
    </row>
    <row r="450" spans="1:19" s="56" customFormat="1">
      <c r="A450" s="67" t="s">
        <v>508</v>
      </c>
      <c r="B450" s="68" t="s">
        <v>509</v>
      </c>
      <c r="C450" s="67" t="s">
        <v>137</v>
      </c>
      <c r="D450" s="67" t="s">
        <v>138</v>
      </c>
      <c r="E450" s="67" t="s">
        <v>139</v>
      </c>
      <c r="F450" s="67" t="s">
        <v>140</v>
      </c>
      <c r="G450" s="69" t="s">
        <v>305</v>
      </c>
      <c r="H450" s="67">
        <v>0</v>
      </c>
      <c r="I450" s="67">
        <v>13</v>
      </c>
      <c r="J450" s="67" t="s">
        <v>504</v>
      </c>
      <c r="K450" s="67" t="s">
        <v>107</v>
      </c>
      <c r="L450" s="67" t="s">
        <v>3</v>
      </c>
      <c r="M450" s="67" t="s">
        <v>142</v>
      </c>
      <c r="N450" s="70">
        <v>1000</v>
      </c>
      <c r="O450" s="70">
        <v>1E-3</v>
      </c>
      <c r="P450" s="70"/>
      <c r="Q450" s="98">
        <v>75</v>
      </c>
      <c r="R450" s="70">
        <v>0</v>
      </c>
      <c r="S450" s="70">
        <v>75</v>
      </c>
    </row>
    <row r="451" spans="1:19" s="56" customFormat="1">
      <c r="A451" s="67" t="s">
        <v>508</v>
      </c>
      <c r="B451" s="68" t="s">
        <v>509</v>
      </c>
      <c r="C451" s="67" t="s">
        <v>137</v>
      </c>
      <c r="D451" s="67" t="s">
        <v>138</v>
      </c>
      <c r="E451" s="67" t="s">
        <v>139</v>
      </c>
      <c r="F451" s="67" t="s">
        <v>140</v>
      </c>
      <c r="G451" s="69" t="s">
        <v>305</v>
      </c>
      <c r="H451" s="67">
        <v>0</v>
      </c>
      <c r="I451" s="67">
        <v>14</v>
      </c>
      <c r="J451" s="67" t="s">
        <v>507</v>
      </c>
      <c r="K451" s="67" t="s">
        <v>113</v>
      </c>
      <c r="L451" s="67" t="s">
        <v>3</v>
      </c>
      <c r="M451" s="67" t="s">
        <v>142</v>
      </c>
      <c r="N451" s="70">
        <v>1000</v>
      </c>
      <c r="O451" s="70">
        <v>1E-3</v>
      </c>
      <c r="P451" s="70"/>
      <c r="Q451" s="98">
        <v>36</v>
      </c>
      <c r="R451" s="70">
        <v>0</v>
      </c>
      <c r="S451" s="70">
        <v>36</v>
      </c>
    </row>
    <row r="452" spans="1:19" s="56" customFormat="1">
      <c r="A452" s="67" t="s">
        <v>508</v>
      </c>
      <c r="B452" s="68" t="s">
        <v>509</v>
      </c>
      <c r="C452" s="67" t="s">
        <v>137</v>
      </c>
      <c r="D452" s="67" t="s">
        <v>138</v>
      </c>
      <c r="E452" s="67" t="s">
        <v>139</v>
      </c>
      <c r="F452" s="67" t="s">
        <v>140</v>
      </c>
      <c r="G452" s="69" t="s">
        <v>305</v>
      </c>
      <c r="H452" s="67">
        <v>0</v>
      </c>
      <c r="I452" s="67">
        <v>15</v>
      </c>
      <c r="J452" s="67" t="s">
        <v>314</v>
      </c>
      <c r="K452" s="67" t="s">
        <v>281</v>
      </c>
      <c r="L452" s="67" t="s">
        <v>3</v>
      </c>
      <c r="M452" s="67" t="s">
        <v>142</v>
      </c>
      <c r="N452" s="70">
        <v>1000</v>
      </c>
      <c r="O452" s="70">
        <v>1E-3</v>
      </c>
      <c r="P452" s="70"/>
      <c r="Q452" s="98">
        <v>180000</v>
      </c>
      <c r="R452" s="70">
        <v>180</v>
      </c>
      <c r="S452" s="70">
        <v>0</v>
      </c>
    </row>
    <row r="453" spans="1:19" s="56" customFormat="1">
      <c r="A453" s="67" t="s">
        <v>508</v>
      </c>
      <c r="B453" s="68" t="s">
        <v>509</v>
      </c>
      <c r="C453" s="67" t="s">
        <v>137</v>
      </c>
      <c r="D453" s="67" t="s">
        <v>138</v>
      </c>
      <c r="E453" s="67" t="s">
        <v>139</v>
      </c>
      <c r="F453" s="67" t="s">
        <v>140</v>
      </c>
      <c r="G453" s="69" t="s">
        <v>305</v>
      </c>
      <c r="H453" s="67">
        <v>0</v>
      </c>
      <c r="I453" s="67">
        <v>16</v>
      </c>
      <c r="J453" s="67" t="s">
        <v>345</v>
      </c>
      <c r="K453" s="67" t="s">
        <v>313</v>
      </c>
      <c r="L453" s="67" t="s">
        <v>3</v>
      </c>
      <c r="M453" s="67" t="s">
        <v>142</v>
      </c>
      <c r="N453" s="70">
        <v>1000</v>
      </c>
      <c r="O453" s="70">
        <v>0</v>
      </c>
      <c r="P453" s="70"/>
      <c r="Q453" s="98">
        <v>6000</v>
      </c>
      <c r="R453" s="70">
        <v>6</v>
      </c>
      <c r="S453" s="70">
        <v>0</v>
      </c>
    </row>
    <row r="454" spans="1:19" s="56" customFormat="1">
      <c r="A454" s="67" t="s">
        <v>508</v>
      </c>
      <c r="B454" s="68" t="s">
        <v>509</v>
      </c>
      <c r="C454" s="67" t="s">
        <v>137</v>
      </c>
      <c r="D454" s="67" t="s">
        <v>138</v>
      </c>
      <c r="E454" s="67" t="s">
        <v>139</v>
      </c>
      <c r="F454" s="67" t="s">
        <v>140</v>
      </c>
      <c r="G454" s="69" t="s">
        <v>305</v>
      </c>
      <c r="H454" s="67">
        <v>0</v>
      </c>
      <c r="I454" s="67">
        <v>17</v>
      </c>
      <c r="J454" s="67" t="s">
        <v>510</v>
      </c>
      <c r="K454" s="67" t="s">
        <v>257</v>
      </c>
      <c r="L454" s="67" t="s">
        <v>3</v>
      </c>
      <c r="M454" s="67" t="s">
        <v>142</v>
      </c>
      <c r="N454" s="70">
        <v>1000</v>
      </c>
      <c r="O454" s="70">
        <v>1E-3</v>
      </c>
      <c r="P454" s="70"/>
      <c r="Q454" s="98">
        <v>21000</v>
      </c>
      <c r="R454" s="70">
        <v>21</v>
      </c>
      <c r="S454" s="70">
        <v>0</v>
      </c>
    </row>
    <row r="455" spans="1:19" s="56" customFormat="1">
      <c r="A455" s="67" t="s">
        <v>508</v>
      </c>
      <c r="B455" s="68" t="s">
        <v>509</v>
      </c>
      <c r="C455" s="67" t="s">
        <v>137</v>
      </c>
      <c r="D455" s="67" t="s">
        <v>138</v>
      </c>
      <c r="E455" s="67" t="s">
        <v>139</v>
      </c>
      <c r="F455" s="67" t="s">
        <v>153</v>
      </c>
      <c r="G455" s="69" t="s">
        <v>305</v>
      </c>
      <c r="H455" s="67">
        <v>0</v>
      </c>
      <c r="I455" s="67">
        <v>18</v>
      </c>
      <c r="J455" s="67" t="s">
        <v>154</v>
      </c>
      <c r="K455" s="67" t="s">
        <v>23</v>
      </c>
      <c r="L455" s="67" t="s">
        <v>3</v>
      </c>
      <c r="M455" s="67" t="s">
        <v>142</v>
      </c>
      <c r="N455" s="70">
        <v>1000</v>
      </c>
      <c r="O455" s="70">
        <v>32.021000000000001</v>
      </c>
      <c r="P455" s="70"/>
      <c r="Q455" s="98">
        <v>150000</v>
      </c>
      <c r="R455" s="70">
        <v>150</v>
      </c>
      <c r="S455" s="70">
        <v>0</v>
      </c>
    </row>
    <row r="456" spans="1:19" s="56" customFormat="1">
      <c r="A456" s="67" t="s">
        <v>508</v>
      </c>
      <c r="B456" s="68" t="s">
        <v>509</v>
      </c>
      <c r="C456" s="67" t="s">
        <v>137</v>
      </c>
      <c r="D456" s="67" t="s">
        <v>138</v>
      </c>
      <c r="E456" s="67" t="s">
        <v>139</v>
      </c>
      <c r="F456" s="67" t="s">
        <v>153</v>
      </c>
      <c r="G456" s="69" t="s">
        <v>305</v>
      </c>
      <c r="H456" s="67">
        <v>0</v>
      </c>
      <c r="I456" s="67">
        <v>19</v>
      </c>
      <c r="J456" s="67" t="s">
        <v>317</v>
      </c>
      <c r="K456" s="67" t="s">
        <v>17</v>
      </c>
      <c r="L456" s="67" t="s">
        <v>3</v>
      </c>
      <c r="M456" s="67" t="s">
        <v>142</v>
      </c>
      <c r="N456" s="70">
        <v>1000</v>
      </c>
      <c r="O456" s="70">
        <v>1E-3</v>
      </c>
      <c r="P456" s="70"/>
      <c r="Q456" s="98">
        <v>30000</v>
      </c>
      <c r="R456" s="70">
        <v>30</v>
      </c>
      <c r="S456" s="70">
        <v>0</v>
      </c>
    </row>
    <row r="457" spans="1:19" s="56" customFormat="1">
      <c r="A457" s="67" t="s">
        <v>508</v>
      </c>
      <c r="B457" s="68" t="s">
        <v>509</v>
      </c>
      <c r="C457" s="67" t="s">
        <v>137</v>
      </c>
      <c r="D457" s="67" t="s">
        <v>138</v>
      </c>
      <c r="E457" s="67" t="s">
        <v>139</v>
      </c>
      <c r="F457" s="67" t="s">
        <v>153</v>
      </c>
      <c r="G457" s="69" t="s">
        <v>305</v>
      </c>
      <c r="H457" s="67">
        <v>0</v>
      </c>
      <c r="I457" s="67">
        <v>20</v>
      </c>
      <c r="J457" s="67" t="s">
        <v>168</v>
      </c>
      <c r="K457" s="67" t="s">
        <v>34</v>
      </c>
      <c r="L457" s="67" t="s">
        <v>3</v>
      </c>
      <c r="M457" s="67" t="s">
        <v>142</v>
      </c>
      <c r="N457" s="70">
        <v>1000</v>
      </c>
      <c r="O457" s="70">
        <v>1E-3</v>
      </c>
      <c r="P457" s="70"/>
      <c r="Q457" s="98">
        <v>2800</v>
      </c>
      <c r="R457" s="70">
        <v>2</v>
      </c>
      <c r="S457" s="70">
        <v>800</v>
      </c>
    </row>
    <row r="458" spans="1:19" s="56" customFormat="1">
      <c r="A458" s="67" t="s">
        <v>508</v>
      </c>
      <c r="B458" s="68" t="s">
        <v>509</v>
      </c>
      <c r="C458" s="67" t="s">
        <v>137</v>
      </c>
      <c r="D458" s="67" t="s">
        <v>138</v>
      </c>
      <c r="E458" s="67" t="s">
        <v>139</v>
      </c>
      <c r="F458" s="67" t="s">
        <v>153</v>
      </c>
      <c r="G458" s="69" t="s">
        <v>305</v>
      </c>
      <c r="H458" s="67">
        <v>0</v>
      </c>
      <c r="I458" s="67">
        <v>21</v>
      </c>
      <c r="J458" s="67" t="s">
        <v>251</v>
      </c>
      <c r="K458" s="67" t="s">
        <v>249</v>
      </c>
      <c r="L458" s="67" t="s">
        <v>3</v>
      </c>
      <c r="M458" s="67" t="s">
        <v>142</v>
      </c>
      <c r="N458" s="70">
        <v>1000</v>
      </c>
      <c r="O458" s="70">
        <v>1E-3</v>
      </c>
      <c r="P458" s="70"/>
      <c r="Q458" s="98">
        <v>10000</v>
      </c>
      <c r="R458" s="70">
        <v>10</v>
      </c>
      <c r="S458" s="70">
        <v>0</v>
      </c>
    </row>
    <row r="459" spans="1:19" s="56" customFormat="1">
      <c r="A459" s="67" t="s">
        <v>508</v>
      </c>
      <c r="B459" s="68" t="s">
        <v>509</v>
      </c>
      <c r="C459" s="67" t="s">
        <v>137</v>
      </c>
      <c r="D459" s="67" t="s">
        <v>138</v>
      </c>
      <c r="E459" s="67" t="s">
        <v>139</v>
      </c>
      <c r="F459" s="67" t="s">
        <v>167</v>
      </c>
      <c r="G459" s="69" t="s">
        <v>305</v>
      </c>
      <c r="H459" s="67">
        <v>0</v>
      </c>
      <c r="I459" s="67">
        <v>22</v>
      </c>
      <c r="J459" s="67" t="s">
        <v>270</v>
      </c>
      <c r="K459" s="67" t="s">
        <v>31</v>
      </c>
      <c r="L459" s="67" t="s">
        <v>3</v>
      </c>
      <c r="M459" s="67" t="s">
        <v>142</v>
      </c>
      <c r="N459" s="70">
        <v>1000</v>
      </c>
      <c r="O459" s="70">
        <v>1E-3</v>
      </c>
      <c r="P459" s="70"/>
      <c r="Q459" s="98">
        <v>4000</v>
      </c>
      <c r="R459" s="70">
        <v>4</v>
      </c>
      <c r="S459" s="70">
        <v>0</v>
      </c>
    </row>
    <row r="460" spans="1:19" s="56" customFormat="1">
      <c r="A460" s="67" t="s">
        <v>508</v>
      </c>
      <c r="B460" s="68" t="s">
        <v>509</v>
      </c>
      <c r="C460" s="67" t="s">
        <v>137</v>
      </c>
      <c r="D460" s="67" t="s">
        <v>138</v>
      </c>
      <c r="E460" s="67" t="s">
        <v>139</v>
      </c>
      <c r="F460" s="67" t="s">
        <v>166</v>
      </c>
      <c r="G460" s="69" t="s">
        <v>305</v>
      </c>
      <c r="H460" s="67">
        <v>0</v>
      </c>
      <c r="I460" s="67">
        <v>23</v>
      </c>
      <c r="J460" s="67" t="s">
        <v>157</v>
      </c>
      <c r="K460" s="67" t="s">
        <v>48</v>
      </c>
      <c r="L460" s="67" t="s">
        <v>93</v>
      </c>
      <c r="M460" s="67" t="s">
        <v>158</v>
      </c>
      <c r="N460" s="70">
        <v>1000</v>
      </c>
      <c r="O460" s="70">
        <v>1E-3</v>
      </c>
      <c r="P460" s="70"/>
      <c r="Q460" s="98">
        <v>26000</v>
      </c>
      <c r="R460" s="70">
        <v>26</v>
      </c>
      <c r="S460" s="70">
        <v>0</v>
      </c>
    </row>
    <row r="461" spans="1:19" s="56" customFormat="1">
      <c r="A461" s="67" t="s">
        <v>508</v>
      </c>
      <c r="B461" s="68" t="s">
        <v>509</v>
      </c>
      <c r="C461" s="67" t="s">
        <v>137</v>
      </c>
      <c r="D461" s="67" t="s">
        <v>138</v>
      </c>
      <c r="E461" s="67" t="s">
        <v>139</v>
      </c>
      <c r="F461" s="67" t="s">
        <v>166</v>
      </c>
      <c r="G461" s="69" t="s">
        <v>305</v>
      </c>
      <c r="H461" s="67">
        <v>0</v>
      </c>
      <c r="I461" s="67">
        <v>24</v>
      </c>
      <c r="J461" s="67" t="s">
        <v>462</v>
      </c>
      <c r="K461" s="67" t="s">
        <v>54</v>
      </c>
      <c r="L461" s="67" t="s">
        <v>3</v>
      </c>
      <c r="M461" s="67" t="s">
        <v>142</v>
      </c>
      <c r="N461" s="70">
        <v>1000</v>
      </c>
      <c r="O461" s="70">
        <v>1E-3</v>
      </c>
      <c r="P461" s="70"/>
      <c r="Q461" s="98">
        <v>35000</v>
      </c>
      <c r="R461" s="70">
        <v>35</v>
      </c>
      <c r="S461" s="70">
        <v>0</v>
      </c>
    </row>
    <row r="462" spans="1:19" s="56" customFormat="1">
      <c r="A462" s="67" t="s">
        <v>508</v>
      </c>
      <c r="B462" s="68" t="s">
        <v>509</v>
      </c>
      <c r="C462" s="67" t="s">
        <v>137</v>
      </c>
      <c r="D462" s="67" t="s">
        <v>138</v>
      </c>
      <c r="E462" s="67" t="s">
        <v>139</v>
      </c>
      <c r="F462" s="67" t="s">
        <v>162</v>
      </c>
      <c r="G462" s="69" t="s">
        <v>305</v>
      </c>
      <c r="H462" s="67">
        <v>0</v>
      </c>
      <c r="I462" s="67">
        <v>25</v>
      </c>
      <c r="J462" s="67" t="s">
        <v>234</v>
      </c>
      <c r="K462" s="67" t="s">
        <v>233</v>
      </c>
      <c r="L462" s="67" t="s">
        <v>3</v>
      </c>
      <c r="M462" s="67" t="s">
        <v>142</v>
      </c>
      <c r="N462" s="70">
        <v>1000</v>
      </c>
      <c r="O462" s="70">
        <v>5.6</v>
      </c>
      <c r="P462" s="70"/>
      <c r="Q462" s="98">
        <v>775000</v>
      </c>
      <c r="R462" s="70">
        <v>775</v>
      </c>
      <c r="S462" s="70">
        <v>0</v>
      </c>
    </row>
    <row r="463" spans="1:19" s="56" customFormat="1">
      <c r="A463" s="67" t="s">
        <v>508</v>
      </c>
      <c r="B463" s="68" t="s">
        <v>509</v>
      </c>
      <c r="C463" s="67" t="s">
        <v>137</v>
      </c>
      <c r="D463" s="67" t="s">
        <v>138</v>
      </c>
      <c r="E463" s="67" t="s">
        <v>139</v>
      </c>
      <c r="F463" s="67" t="s">
        <v>162</v>
      </c>
      <c r="G463" s="69" t="s">
        <v>305</v>
      </c>
      <c r="H463" s="67">
        <v>0</v>
      </c>
      <c r="I463" s="67">
        <v>26</v>
      </c>
      <c r="J463" s="67" t="s">
        <v>262</v>
      </c>
      <c r="K463" s="67" t="s">
        <v>258</v>
      </c>
      <c r="L463" s="67" t="s">
        <v>3</v>
      </c>
      <c r="M463" s="67" t="s">
        <v>142</v>
      </c>
      <c r="N463" s="70">
        <v>1000</v>
      </c>
      <c r="O463" s="70">
        <v>0</v>
      </c>
      <c r="P463" s="70"/>
      <c r="Q463" s="98">
        <v>10000</v>
      </c>
      <c r="R463" s="70">
        <v>10</v>
      </c>
      <c r="S463" s="70">
        <v>0</v>
      </c>
    </row>
    <row r="464" spans="1:19" s="56" customFormat="1">
      <c r="A464" s="67" t="s">
        <v>508</v>
      </c>
      <c r="B464" s="68" t="s">
        <v>509</v>
      </c>
      <c r="C464" s="67" t="s">
        <v>137</v>
      </c>
      <c r="D464" s="67" t="s">
        <v>138</v>
      </c>
      <c r="E464" s="67" t="s">
        <v>139</v>
      </c>
      <c r="F464" s="67" t="s">
        <v>162</v>
      </c>
      <c r="G464" s="69" t="s">
        <v>305</v>
      </c>
      <c r="H464" s="67">
        <v>0</v>
      </c>
      <c r="I464" s="67">
        <v>27</v>
      </c>
      <c r="J464" s="67" t="s">
        <v>263</v>
      </c>
      <c r="K464" s="67" t="s">
        <v>259</v>
      </c>
      <c r="L464" s="67" t="s">
        <v>3</v>
      </c>
      <c r="M464" s="67" t="s">
        <v>142</v>
      </c>
      <c r="N464" s="70">
        <v>1000</v>
      </c>
      <c r="O464" s="70">
        <v>1E-3</v>
      </c>
      <c r="P464" s="70"/>
      <c r="Q464" s="98">
        <v>11000</v>
      </c>
      <c r="R464" s="70">
        <v>11</v>
      </c>
      <c r="S464" s="70">
        <v>0</v>
      </c>
    </row>
    <row r="465" spans="1:19" s="56" customFormat="1">
      <c r="A465" s="67" t="s">
        <v>508</v>
      </c>
      <c r="B465" s="68" t="s">
        <v>509</v>
      </c>
      <c r="C465" s="67" t="s">
        <v>137</v>
      </c>
      <c r="D465" s="67" t="s">
        <v>138</v>
      </c>
      <c r="E465" s="67" t="s">
        <v>139</v>
      </c>
      <c r="F465" s="67" t="s">
        <v>162</v>
      </c>
      <c r="G465" s="69" t="s">
        <v>305</v>
      </c>
      <c r="H465" s="67">
        <v>0</v>
      </c>
      <c r="I465" s="67">
        <v>28</v>
      </c>
      <c r="J465" s="67" t="s">
        <v>163</v>
      </c>
      <c r="K465" s="67" t="s">
        <v>14</v>
      </c>
      <c r="L465" s="67" t="s">
        <v>3</v>
      </c>
      <c r="M465" s="67" t="s">
        <v>142</v>
      </c>
      <c r="N465" s="70">
        <v>1000</v>
      </c>
      <c r="O465" s="70">
        <v>1E-3</v>
      </c>
      <c r="P465" s="70"/>
      <c r="Q465" s="98">
        <v>25000</v>
      </c>
      <c r="R465" s="70">
        <v>25</v>
      </c>
      <c r="S465" s="70">
        <v>0</v>
      </c>
    </row>
    <row r="466" spans="1:19" s="56" customFormat="1">
      <c r="A466" s="67" t="s">
        <v>508</v>
      </c>
      <c r="B466" s="68" t="s">
        <v>509</v>
      </c>
      <c r="C466" s="67" t="s">
        <v>137</v>
      </c>
      <c r="D466" s="67" t="s">
        <v>138</v>
      </c>
      <c r="E466" s="67" t="s">
        <v>139</v>
      </c>
      <c r="F466" s="67" t="s">
        <v>162</v>
      </c>
      <c r="G466" s="69" t="s">
        <v>305</v>
      </c>
      <c r="H466" s="67">
        <v>0</v>
      </c>
      <c r="I466" s="67">
        <v>29</v>
      </c>
      <c r="J466" s="67" t="s">
        <v>240</v>
      </c>
      <c r="K466" s="67" t="s">
        <v>237</v>
      </c>
      <c r="L466" s="67" t="s">
        <v>3</v>
      </c>
      <c r="M466" s="67" t="s">
        <v>142</v>
      </c>
      <c r="N466" s="70">
        <v>1000</v>
      </c>
      <c r="O466" s="70">
        <v>1E-3</v>
      </c>
      <c r="P466" s="70"/>
      <c r="Q466" s="98">
        <v>20000</v>
      </c>
      <c r="R466" s="70">
        <v>20</v>
      </c>
      <c r="S466" s="70">
        <v>0</v>
      </c>
    </row>
    <row r="467" spans="1:19" s="56" customFormat="1">
      <c r="A467" s="67" t="s">
        <v>508</v>
      </c>
      <c r="B467" s="68" t="s">
        <v>509</v>
      </c>
      <c r="C467" s="67" t="s">
        <v>137</v>
      </c>
      <c r="D467" s="67" t="s">
        <v>138</v>
      </c>
      <c r="E467" s="67" t="s">
        <v>139</v>
      </c>
      <c r="F467" s="67" t="s">
        <v>162</v>
      </c>
      <c r="G467" s="69" t="s">
        <v>305</v>
      </c>
      <c r="H467" s="67">
        <v>0</v>
      </c>
      <c r="I467" s="67">
        <v>30</v>
      </c>
      <c r="J467" s="67" t="s">
        <v>164</v>
      </c>
      <c r="K467" s="67" t="s">
        <v>74</v>
      </c>
      <c r="L467" s="67" t="s">
        <v>5</v>
      </c>
      <c r="M467" s="67" t="s">
        <v>142</v>
      </c>
      <c r="N467" s="70">
        <v>1000</v>
      </c>
      <c r="O467" s="70">
        <v>1E-3</v>
      </c>
      <c r="P467" s="70"/>
      <c r="Q467" s="98">
        <v>15000</v>
      </c>
      <c r="R467" s="70">
        <v>15</v>
      </c>
      <c r="S467" s="70">
        <v>0</v>
      </c>
    </row>
    <row r="468" spans="1:19" s="56" customFormat="1">
      <c r="A468" s="67" t="s">
        <v>508</v>
      </c>
      <c r="B468" s="68" t="s">
        <v>509</v>
      </c>
      <c r="C468" s="67" t="s">
        <v>137</v>
      </c>
      <c r="D468" s="67" t="s">
        <v>138</v>
      </c>
      <c r="E468" s="67" t="s">
        <v>139</v>
      </c>
      <c r="F468" s="67" t="s">
        <v>162</v>
      </c>
      <c r="G468" s="69" t="s">
        <v>305</v>
      </c>
      <c r="H468" s="67">
        <v>0</v>
      </c>
      <c r="I468" s="67">
        <v>31</v>
      </c>
      <c r="J468" s="67" t="s">
        <v>165</v>
      </c>
      <c r="K468" s="67" t="s">
        <v>80</v>
      </c>
      <c r="L468" s="67" t="s">
        <v>3</v>
      </c>
      <c r="M468" s="67" t="s">
        <v>142</v>
      </c>
      <c r="N468" s="70">
        <v>1000</v>
      </c>
      <c r="O468" s="70">
        <v>1E-3</v>
      </c>
      <c r="P468" s="70"/>
      <c r="Q468" s="98">
        <v>50</v>
      </c>
      <c r="R468" s="70">
        <v>0</v>
      </c>
      <c r="S468" s="70">
        <v>50</v>
      </c>
    </row>
    <row r="469" spans="1:19" s="56" customFormat="1">
      <c r="A469" s="67" t="s">
        <v>511</v>
      </c>
      <c r="B469" s="68" t="s">
        <v>512</v>
      </c>
      <c r="C469" s="67" t="s">
        <v>137</v>
      </c>
      <c r="D469" s="67" t="s">
        <v>138</v>
      </c>
      <c r="E469" s="67" t="s">
        <v>139</v>
      </c>
      <c r="F469" s="67" t="s">
        <v>140</v>
      </c>
      <c r="G469" s="69" t="s">
        <v>305</v>
      </c>
      <c r="H469" s="67">
        <v>0</v>
      </c>
      <c r="I469" s="67">
        <v>1</v>
      </c>
      <c r="J469" s="67" t="s">
        <v>141</v>
      </c>
      <c r="K469" s="67" t="s">
        <v>37</v>
      </c>
      <c r="L469" s="67" t="s">
        <v>3</v>
      </c>
      <c r="M469" s="67" t="s">
        <v>142</v>
      </c>
      <c r="N469" s="70">
        <v>1000</v>
      </c>
      <c r="O469" s="70">
        <v>200</v>
      </c>
      <c r="P469" s="70"/>
      <c r="Q469" s="98">
        <v>16941</v>
      </c>
      <c r="R469" s="70">
        <v>16</v>
      </c>
      <c r="S469" s="70">
        <v>941</v>
      </c>
    </row>
    <row r="470" spans="1:19" s="56" customFormat="1">
      <c r="A470" s="67" t="s">
        <v>511</v>
      </c>
      <c r="B470" s="68" t="s">
        <v>512</v>
      </c>
      <c r="C470" s="67" t="s">
        <v>137</v>
      </c>
      <c r="D470" s="67" t="s">
        <v>138</v>
      </c>
      <c r="E470" s="67" t="s">
        <v>139</v>
      </c>
      <c r="F470" s="67" t="s">
        <v>140</v>
      </c>
      <c r="G470" s="69" t="s">
        <v>305</v>
      </c>
      <c r="H470" s="67">
        <v>0</v>
      </c>
      <c r="I470" s="67">
        <v>2</v>
      </c>
      <c r="J470" s="67" t="s">
        <v>143</v>
      </c>
      <c r="K470" s="67" t="s">
        <v>90</v>
      </c>
      <c r="L470" s="67" t="s">
        <v>3</v>
      </c>
      <c r="M470" s="67" t="s">
        <v>142</v>
      </c>
      <c r="N470" s="70">
        <v>1000</v>
      </c>
      <c r="O470" s="70">
        <v>0.35959999999999998</v>
      </c>
      <c r="P470" s="70"/>
      <c r="Q470" s="98">
        <v>869</v>
      </c>
      <c r="R470" s="70">
        <v>0</v>
      </c>
      <c r="S470" s="70">
        <v>869</v>
      </c>
    </row>
    <row r="471" spans="1:19" s="56" customFormat="1">
      <c r="A471" s="67" t="s">
        <v>511</v>
      </c>
      <c r="B471" s="68" t="s">
        <v>512</v>
      </c>
      <c r="C471" s="67" t="s">
        <v>137</v>
      </c>
      <c r="D471" s="67" t="s">
        <v>138</v>
      </c>
      <c r="E471" s="67" t="s">
        <v>139</v>
      </c>
      <c r="F471" s="67" t="s">
        <v>140</v>
      </c>
      <c r="G471" s="69" t="s">
        <v>305</v>
      </c>
      <c r="H471" s="67">
        <v>0</v>
      </c>
      <c r="I471" s="67">
        <v>3</v>
      </c>
      <c r="J471" s="67" t="s">
        <v>346</v>
      </c>
      <c r="K471" s="67" t="s">
        <v>343</v>
      </c>
      <c r="L471" s="67" t="s">
        <v>3</v>
      </c>
      <c r="M471" s="67" t="s">
        <v>142</v>
      </c>
      <c r="N471" s="70">
        <v>1000</v>
      </c>
      <c r="O471" s="70">
        <v>1E-3</v>
      </c>
      <c r="P471" s="70"/>
      <c r="Q471" s="98">
        <v>13564</v>
      </c>
      <c r="R471" s="70">
        <v>13</v>
      </c>
      <c r="S471" s="70">
        <v>564</v>
      </c>
    </row>
    <row r="472" spans="1:19" s="56" customFormat="1">
      <c r="A472" s="67" t="s">
        <v>511</v>
      </c>
      <c r="B472" s="68" t="s">
        <v>512</v>
      </c>
      <c r="C472" s="67" t="s">
        <v>137</v>
      </c>
      <c r="D472" s="67" t="s">
        <v>138</v>
      </c>
      <c r="E472" s="67" t="s">
        <v>139</v>
      </c>
      <c r="F472" s="67" t="s">
        <v>140</v>
      </c>
      <c r="G472" s="69" t="s">
        <v>305</v>
      </c>
      <c r="H472" s="67">
        <v>0</v>
      </c>
      <c r="I472" s="67">
        <v>4</v>
      </c>
      <c r="J472" s="67" t="s">
        <v>144</v>
      </c>
      <c r="K472" s="67" t="s">
        <v>26</v>
      </c>
      <c r="L472" s="67" t="s">
        <v>3</v>
      </c>
      <c r="M472" s="67" t="s">
        <v>142</v>
      </c>
      <c r="N472" s="70">
        <v>1000</v>
      </c>
      <c r="O472" s="70">
        <v>0</v>
      </c>
      <c r="P472" s="70"/>
      <c r="Q472" s="98">
        <v>11549</v>
      </c>
      <c r="R472" s="70">
        <v>11</v>
      </c>
      <c r="S472" s="70">
        <v>549</v>
      </c>
    </row>
    <row r="473" spans="1:19" s="56" customFormat="1">
      <c r="A473" s="67" t="s">
        <v>511</v>
      </c>
      <c r="B473" s="68" t="s">
        <v>512</v>
      </c>
      <c r="C473" s="67" t="s">
        <v>137</v>
      </c>
      <c r="D473" s="67" t="s">
        <v>138</v>
      </c>
      <c r="E473" s="67" t="s">
        <v>139</v>
      </c>
      <c r="F473" s="67" t="s">
        <v>140</v>
      </c>
      <c r="G473" s="69" t="s">
        <v>305</v>
      </c>
      <c r="H473" s="67">
        <v>0</v>
      </c>
      <c r="I473" s="67">
        <v>5</v>
      </c>
      <c r="J473" s="67" t="s">
        <v>145</v>
      </c>
      <c r="K473" s="67" t="s">
        <v>27</v>
      </c>
      <c r="L473" s="67" t="s">
        <v>3</v>
      </c>
      <c r="M473" s="67" t="s">
        <v>142</v>
      </c>
      <c r="N473" s="70">
        <v>1000</v>
      </c>
      <c r="O473" s="70">
        <v>1E-3</v>
      </c>
      <c r="P473" s="70"/>
      <c r="Q473" s="98">
        <v>10520</v>
      </c>
      <c r="R473" s="70">
        <v>10</v>
      </c>
      <c r="S473" s="70">
        <v>520</v>
      </c>
    </row>
    <row r="474" spans="1:19" s="56" customFormat="1">
      <c r="A474" s="67" t="s">
        <v>511</v>
      </c>
      <c r="B474" s="68" t="s">
        <v>512</v>
      </c>
      <c r="C474" s="67" t="s">
        <v>137</v>
      </c>
      <c r="D474" s="67" t="s">
        <v>138</v>
      </c>
      <c r="E474" s="67" t="s">
        <v>139</v>
      </c>
      <c r="F474" s="67" t="s">
        <v>140</v>
      </c>
      <c r="G474" s="69" t="s">
        <v>305</v>
      </c>
      <c r="H474" s="67">
        <v>0</v>
      </c>
      <c r="I474" s="67">
        <v>6</v>
      </c>
      <c r="J474" s="67" t="s">
        <v>146</v>
      </c>
      <c r="K474" s="67" t="s">
        <v>46</v>
      </c>
      <c r="L474" s="67" t="s">
        <v>3</v>
      </c>
      <c r="M474" s="67" t="s">
        <v>142</v>
      </c>
      <c r="N474" s="70">
        <v>1000</v>
      </c>
      <c r="O474" s="70">
        <v>1E-3</v>
      </c>
      <c r="P474" s="70"/>
      <c r="Q474" s="98">
        <v>11871</v>
      </c>
      <c r="R474" s="70">
        <v>11</v>
      </c>
      <c r="S474" s="70">
        <v>871</v>
      </c>
    </row>
    <row r="475" spans="1:19" s="56" customFormat="1">
      <c r="A475" s="67" t="s">
        <v>511</v>
      </c>
      <c r="B475" s="68" t="s">
        <v>512</v>
      </c>
      <c r="C475" s="67" t="s">
        <v>137</v>
      </c>
      <c r="D475" s="67" t="s">
        <v>138</v>
      </c>
      <c r="E475" s="67" t="s">
        <v>139</v>
      </c>
      <c r="F475" s="67" t="s">
        <v>140</v>
      </c>
      <c r="G475" s="69" t="s">
        <v>305</v>
      </c>
      <c r="H475" s="67">
        <v>0</v>
      </c>
      <c r="I475" s="67">
        <v>7</v>
      </c>
      <c r="J475" s="67" t="s">
        <v>147</v>
      </c>
      <c r="K475" s="67" t="s">
        <v>41</v>
      </c>
      <c r="L475" s="67" t="s">
        <v>3</v>
      </c>
      <c r="M475" s="67" t="s">
        <v>142</v>
      </c>
      <c r="N475" s="70">
        <v>1000</v>
      </c>
      <c r="O475" s="70">
        <v>1E-3</v>
      </c>
      <c r="P475" s="70"/>
      <c r="Q475" s="98">
        <v>10034</v>
      </c>
      <c r="R475" s="70">
        <v>10</v>
      </c>
      <c r="S475" s="70">
        <v>34</v>
      </c>
    </row>
    <row r="476" spans="1:19" s="56" customFormat="1">
      <c r="A476" s="67" t="s">
        <v>511</v>
      </c>
      <c r="B476" s="68" t="s">
        <v>512</v>
      </c>
      <c r="C476" s="67" t="s">
        <v>137</v>
      </c>
      <c r="D476" s="67" t="s">
        <v>138</v>
      </c>
      <c r="E476" s="67" t="s">
        <v>139</v>
      </c>
      <c r="F476" s="67" t="s">
        <v>140</v>
      </c>
      <c r="G476" s="69" t="s">
        <v>305</v>
      </c>
      <c r="H476" s="67">
        <v>0</v>
      </c>
      <c r="I476" s="67">
        <v>8</v>
      </c>
      <c r="J476" s="67" t="s">
        <v>151</v>
      </c>
      <c r="K476" s="67" t="s">
        <v>28</v>
      </c>
      <c r="L476" s="67" t="s">
        <v>3</v>
      </c>
      <c r="M476" s="67" t="s">
        <v>142</v>
      </c>
      <c r="N476" s="70">
        <v>1000</v>
      </c>
      <c r="O476" s="70">
        <v>1E-3</v>
      </c>
      <c r="P476" s="70"/>
      <c r="Q476" s="98">
        <v>33</v>
      </c>
      <c r="R476" s="70">
        <v>0</v>
      </c>
      <c r="S476" s="70">
        <v>33</v>
      </c>
    </row>
    <row r="477" spans="1:19" s="56" customFormat="1">
      <c r="A477" s="67" t="s">
        <v>511</v>
      </c>
      <c r="B477" s="68" t="s">
        <v>512</v>
      </c>
      <c r="C477" s="67" t="s">
        <v>137</v>
      </c>
      <c r="D477" s="67" t="s">
        <v>138</v>
      </c>
      <c r="E477" s="67" t="s">
        <v>139</v>
      </c>
      <c r="F477" s="67" t="s">
        <v>140</v>
      </c>
      <c r="G477" s="69" t="s">
        <v>305</v>
      </c>
      <c r="H477" s="67">
        <v>0</v>
      </c>
      <c r="I477" s="67">
        <v>9</v>
      </c>
      <c r="J477" s="67" t="s">
        <v>148</v>
      </c>
      <c r="K477" s="67" t="s">
        <v>30</v>
      </c>
      <c r="L477" s="67" t="s">
        <v>3</v>
      </c>
      <c r="M477" s="67" t="s">
        <v>142</v>
      </c>
      <c r="N477" s="70">
        <v>1000</v>
      </c>
      <c r="O477" s="70">
        <v>1E-3</v>
      </c>
      <c r="P477" s="70"/>
      <c r="Q477" s="98">
        <v>11166</v>
      </c>
      <c r="R477" s="70">
        <v>11</v>
      </c>
      <c r="S477" s="70">
        <v>166</v>
      </c>
    </row>
    <row r="478" spans="1:19" s="56" customFormat="1">
      <c r="A478" s="67" t="s">
        <v>511</v>
      </c>
      <c r="B478" s="68" t="s">
        <v>512</v>
      </c>
      <c r="C478" s="67" t="s">
        <v>137</v>
      </c>
      <c r="D478" s="67" t="s">
        <v>138</v>
      </c>
      <c r="E478" s="67" t="s">
        <v>139</v>
      </c>
      <c r="F478" s="67" t="s">
        <v>140</v>
      </c>
      <c r="G478" s="69" t="s">
        <v>305</v>
      </c>
      <c r="H478" s="67">
        <v>0</v>
      </c>
      <c r="I478" s="67">
        <v>10</v>
      </c>
      <c r="J478" s="67" t="s">
        <v>502</v>
      </c>
      <c r="K478" s="67" t="s">
        <v>103</v>
      </c>
      <c r="L478" s="67" t="s">
        <v>3</v>
      </c>
      <c r="M478" s="67" t="s">
        <v>142</v>
      </c>
      <c r="N478" s="70">
        <v>1000</v>
      </c>
      <c r="O478" s="70">
        <v>1E-3</v>
      </c>
      <c r="P478" s="70"/>
      <c r="Q478" s="98">
        <v>87</v>
      </c>
      <c r="R478" s="70">
        <v>0</v>
      </c>
      <c r="S478" s="70">
        <v>87</v>
      </c>
    </row>
    <row r="479" spans="1:19" s="56" customFormat="1">
      <c r="A479" s="67" t="s">
        <v>511</v>
      </c>
      <c r="B479" s="68" t="s">
        <v>512</v>
      </c>
      <c r="C479" s="67" t="s">
        <v>137</v>
      </c>
      <c r="D479" s="67" t="s">
        <v>138</v>
      </c>
      <c r="E479" s="67" t="s">
        <v>139</v>
      </c>
      <c r="F479" s="67" t="s">
        <v>140</v>
      </c>
      <c r="G479" s="69" t="s">
        <v>305</v>
      </c>
      <c r="H479" s="67">
        <v>0</v>
      </c>
      <c r="I479" s="67">
        <v>11</v>
      </c>
      <c r="J479" s="67" t="s">
        <v>504</v>
      </c>
      <c r="K479" s="67" t="s">
        <v>107</v>
      </c>
      <c r="L479" s="67" t="s">
        <v>3</v>
      </c>
      <c r="M479" s="67" t="s">
        <v>142</v>
      </c>
      <c r="N479" s="70">
        <v>1000</v>
      </c>
      <c r="O479" s="70">
        <v>1E-3</v>
      </c>
      <c r="P479" s="70"/>
      <c r="Q479" s="98">
        <v>179</v>
      </c>
      <c r="R479" s="70">
        <v>0</v>
      </c>
      <c r="S479" s="70">
        <v>179</v>
      </c>
    </row>
    <row r="480" spans="1:19" s="56" customFormat="1">
      <c r="A480" s="67" t="s">
        <v>511</v>
      </c>
      <c r="B480" s="68" t="s">
        <v>512</v>
      </c>
      <c r="C480" s="67" t="s">
        <v>137</v>
      </c>
      <c r="D480" s="67" t="s">
        <v>138</v>
      </c>
      <c r="E480" s="67" t="s">
        <v>139</v>
      </c>
      <c r="F480" s="67" t="s">
        <v>140</v>
      </c>
      <c r="G480" s="69" t="s">
        <v>305</v>
      </c>
      <c r="H480" s="67">
        <v>0</v>
      </c>
      <c r="I480" s="67">
        <v>12</v>
      </c>
      <c r="J480" s="67" t="s">
        <v>505</v>
      </c>
      <c r="K480" s="67" t="s">
        <v>109</v>
      </c>
      <c r="L480" s="67" t="s">
        <v>3</v>
      </c>
      <c r="M480" s="67" t="s">
        <v>142</v>
      </c>
      <c r="N480" s="70">
        <v>1000</v>
      </c>
      <c r="O480" s="70">
        <v>1E-3</v>
      </c>
      <c r="P480" s="70"/>
      <c r="Q480" s="98">
        <v>92</v>
      </c>
      <c r="R480" s="70">
        <v>0</v>
      </c>
      <c r="S480" s="70">
        <v>92</v>
      </c>
    </row>
    <row r="481" spans="1:19" s="56" customFormat="1">
      <c r="A481" s="67" t="s">
        <v>511</v>
      </c>
      <c r="B481" s="68" t="s">
        <v>512</v>
      </c>
      <c r="C481" s="67" t="s">
        <v>137</v>
      </c>
      <c r="D481" s="67" t="s">
        <v>138</v>
      </c>
      <c r="E481" s="67" t="s">
        <v>139</v>
      </c>
      <c r="F481" s="67" t="s">
        <v>140</v>
      </c>
      <c r="G481" s="69" t="s">
        <v>305</v>
      </c>
      <c r="H481" s="67">
        <v>0</v>
      </c>
      <c r="I481" s="67">
        <v>13</v>
      </c>
      <c r="J481" s="67" t="s">
        <v>506</v>
      </c>
      <c r="K481" s="67" t="s">
        <v>110</v>
      </c>
      <c r="L481" s="67" t="s">
        <v>3</v>
      </c>
      <c r="M481" s="67" t="s">
        <v>142</v>
      </c>
      <c r="N481" s="70">
        <v>1000</v>
      </c>
      <c r="O481" s="70">
        <v>1E-3</v>
      </c>
      <c r="P481" s="70"/>
      <c r="Q481" s="98">
        <v>15</v>
      </c>
      <c r="R481" s="70">
        <v>0</v>
      </c>
      <c r="S481" s="70">
        <v>15</v>
      </c>
    </row>
    <row r="482" spans="1:19" s="56" customFormat="1">
      <c r="A482" s="67" t="s">
        <v>511</v>
      </c>
      <c r="B482" s="68" t="s">
        <v>512</v>
      </c>
      <c r="C482" s="67" t="s">
        <v>137</v>
      </c>
      <c r="D482" s="67" t="s">
        <v>138</v>
      </c>
      <c r="E482" s="67" t="s">
        <v>139</v>
      </c>
      <c r="F482" s="67" t="s">
        <v>140</v>
      </c>
      <c r="G482" s="69" t="s">
        <v>305</v>
      </c>
      <c r="H482" s="67">
        <v>0</v>
      </c>
      <c r="I482" s="67">
        <v>14</v>
      </c>
      <c r="J482" s="67" t="s">
        <v>507</v>
      </c>
      <c r="K482" s="67" t="s">
        <v>113</v>
      </c>
      <c r="L482" s="67" t="s">
        <v>3</v>
      </c>
      <c r="M482" s="67" t="s">
        <v>142</v>
      </c>
      <c r="N482" s="70">
        <v>1000</v>
      </c>
      <c r="O482" s="70">
        <v>1E-3</v>
      </c>
      <c r="P482" s="70"/>
      <c r="Q482" s="98">
        <v>22</v>
      </c>
      <c r="R482" s="70">
        <v>0</v>
      </c>
      <c r="S482" s="70">
        <v>22</v>
      </c>
    </row>
    <row r="483" spans="1:19" s="56" customFormat="1">
      <c r="A483" s="67" t="s">
        <v>511</v>
      </c>
      <c r="B483" s="68" t="s">
        <v>512</v>
      </c>
      <c r="C483" s="67" t="s">
        <v>137</v>
      </c>
      <c r="D483" s="67" t="s">
        <v>138</v>
      </c>
      <c r="E483" s="67" t="s">
        <v>139</v>
      </c>
      <c r="F483" s="67" t="s">
        <v>140</v>
      </c>
      <c r="G483" s="69" t="s">
        <v>305</v>
      </c>
      <c r="H483" s="67">
        <v>0</v>
      </c>
      <c r="I483" s="67">
        <v>15</v>
      </c>
      <c r="J483" s="67" t="s">
        <v>314</v>
      </c>
      <c r="K483" s="67" t="s">
        <v>281</v>
      </c>
      <c r="L483" s="67" t="s">
        <v>3</v>
      </c>
      <c r="M483" s="67" t="s">
        <v>142</v>
      </c>
      <c r="N483" s="70">
        <v>1000</v>
      </c>
      <c r="O483" s="70">
        <v>1E-3</v>
      </c>
      <c r="P483" s="70"/>
      <c r="Q483" s="98">
        <v>300000</v>
      </c>
      <c r="R483" s="70">
        <v>300</v>
      </c>
      <c r="S483" s="70">
        <v>0</v>
      </c>
    </row>
    <row r="484" spans="1:19" s="56" customFormat="1">
      <c r="A484" s="67" t="s">
        <v>511</v>
      </c>
      <c r="B484" s="68" t="s">
        <v>512</v>
      </c>
      <c r="C484" s="67" t="s">
        <v>137</v>
      </c>
      <c r="D484" s="67" t="s">
        <v>138</v>
      </c>
      <c r="E484" s="67" t="s">
        <v>139</v>
      </c>
      <c r="F484" s="67" t="s">
        <v>167</v>
      </c>
      <c r="G484" s="69" t="s">
        <v>305</v>
      </c>
      <c r="H484" s="67">
        <v>0</v>
      </c>
      <c r="I484" s="67">
        <v>16</v>
      </c>
      <c r="J484" s="67" t="s">
        <v>183</v>
      </c>
      <c r="K484" s="67" t="s">
        <v>20</v>
      </c>
      <c r="L484" s="67" t="s">
        <v>3</v>
      </c>
      <c r="M484" s="67" t="s">
        <v>142</v>
      </c>
      <c r="N484" s="70">
        <v>1000</v>
      </c>
      <c r="O484" s="70">
        <v>1E-3</v>
      </c>
      <c r="P484" s="70"/>
      <c r="Q484" s="98">
        <v>7000</v>
      </c>
      <c r="R484" s="70">
        <v>7</v>
      </c>
      <c r="S484" s="70">
        <v>0</v>
      </c>
    </row>
    <row r="485" spans="1:19" s="56" customFormat="1">
      <c r="A485" s="67" t="s">
        <v>511</v>
      </c>
      <c r="B485" s="68" t="s">
        <v>512</v>
      </c>
      <c r="C485" s="67" t="s">
        <v>137</v>
      </c>
      <c r="D485" s="67" t="s">
        <v>138</v>
      </c>
      <c r="E485" s="67" t="s">
        <v>139</v>
      </c>
      <c r="F485" s="67" t="s">
        <v>162</v>
      </c>
      <c r="G485" s="69" t="s">
        <v>305</v>
      </c>
      <c r="H485" s="67">
        <v>0</v>
      </c>
      <c r="I485" s="67">
        <v>17</v>
      </c>
      <c r="J485" s="67" t="s">
        <v>234</v>
      </c>
      <c r="K485" s="67" t="s">
        <v>233</v>
      </c>
      <c r="L485" s="67" t="s">
        <v>3</v>
      </c>
      <c r="M485" s="67" t="s">
        <v>142</v>
      </c>
      <c r="N485" s="70">
        <v>1000</v>
      </c>
      <c r="O485" s="70">
        <v>5.6</v>
      </c>
      <c r="P485" s="70"/>
      <c r="Q485" s="98">
        <v>125000</v>
      </c>
      <c r="R485" s="70">
        <v>125</v>
      </c>
      <c r="S485" s="70">
        <v>0</v>
      </c>
    </row>
    <row r="486" spans="1:19" s="56" customFormat="1">
      <c r="A486" s="67" t="s">
        <v>511</v>
      </c>
      <c r="B486" s="68" t="s">
        <v>512</v>
      </c>
      <c r="C486" s="67" t="s">
        <v>137</v>
      </c>
      <c r="D486" s="67" t="s">
        <v>138</v>
      </c>
      <c r="E486" s="67" t="s">
        <v>139</v>
      </c>
      <c r="F486" s="67" t="s">
        <v>162</v>
      </c>
      <c r="G486" s="69" t="s">
        <v>305</v>
      </c>
      <c r="H486" s="67">
        <v>0</v>
      </c>
      <c r="I486" s="67">
        <v>18</v>
      </c>
      <c r="J486" s="67" t="s">
        <v>262</v>
      </c>
      <c r="K486" s="67" t="s">
        <v>258</v>
      </c>
      <c r="L486" s="67" t="s">
        <v>3</v>
      </c>
      <c r="M486" s="67" t="s">
        <v>142</v>
      </c>
      <c r="N486" s="70">
        <v>1000</v>
      </c>
      <c r="O486" s="70">
        <v>1E-3</v>
      </c>
      <c r="P486" s="70"/>
      <c r="Q486" s="98">
        <v>9000</v>
      </c>
      <c r="R486" s="70">
        <v>9</v>
      </c>
      <c r="S486" s="70">
        <v>0</v>
      </c>
    </row>
    <row r="487" spans="1:19" s="56" customFormat="1">
      <c r="A487" s="67" t="s">
        <v>511</v>
      </c>
      <c r="B487" s="68" t="s">
        <v>512</v>
      </c>
      <c r="C487" s="67" t="s">
        <v>137</v>
      </c>
      <c r="D487" s="67" t="s">
        <v>138</v>
      </c>
      <c r="E487" s="67" t="s">
        <v>139</v>
      </c>
      <c r="F487" s="67" t="s">
        <v>162</v>
      </c>
      <c r="G487" s="69" t="s">
        <v>305</v>
      </c>
      <c r="H487" s="67">
        <v>0</v>
      </c>
      <c r="I487" s="67">
        <v>19</v>
      </c>
      <c r="J487" s="67" t="s">
        <v>263</v>
      </c>
      <c r="K487" s="67" t="s">
        <v>259</v>
      </c>
      <c r="L487" s="67" t="s">
        <v>3</v>
      </c>
      <c r="M487" s="67" t="s">
        <v>142</v>
      </c>
      <c r="N487" s="70">
        <v>1000</v>
      </c>
      <c r="O487" s="70">
        <v>1E-3</v>
      </c>
      <c r="P487" s="70"/>
      <c r="Q487" s="98">
        <v>8000</v>
      </c>
      <c r="R487" s="70">
        <v>8</v>
      </c>
      <c r="S487" s="70">
        <v>0</v>
      </c>
    </row>
    <row r="488" spans="1:19" s="56" customFormat="1">
      <c r="A488" s="67" t="s">
        <v>511</v>
      </c>
      <c r="B488" s="68" t="s">
        <v>512</v>
      </c>
      <c r="C488" s="67" t="s">
        <v>137</v>
      </c>
      <c r="D488" s="67" t="s">
        <v>138</v>
      </c>
      <c r="E488" s="67" t="s">
        <v>139</v>
      </c>
      <c r="F488" s="67" t="s">
        <v>162</v>
      </c>
      <c r="G488" s="69" t="s">
        <v>305</v>
      </c>
      <c r="H488" s="67">
        <v>0</v>
      </c>
      <c r="I488" s="67">
        <v>20</v>
      </c>
      <c r="J488" s="67" t="s">
        <v>240</v>
      </c>
      <c r="K488" s="67" t="s">
        <v>237</v>
      </c>
      <c r="L488" s="67" t="s">
        <v>3</v>
      </c>
      <c r="M488" s="67" t="s">
        <v>142</v>
      </c>
      <c r="N488" s="70">
        <v>1000</v>
      </c>
      <c r="O488" s="70">
        <v>1E-3</v>
      </c>
      <c r="P488" s="70"/>
      <c r="Q488" s="98">
        <v>15000</v>
      </c>
      <c r="R488" s="70">
        <v>15</v>
      </c>
      <c r="S488" s="70">
        <v>0</v>
      </c>
    </row>
    <row r="489" spans="1:19" s="56" customFormat="1">
      <c r="A489" s="67" t="s">
        <v>511</v>
      </c>
      <c r="B489" s="68" t="s">
        <v>512</v>
      </c>
      <c r="C489" s="67" t="s">
        <v>137</v>
      </c>
      <c r="D489" s="67" t="s">
        <v>138</v>
      </c>
      <c r="E489" s="67" t="s">
        <v>139</v>
      </c>
      <c r="F489" s="67" t="s">
        <v>162</v>
      </c>
      <c r="G489" s="69" t="s">
        <v>305</v>
      </c>
      <c r="H489" s="67">
        <v>0</v>
      </c>
      <c r="I489" s="67">
        <v>21</v>
      </c>
      <c r="J489" s="67" t="s">
        <v>163</v>
      </c>
      <c r="K489" s="67" t="s">
        <v>14</v>
      </c>
      <c r="L489" s="67" t="s">
        <v>3</v>
      </c>
      <c r="M489" s="67" t="s">
        <v>142</v>
      </c>
      <c r="N489" s="70">
        <v>1000</v>
      </c>
      <c r="O489" s="70">
        <v>1E-3</v>
      </c>
      <c r="P489" s="70"/>
      <c r="Q489" s="98">
        <v>15000</v>
      </c>
      <c r="R489" s="70">
        <v>15</v>
      </c>
      <c r="S489" s="70">
        <v>0</v>
      </c>
    </row>
    <row r="490" spans="1:19" s="56" customFormat="1">
      <c r="A490" s="67" t="s">
        <v>511</v>
      </c>
      <c r="B490" s="68" t="s">
        <v>512</v>
      </c>
      <c r="C490" s="67" t="s">
        <v>137</v>
      </c>
      <c r="D490" s="67" t="s">
        <v>138</v>
      </c>
      <c r="E490" s="67" t="s">
        <v>139</v>
      </c>
      <c r="F490" s="67" t="s">
        <v>162</v>
      </c>
      <c r="G490" s="69" t="s">
        <v>305</v>
      </c>
      <c r="H490" s="67">
        <v>0</v>
      </c>
      <c r="I490" s="67">
        <v>22</v>
      </c>
      <c r="J490" s="67" t="s">
        <v>164</v>
      </c>
      <c r="K490" s="67" t="s">
        <v>74</v>
      </c>
      <c r="L490" s="67" t="s">
        <v>5</v>
      </c>
      <c r="M490" s="67" t="s">
        <v>142</v>
      </c>
      <c r="N490" s="70">
        <v>1000</v>
      </c>
      <c r="O490" s="70">
        <v>1E-3</v>
      </c>
      <c r="P490" s="70"/>
      <c r="Q490" s="98">
        <v>15000</v>
      </c>
      <c r="R490" s="70">
        <v>15</v>
      </c>
      <c r="S490" s="70">
        <v>0</v>
      </c>
    </row>
    <row r="491" spans="1:19" s="56" customFormat="1">
      <c r="A491" s="67" t="s">
        <v>511</v>
      </c>
      <c r="B491" s="68" t="s">
        <v>512</v>
      </c>
      <c r="C491" s="67" t="s">
        <v>137</v>
      </c>
      <c r="D491" s="67" t="s">
        <v>138</v>
      </c>
      <c r="E491" s="67" t="s">
        <v>139</v>
      </c>
      <c r="F491" s="67" t="s">
        <v>162</v>
      </c>
      <c r="G491" s="69" t="s">
        <v>305</v>
      </c>
      <c r="H491" s="67">
        <v>0</v>
      </c>
      <c r="I491" s="67">
        <v>23</v>
      </c>
      <c r="J491" s="67" t="s">
        <v>165</v>
      </c>
      <c r="K491" s="67" t="s">
        <v>80</v>
      </c>
      <c r="L491" s="67" t="s">
        <v>3</v>
      </c>
      <c r="M491" s="67" t="s">
        <v>142</v>
      </c>
      <c r="N491" s="70">
        <v>1000</v>
      </c>
      <c r="O491" s="70">
        <v>1E-3</v>
      </c>
      <c r="P491" s="70"/>
      <c r="Q491" s="98">
        <v>50</v>
      </c>
      <c r="R491" s="70">
        <v>0</v>
      </c>
      <c r="S491" s="70">
        <v>50</v>
      </c>
    </row>
    <row r="492" spans="1:19" s="56" customFormat="1">
      <c r="A492" s="67" t="s">
        <v>513</v>
      </c>
      <c r="B492" s="68" t="s">
        <v>514</v>
      </c>
      <c r="C492" s="67" t="s">
        <v>137</v>
      </c>
      <c r="D492" s="67" t="s">
        <v>138</v>
      </c>
      <c r="E492" s="67" t="s">
        <v>139</v>
      </c>
      <c r="F492" s="67" t="s">
        <v>140</v>
      </c>
      <c r="G492" s="69" t="s">
        <v>305</v>
      </c>
      <c r="H492" s="67">
        <v>0</v>
      </c>
      <c r="I492" s="67">
        <v>1</v>
      </c>
      <c r="J492" s="67" t="s">
        <v>314</v>
      </c>
      <c r="K492" s="67" t="s">
        <v>281</v>
      </c>
      <c r="L492" s="67" t="s">
        <v>3</v>
      </c>
      <c r="M492" s="67" t="s">
        <v>142</v>
      </c>
      <c r="N492" s="70">
        <v>1000</v>
      </c>
      <c r="O492" s="70">
        <v>1E-3</v>
      </c>
      <c r="P492" s="70"/>
      <c r="Q492" s="98">
        <v>120000</v>
      </c>
      <c r="R492" s="70">
        <v>120</v>
      </c>
      <c r="S492" s="70">
        <v>0</v>
      </c>
    </row>
    <row r="493" spans="1:19" s="56" customFormat="1">
      <c r="A493" s="67" t="s">
        <v>513</v>
      </c>
      <c r="B493" s="68" t="s">
        <v>514</v>
      </c>
      <c r="C493" s="67" t="s">
        <v>137</v>
      </c>
      <c r="D493" s="67" t="s">
        <v>138</v>
      </c>
      <c r="E493" s="67" t="s">
        <v>139</v>
      </c>
      <c r="F493" s="67" t="s">
        <v>140</v>
      </c>
      <c r="G493" s="69" t="s">
        <v>305</v>
      </c>
      <c r="H493" s="67">
        <v>0</v>
      </c>
      <c r="I493" s="67">
        <v>2</v>
      </c>
      <c r="J493" s="67" t="s">
        <v>149</v>
      </c>
      <c r="K493" s="67" t="s">
        <v>24</v>
      </c>
      <c r="L493" s="67" t="s">
        <v>3</v>
      </c>
      <c r="M493" s="67" t="s">
        <v>142</v>
      </c>
      <c r="N493" s="70">
        <v>1000</v>
      </c>
      <c r="O493" s="70">
        <v>19</v>
      </c>
      <c r="P493" s="70"/>
      <c r="Q493" s="98">
        <v>8000</v>
      </c>
      <c r="R493" s="70">
        <v>8</v>
      </c>
      <c r="S493" s="70">
        <v>0</v>
      </c>
    </row>
    <row r="494" spans="1:19" s="56" customFormat="1">
      <c r="A494" s="67" t="s">
        <v>513</v>
      </c>
      <c r="B494" s="68" t="s">
        <v>514</v>
      </c>
      <c r="C494" s="67" t="s">
        <v>137</v>
      </c>
      <c r="D494" s="67" t="s">
        <v>138</v>
      </c>
      <c r="E494" s="67" t="s">
        <v>139</v>
      </c>
      <c r="F494" s="67" t="s">
        <v>140</v>
      </c>
      <c r="G494" s="69" t="s">
        <v>305</v>
      </c>
      <c r="H494" s="67">
        <v>0</v>
      </c>
      <c r="I494" s="67">
        <v>3</v>
      </c>
      <c r="J494" s="67" t="s">
        <v>150</v>
      </c>
      <c r="K494" s="67" t="s">
        <v>32</v>
      </c>
      <c r="L494" s="67" t="s">
        <v>3</v>
      </c>
      <c r="M494" s="67" t="s">
        <v>142</v>
      </c>
      <c r="N494" s="70">
        <v>1000</v>
      </c>
      <c r="O494" s="70">
        <v>20.5</v>
      </c>
      <c r="P494" s="70"/>
      <c r="Q494" s="98">
        <v>2000</v>
      </c>
      <c r="R494" s="70">
        <v>2</v>
      </c>
      <c r="S494" s="70">
        <v>0</v>
      </c>
    </row>
    <row r="495" spans="1:19" s="56" customFormat="1">
      <c r="A495" s="67" t="s">
        <v>513</v>
      </c>
      <c r="B495" s="68" t="s">
        <v>514</v>
      </c>
      <c r="C495" s="67" t="s">
        <v>137</v>
      </c>
      <c r="D495" s="67" t="s">
        <v>138</v>
      </c>
      <c r="E495" s="67" t="s">
        <v>139</v>
      </c>
      <c r="F495" s="67" t="s">
        <v>140</v>
      </c>
      <c r="G495" s="69" t="s">
        <v>305</v>
      </c>
      <c r="H495" s="67">
        <v>0</v>
      </c>
      <c r="I495" s="67">
        <v>4</v>
      </c>
      <c r="J495" s="67" t="s">
        <v>152</v>
      </c>
      <c r="K495" s="67" t="s">
        <v>57</v>
      </c>
      <c r="L495" s="67" t="s">
        <v>3</v>
      </c>
      <c r="M495" s="67" t="s">
        <v>142</v>
      </c>
      <c r="N495" s="70">
        <v>1000</v>
      </c>
      <c r="O495" s="70">
        <v>16</v>
      </c>
      <c r="P495" s="70"/>
      <c r="Q495" s="98">
        <v>50000</v>
      </c>
      <c r="R495" s="70">
        <v>50</v>
      </c>
      <c r="S495" s="70">
        <v>0</v>
      </c>
    </row>
    <row r="496" spans="1:19" s="56" customFormat="1">
      <c r="A496" s="67" t="s">
        <v>513</v>
      </c>
      <c r="B496" s="68" t="s">
        <v>514</v>
      </c>
      <c r="C496" s="67" t="s">
        <v>137</v>
      </c>
      <c r="D496" s="67" t="s">
        <v>138</v>
      </c>
      <c r="E496" s="67" t="s">
        <v>139</v>
      </c>
      <c r="F496" s="67" t="s">
        <v>140</v>
      </c>
      <c r="G496" s="69" t="s">
        <v>305</v>
      </c>
      <c r="H496" s="67">
        <v>0</v>
      </c>
      <c r="I496" s="67">
        <v>5</v>
      </c>
      <c r="J496" s="67" t="s">
        <v>141</v>
      </c>
      <c r="K496" s="67" t="s">
        <v>37</v>
      </c>
      <c r="L496" s="67" t="s">
        <v>3</v>
      </c>
      <c r="M496" s="67" t="s">
        <v>142</v>
      </c>
      <c r="N496" s="70">
        <v>1000</v>
      </c>
      <c r="O496" s="70">
        <v>200</v>
      </c>
      <c r="P496" s="70"/>
      <c r="Q496" s="98">
        <v>7831</v>
      </c>
      <c r="R496" s="70">
        <v>7</v>
      </c>
      <c r="S496" s="70">
        <v>831</v>
      </c>
    </row>
    <row r="497" spans="1:19" s="56" customFormat="1">
      <c r="A497" s="67" t="s">
        <v>513</v>
      </c>
      <c r="B497" s="68" t="s">
        <v>514</v>
      </c>
      <c r="C497" s="67" t="s">
        <v>137</v>
      </c>
      <c r="D497" s="67" t="s">
        <v>138</v>
      </c>
      <c r="E497" s="67" t="s">
        <v>139</v>
      </c>
      <c r="F497" s="67" t="s">
        <v>140</v>
      </c>
      <c r="G497" s="69" t="s">
        <v>305</v>
      </c>
      <c r="H497" s="67">
        <v>0</v>
      </c>
      <c r="I497" s="67">
        <v>6</v>
      </c>
      <c r="J497" s="67" t="s">
        <v>346</v>
      </c>
      <c r="K497" s="67" t="s">
        <v>343</v>
      </c>
      <c r="L497" s="67" t="s">
        <v>3</v>
      </c>
      <c r="M497" s="67" t="s">
        <v>142</v>
      </c>
      <c r="N497" s="70">
        <v>1000</v>
      </c>
      <c r="O497" s="70">
        <v>1E-3</v>
      </c>
      <c r="P497" s="70"/>
      <c r="Q497" s="98">
        <v>5633</v>
      </c>
      <c r="R497" s="70">
        <v>5</v>
      </c>
      <c r="S497" s="70">
        <v>633</v>
      </c>
    </row>
    <row r="498" spans="1:19" s="56" customFormat="1">
      <c r="A498" s="67" t="s">
        <v>513</v>
      </c>
      <c r="B498" s="68" t="s">
        <v>514</v>
      </c>
      <c r="C498" s="67" t="s">
        <v>137</v>
      </c>
      <c r="D498" s="67" t="s">
        <v>138</v>
      </c>
      <c r="E498" s="67" t="s">
        <v>139</v>
      </c>
      <c r="F498" s="67" t="s">
        <v>140</v>
      </c>
      <c r="G498" s="69" t="s">
        <v>305</v>
      </c>
      <c r="H498" s="67">
        <v>0</v>
      </c>
      <c r="I498" s="67">
        <v>7</v>
      </c>
      <c r="J498" s="67" t="s">
        <v>143</v>
      </c>
      <c r="K498" s="67" t="s">
        <v>90</v>
      </c>
      <c r="L498" s="67" t="s">
        <v>3</v>
      </c>
      <c r="M498" s="67" t="s">
        <v>142</v>
      </c>
      <c r="N498" s="70">
        <v>1000</v>
      </c>
      <c r="O498" s="70">
        <v>359.59699999999998</v>
      </c>
      <c r="P498" s="70"/>
      <c r="Q498" s="98">
        <v>3140</v>
      </c>
      <c r="R498" s="70">
        <v>3</v>
      </c>
      <c r="S498" s="70">
        <v>140</v>
      </c>
    </row>
    <row r="499" spans="1:19" s="56" customFormat="1">
      <c r="A499" s="67" t="s">
        <v>513</v>
      </c>
      <c r="B499" s="68" t="s">
        <v>514</v>
      </c>
      <c r="C499" s="67" t="s">
        <v>137</v>
      </c>
      <c r="D499" s="67" t="s">
        <v>138</v>
      </c>
      <c r="E499" s="67" t="s">
        <v>139</v>
      </c>
      <c r="F499" s="67" t="s">
        <v>140</v>
      </c>
      <c r="G499" s="69" t="s">
        <v>305</v>
      </c>
      <c r="H499" s="67">
        <v>0</v>
      </c>
      <c r="I499" s="67">
        <v>8</v>
      </c>
      <c r="J499" s="67" t="s">
        <v>169</v>
      </c>
      <c r="K499" s="67" t="s">
        <v>64</v>
      </c>
      <c r="L499" s="67" t="s">
        <v>3</v>
      </c>
      <c r="M499" s="67" t="s">
        <v>142</v>
      </c>
      <c r="N499" s="70">
        <v>1000</v>
      </c>
      <c r="O499" s="70">
        <v>1E-3</v>
      </c>
      <c r="P499" s="70"/>
      <c r="Q499" s="98">
        <v>71</v>
      </c>
      <c r="R499" s="70">
        <v>0</v>
      </c>
      <c r="S499" s="70">
        <v>71</v>
      </c>
    </row>
    <row r="500" spans="1:19" s="56" customFormat="1">
      <c r="A500" s="67" t="s">
        <v>513</v>
      </c>
      <c r="B500" s="68" t="s">
        <v>514</v>
      </c>
      <c r="C500" s="67" t="s">
        <v>137</v>
      </c>
      <c r="D500" s="67" t="s">
        <v>138</v>
      </c>
      <c r="E500" s="67" t="s">
        <v>139</v>
      </c>
      <c r="F500" s="67" t="s">
        <v>140</v>
      </c>
      <c r="G500" s="69" t="s">
        <v>305</v>
      </c>
      <c r="H500" s="67">
        <v>0</v>
      </c>
      <c r="I500" s="67">
        <v>9</v>
      </c>
      <c r="J500" s="67" t="s">
        <v>144</v>
      </c>
      <c r="K500" s="67" t="s">
        <v>26</v>
      </c>
      <c r="L500" s="67" t="s">
        <v>3</v>
      </c>
      <c r="M500" s="67" t="s">
        <v>142</v>
      </c>
      <c r="N500" s="70">
        <v>1000</v>
      </c>
      <c r="O500" s="70">
        <v>1E-3</v>
      </c>
      <c r="P500" s="70"/>
      <c r="Q500" s="98">
        <v>5483</v>
      </c>
      <c r="R500" s="70">
        <v>5</v>
      </c>
      <c r="S500" s="70">
        <v>483</v>
      </c>
    </row>
    <row r="501" spans="1:19" s="56" customFormat="1">
      <c r="A501" s="67" t="s">
        <v>513</v>
      </c>
      <c r="B501" s="68" t="s">
        <v>514</v>
      </c>
      <c r="C501" s="67" t="s">
        <v>137</v>
      </c>
      <c r="D501" s="67" t="s">
        <v>138</v>
      </c>
      <c r="E501" s="67" t="s">
        <v>139</v>
      </c>
      <c r="F501" s="67" t="s">
        <v>140</v>
      </c>
      <c r="G501" s="69" t="s">
        <v>305</v>
      </c>
      <c r="H501" s="67">
        <v>0</v>
      </c>
      <c r="I501" s="67">
        <v>10</v>
      </c>
      <c r="J501" s="67" t="s">
        <v>145</v>
      </c>
      <c r="K501" s="67" t="s">
        <v>27</v>
      </c>
      <c r="L501" s="67" t="s">
        <v>3</v>
      </c>
      <c r="M501" s="67" t="s">
        <v>142</v>
      </c>
      <c r="N501" s="70">
        <v>1000</v>
      </c>
      <c r="O501" s="70">
        <v>1E-3</v>
      </c>
      <c r="P501" s="70"/>
      <c r="Q501" s="98">
        <v>8490</v>
      </c>
      <c r="R501" s="70">
        <v>8</v>
      </c>
      <c r="S501" s="70">
        <v>490</v>
      </c>
    </row>
    <row r="502" spans="1:19" s="56" customFormat="1">
      <c r="A502" s="67" t="s">
        <v>513</v>
      </c>
      <c r="B502" s="68" t="s">
        <v>514</v>
      </c>
      <c r="C502" s="67" t="s">
        <v>137</v>
      </c>
      <c r="D502" s="67" t="s">
        <v>138</v>
      </c>
      <c r="E502" s="67" t="s">
        <v>139</v>
      </c>
      <c r="F502" s="67" t="s">
        <v>140</v>
      </c>
      <c r="G502" s="69" t="s">
        <v>305</v>
      </c>
      <c r="H502" s="67">
        <v>0</v>
      </c>
      <c r="I502" s="67">
        <v>11</v>
      </c>
      <c r="J502" s="67" t="s">
        <v>289</v>
      </c>
      <c r="K502" s="67" t="s">
        <v>255</v>
      </c>
      <c r="L502" s="67" t="s">
        <v>3</v>
      </c>
      <c r="M502" s="67" t="s">
        <v>142</v>
      </c>
      <c r="N502" s="70">
        <v>1000</v>
      </c>
      <c r="O502" s="70">
        <v>1E-3</v>
      </c>
      <c r="P502" s="70"/>
      <c r="Q502" s="98">
        <v>79</v>
      </c>
      <c r="R502" s="70">
        <v>0</v>
      </c>
      <c r="S502" s="70">
        <v>79</v>
      </c>
    </row>
    <row r="503" spans="1:19" s="56" customFormat="1">
      <c r="A503" s="67" t="s">
        <v>513</v>
      </c>
      <c r="B503" s="68" t="s">
        <v>514</v>
      </c>
      <c r="C503" s="67" t="s">
        <v>137</v>
      </c>
      <c r="D503" s="67" t="s">
        <v>138</v>
      </c>
      <c r="E503" s="67" t="s">
        <v>139</v>
      </c>
      <c r="F503" s="67" t="s">
        <v>140</v>
      </c>
      <c r="G503" s="69" t="s">
        <v>305</v>
      </c>
      <c r="H503" s="67">
        <v>0</v>
      </c>
      <c r="I503" s="67">
        <v>12</v>
      </c>
      <c r="J503" s="67" t="s">
        <v>146</v>
      </c>
      <c r="K503" s="67" t="s">
        <v>46</v>
      </c>
      <c r="L503" s="67" t="s">
        <v>3</v>
      </c>
      <c r="M503" s="67" t="s">
        <v>142</v>
      </c>
      <c r="N503" s="70">
        <v>1000</v>
      </c>
      <c r="O503" s="70">
        <v>1E-3</v>
      </c>
      <c r="P503" s="70"/>
      <c r="Q503" s="98">
        <v>4536</v>
      </c>
      <c r="R503" s="70">
        <v>4</v>
      </c>
      <c r="S503" s="70">
        <v>536</v>
      </c>
    </row>
    <row r="504" spans="1:19" s="56" customFormat="1">
      <c r="A504" s="67" t="s">
        <v>513</v>
      </c>
      <c r="B504" s="68" t="s">
        <v>514</v>
      </c>
      <c r="C504" s="67" t="s">
        <v>137</v>
      </c>
      <c r="D504" s="67" t="s">
        <v>138</v>
      </c>
      <c r="E504" s="67" t="s">
        <v>139</v>
      </c>
      <c r="F504" s="67" t="s">
        <v>140</v>
      </c>
      <c r="G504" s="69" t="s">
        <v>305</v>
      </c>
      <c r="H504" s="67">
        <v>0</v>
      </c>
      <c r="I504" s="67">
        <v>13</v>
      </c>
      <c r="J504" s="67" t="s">
        <v>147</v>
      </c>
      <c r="K504" s="67" t="s">
        <v>41</v>
      </c>
      <c r="L504" s="67" t="s">
        <v>3</v>
      </c>
      <c r="M504" s="67" t="s">
        <v>142</v>
      </c>
      <c r="N504" s="70">
        <v>1000</v>
      </c>
      <c r="O504" s="70">
        <v>1E-3</v>
      </c>
      <c r="P504" s="70"/>
      <c r="Q504" s="98">
        <v>6446</v>
      </c>
      <c r="R504" s="70">
        <v>6</v>
      </c>
      <c r="S504" s="70">
        <v>446</v>
      </c>
    </row>
    <row r="505" spans="1:19" s="56" customFormat="1">
      <c r="A505" s="67" t="s">
        <v>513</v>
      </c>
      <c r="B505" s="68" t="s">
        <v>514</v>
      </c>
      <c r="C505" s="67" t="s">
        <v>137</v>
      </c>
      <c r="D505" s="67" t="s">
        <v>138</v>
      </c>
      <c r="E505" s="67" t="s">
        <v>139</v>
      </c>
      <c r="F505" s="67" t="s">
        <v>140</v>
      </c>
      <c r="G505" s="69" t="s">
        <v>305</v>
      </c>
      <c r="H505" s="67">
        <v>0</v>
      </c>
      <c r="I505" s="67">
        <v>14</v>
      </c>
      <c r="J505" s="67" t="s">
        <v>151</v>
      </c>
      <c r="K505" s="67" t="s">
        <v>28</v>
      </c>
      <c r="L505" s="67" t="s">
        <v>3</v>
      </c>
      <c r="M505" s="67" t="s">
        <v>142</v>
      </c>
      <c r="N505" s="70">
        <v>1000</v>
      </c>
      <c r="O505" s="70">
        <v>1E-3</v>
      </c>
      <c r="P505" s="70"/>
      <c r="Q505" s="98">
        <v>66</v>
      </c>
      <c r="R505" s="70">
        <v>0</v>
      </c>
      <c r="S505" s="70">
        <v>66</v>
      </c>
    </row>
    <row r="506" spans="1:19" s="56" customFormat="1">
      <c r="A506" s="67" t="s">
        <v>513</v>
      </c>
      <c r="B506" s="68" t="s">
        <v>514</v>
      </c>
      <c r="C506" s="67" t="s">
        <v>137</v>
      </c>
      <c r="D506" s="67" t="s">
        <v>138</v>
      </c>
      <c r="E506" s="67" t="s">
        <v>139</v>
      </c>
      <c r="F506" s="67" t="s">
        <v>140</v>
      </c>
      <c r="G506" s="69" t="s">
        <v>305</v>
      </c>
      <c r="H506" s="67">
        <v>0</v>
      </c>
      <c r="I506" s="67">
        <v>15</v>
      </c>
      <c r="J506" s="67" t="s">
        <v>148</v>
      </c>
      <c r="K506" s="67" t="s">
        <v>30</v>
      </c>
      <c r="L506" s="67" t="s">
        <v>3</v>
      </c>
      <c r="M506" s="67" t="s">
        <v>142</v>
      </c>
      <c r="N506" s="70">
        <v>1000</v>
      </c>
      <c r="O506" s="70">
        <v>1E-3</v>
      </c>
      <c r="P506" s="70"/>
      <c r="Q506" s="98">
        <v>16752</v>
      </c>
      <c r="R506" s="70">
        <v>16</v>
      </c>
      <c r="S506" s="70">
        <v>752</v>
      </c>
    </row>
    <row r="507" spans="1:19" s="56" customFormat="1">
      <c r="A507" s="67" t="s">
        <v>513</v>
      </c>
      <c r="B507" s="68" t="s">
        <v>514</v>
      </c>
      <c r="C507" s="67" t="s">
        <v>137</v>
      </c>
      <c r="D507" s="67" t="s">
        <v>138</v>
      </c>
      <c r="E507" s="67" t="s">
        <v>139</v>
      </c>
      <c r="F507" s="67" t="s">
        <v>140</v>
      </c>
      <c r="G507" s="69" t="s">
        <v>305</v>
      </c>
      <c r="H507" s="67">
        <v>0</v>
      </c>
      <c r="I507" s="67">
        <v>16</v>
      </c>
      <c r="J507" s="67" t="s">
        <v>502</v>
      </c>
      <c r="K507" s="67" t="s">
        <v>103</v>
      </c>
      <c r="L507" s="67" t="s">
        <v>3</v>
      </c>
      <c r="M507" s="67" t="s">
        <v>142</v>
      </c>
      <c r="N507" s="70">
        <v>1000</v>
      </c>
      <c r="O507" s="70">
        <v>1E-3</v>
      </c>
      <c r="P507" s="70"/>
      <c r="Q507" s="98">
        <v>375</v>
      </c>
      <c r="R507" s="70">
        <v>0</v>
      </c>
      <c r="S507" s="70">
        <v>375</v>
      </c>
    </row>
    <row r="508" spans="1:19" s="56" customFormat="1">
      <c r="A508" s="67" t="s">
        <v>513</v>
      </c>
      <c r="B508" s="68" t="s">
        <v>514</v>
      </c>
      <c r="C508" s="67" t="s">
        <v>137</v>
      </c>
      <c r="D508" s="67" t="s">
        <v>138</v>
      </c>
      <c r="E508" s="67" t="s">
        <v>139</v>
      </c>
      <c r="F508" s="67" t="s">
        <v>140</v>
      </c>
      <c r="G508" s="69" t="s">
        <v>305</v>
      </c>
      <c r="H508" s="67">
        <v>0</v>
      </c>
      <c r="I508" s="67">
        <v>17</v>
      </c>
      <c r="J508" s="67" t="s">
        <v>504</v>
      </c>
      <c r="K508" s="67" t="s">
        <v>107</v>
      </c>
      <c r="L508" s="67" t="s">
        <v>3</v>
      </c>
      <c r="M508" s="67" t="s">
        <v>142</v>
      </c>
      <c r="N508" s="70">
        <v>1000</v>
      </c>
      <c r="O508" s="70">
        <v>1E-3</v>
      </c>
      <c r="P508" s="70"/>
      <c r="Q508" s="98">
        <v>371</v>
      </c>
      <c r="R508" s="70">
        <v>0</v>
      </c>
      <c r="S508" s="70">
        <v>371</v>
      </c>
    </row>
    <row r="509" spans="1:19" s="56" customFormat="1">
      <c r="A509" s="67" t="s">
        <v>513</v>
      </c>
      <c r="B509" s="68" t="s">
        <v>514</v>
      </c>
      <c r="C509" s="67" t="s">
        <v>137</v>
      </c>
      <c r="D509" s="67" t="s">
        <v>138</v>
      </c>
      <c r="E509" s="67" t="s">
        <v>139</v>
      </c>
      <c r="F509" s="67" t="s">
        <v>140</v>
      </c>
      <c r="G509" s="69" t="s">
        <v>305</v>
      </c>
      <c r="H509" s="67">
        <v>0</v>
      </c>
      <c r="I509" s="67">
        <v>18</v>
      </c>
      <c r="J509" s="67" t="s">
        <v>506</v>
      </c>
      <c r="K509" s="67" t="s">
        <v>110</v>
      </c>
      <c r="L509" s="67" t="s">
        <v>3</v>
      </c>
      <c r="M509" s="67" t="s">
        <v>142</v>
      </c>
      <c r="N509" s="70">
        <v>1000</v>
      </c>
      <c r="O509" s="70">
        <v>1E-3</v>
      </c>
      <c r="P509" s="70"/>
      <c r="Q509" s="98">
        <v>239</v>
      </c>
      <c r="R509" s="70">
        <v>0</v>
      </c>
      <c r="S509" s="70">
        <v>239</v>
      </c>
    </row>
    <row r="510" spans="1:19" s="56" customFormat="1">
      <c r="A510" s="67" t="s">
        <v>513</v>
      </c>
      <c r="B510" s="68" t="s">
        <v>514</v>
      </c>
      <c r="C510" s="67" t="s">
        <v>137</v>
      </c>
      <c r="D510" s="67" t="s">
        <v>138</v>
      </c>
      <c r="E510" s="67" t="s">
        <v>139</v>
      </c>
      <c r="F510" s="67" t="s">
        <v>140</v>
      </c>
      <c r="G510" s="69" t="s">
        <v>305</v>
      </c>
      <c r="H510" s="67">
        <v>0</v>
      </c>
      <c r="I510" s="67">
        <v>19</v>
      </c>
      <c r="J510" s="67" t="s">
        <v>507</v>
      </c>
      <c r="K510" s="67" t="s">
        <v>113</v>
      </c>
      <c r="L510" s="67" t="s">
        <v>3</v>
      </c>
      <c r="M510" s="67" t="s">
        <v>142</v>
      </c>
      <c r="N510" s="70">
        <v>1000</v>
      </c>
      <c r="O510" s="70">
        <v>1E-3</v>
      </c>
      <c r="P510" s="70"/>
      <c r="Q510" s="98">
        <v>3545</v>
      </c>
      <c r="R510" s="70">
        <v>3</v>
      </c>
      <c r="S510" s="70">
        <v>545</v>
      </c>
    </row>
    <row r="511" spans="1:19" s="56" customFormat="1">
      <c r="A511" s="67" t="s">
        <v>513</v>
      </c>
      <c r="B511" s="68" t="s">
        <v>514</v>
      </c>
      <c r="C511" s="67" t="s">
        <v>137</v>
      </c>
      <c r="D511" s="67" t="s">
        <v>138</v>
      </c>
      <c r="E511" s="67" t="s">
        <v>139</v>
      </c>
      <c r="F511" s="67" t="s">
        <v>140</v>
      </c>
      <c r="G511" s="69" t="s">
        <v>305</v>
      </c>
      <c r="H511" s="67">
        <v>0</v>
      </c>
      <c r="I511" s="67">
        <v>20</v>
      </c>
      <c r="J511" s="67" t="s">
        <v>505</v>
      </c>
      <c r="K511" s="67" t="s">
        <v>109</v>
      </c>
      <c r="L511" s="67" t="s">
        <v>3</v>
      </c>
      <c r="M511" s="67" t="s">
        <v>142</v>
      </c>
      <c r="N511" s="70">
        <v>1000</v>
      </c>
      <c r="O511" s="70">
        <v>1E-3</v>
      </c>
      <c r="P511" s="70"/>
      <c r="Q511" s="98">
        <v>72</v>
      </c>
      <c r="R511" s="70">
        <v>0</v>
      </c>
      <c r="S511" s="70">
        <v>72</v>
      </c>
    </row>
    <row r="512" spans="1:19" s="56" customFormat="1">
      <c r="A512" s="67" t="s">
        <v>513</v>
      </c>
      <c r="B512" s="68" t="s">
        <v>514</v>
      </c>
      <c r="C512" s="67" t="s">
        <v>137</v>
      </c>
      <c r="D512" s="67" t="s">
        <v>138</v>
      </c>
      <c r="E512" s="67" t="s">
        <v>139</v>
      </c>
      <c r="F512" s="67" t="s">
        <v>140</v>
      </c>
      <c r="G512" s="69" t="s">
        <v>305</v>
      </c>
      <c r="H512" s="67">
        <v>0</v>
      </c>
      <c r="I512" s="67">
        <v>21</v>
      </c>
      <c r="J512" s="67" t="s">
        <v>503</v>
      </c>
      <c r="K512" s="67" t="s">
        <v>104</v>
      </c>
      <c r="L512" s="67" t="s">
        <v>3</v>
      </c>
      <c r="M512" s="67" t="s">
        <v>142</v>
      </c>
      <c r="N512" s="70">
        <v>1000</v>
      </c>
      <c r="O512" s="70">
        <v>1E-3</v>
      </c>
      <c r="P512" s="70"/>
      <c r="Q512" s="98">
        <v>2</v>
      </c>
      <c r="R512" s="70">
        <v>0</v>
      </c>
      <c r="S512" s="70">
        <v>2</v>
      </c>
    </row>
    <row r="513" spans="1:19" s="56" customFormat="1">
      <c r="A513" s="67" t="s">
        <v>513</v>
      </c>
      <c r="B513" s="68" t="s">
        <v>514</v>
      </c>
      <c r="C513" s="67" t="s">
        <v>137</v>
      </c>
      <c r="D513" s="67" t="s">
        <v>138</v>
      </c>
      <c r="E513" s="67" t="s">
        <v>139</v>
      </c>
      <c r="F513" s="67" t="s">
        <v>153</v>
      </c>
      <c r="G513" s="69" t="s">
        <v>305</v>
      </c>
      <c r="H513" s="67">
        <v>0</v>
      </c>
      <c r="I513" s="67">
        <v>22</v>
      </c>
      <c r="J513" s="67" t="s">
        <v>154</v>
      </c>
      <c r="K513" s="67" t="s">
        <v>23</v>
      </c>
      <c r="L513" s="67" t="s">
        <v>3</v>
      </c>
      <c r="M513" s="67" t="s">
        <v>142</v>
      </c>
      <c r="N513" s="70">
        <v>1000</v>
      </c>
      <c r="O513" s="70">
        <v>32.021000000000001</v>
      </c>
      <c r="P513" s="70"/>
      <c r="Q513" s="98">
        <v>300000</v>
      </c>
      <c r="R513" s="70">
        <v>300</v>
      </c>
      <c r="S513" s="70">
        <v>0</v>
      </c>
    </row>
    <row r="514" spans="1:19" s="56" customFormat="1">
      <c r="A514" s="67" t="s">
        <v>513</v>
      </c>
      <c r="B514" s="68" t="s">
        <v>514</v>
      </c>
      <c r="C514" s="67" t="s">
        <v>137</v>
      </c>
      <c r="D514" s="67" t="s">
        <v>138</v>
      </c>
      <c r="E514" s="67" t="s">
        <v>139</v>
      </c>
      <c r="F514" s="67" t="s">
        <v>153</v>
      </c>
      <c r="G514" s="69" t="s">
        <v>305</v>
      </c>
      <c r="H514" s="67">
        <v>0</v>
      </c>
      <c r="I514" s="67">
        <v>23</v>
      </c>
      <c r="J514" s="67" t="s">
        <v>155</v>
      </c>
      <c r="K514" s="67" t="s">
        <v>33</v>
      </c>
      <c r="L514" s="67" t="s">
        <v>3</v>
      </c>
      <c r="M514" s="67" t="s">
        <v>142</v>
      </c>
      <c r="N514" s="70">
        <v>1000</v>
      </c>
      <c r="O514" s="70">
        <v>13.6</v>
      </c>
      <c r="P514" s="70"/>
      <c r="Q514" s="98">
        <v>220000</v>
      </c>
      <c r="R514" s="70">
        <v>220</v>
      </c>
      <c r="S514" s="70">
        <v>0</v>
      </c>
    </row>
    <row r="515" spans="1:19" s="56" customFormat="1">
      <c r="A515" s="67" t="s">
        <v>513</v>
      </c>
      <c r="B515" s="68" t="s">
        <v>514</v>
      </c>
      <c r="C515" s="67" t="s">
        <v>137</v>
      </c>
      <c r="D515" s="67" t="s">
        <v>138</v>
      </c>
      <c r="E515" s="67" t="s">
        <v>139</v>
      </c>
      <c r="F515" s="67" t="s">
        <v>153</v>
      </c>
      <c r="G515" s="69" t="s">
        <v>305</v>
      </c>
      <c r="H515" s="67">
        <v>0</v>
      </c>
      <c r="I515" s="67">
        <v>24</v>
      </c>
      <c r="J515" s="67" t="s">
        <v>317</v>
      </c>
      <c r="K515" s="67" t="s">
        <v>17</v>
      </c>
      <c r="L515" s="67" t="s">
        <v>3</v>
      </c>
      <c r="M515" s="67" t="s">
        <v>142</v>
      </c>
      <c r="N515" s="70">
        <v>1000</v>
      </c>
      <c r="O515" s="70">
        <v>1E-3</v>
      </c>
      <c r="P515" s="70"/>
      <c r="Q515" s="98">
        <v>40000</v>
      </c>
      <c r="R515" s="70">
        <v>40</v>
      </c>
      <c r="S515" s="70">
        <v>0</v>
      </c>
    </row>
    <row r="516" spans="1:19" s="56" customFormat="1">
      <c r="A516" s="67" t="s">
        <v>513</v>
      </c>
      <c r="B516" s="68" t="s">
        <v>514</v>
      </c>
      <c r="C516" s="67" t="s">
        <v>137</v>
      </c>
      <c r="D516" s="67" t="s">
        <v>138</v>
      </c>
      <c r="E516" s="67" t="s">
        <v>139</v>
      </c>
      <c r="F516" s="67" t="s">
        <v>153</v>
      </c>
      <c r="G516" s="69" t="s">
        <v>305</v>
      </c>
      <c r="H516" s="67">
        <v>0</v>
      </c>
      <c r="I516" s="67">
        <v>25</v>
      </c>
      <c r="J516" s="67" t="s">
        <v>251</v>
      </c>
      <c r="K516" s="67" t="s">
        <v>249</v>
      </c>
      <c r="L516" s="67" t="s">
        <v>3</v>
      </c>
      <c r="M516" s="67" t="s">
        <v>142</v>
      </c>
      <c r="N516" s="70">
        <v>1000</v>
      </c>
      <c r="O516" s="70">
        <v>1E-3</v>
      </c>
      <c r="P516" s="70"/>
      <c r="Q516" s="98">
        <v>25000</v>
      </c>
      <c r="R516" s="70">
        <v>25</v>
      </c>
      <c r="S516" s="70">
        <v>0</v>
      </c>
    </row>
    <row r="517" spans="1:19" s="56" customFormat="1">
      <c r="A517" s="67" t="s">
        <v>513</v>
      </c>
      <c r="B517" s="68" t="s">
        <v>514</v>
      </c>
      <c r="C517" s="67" t="s">
        <v>137</v>
      </c>
      <c r="D517" s="67" t="s">
        <v>138</v>
      </c>
      <c r="E517" s="67" t="s">
        <v>139</v>
      </c>
      <c r="F517" s="67" t="s">
        <v>153</v>
      </c>
      <c r="G517" s="69" t="s">
        <v>305</v>
      </c>
      <c r="H517" s="67">
        <v>0</v>
      </c>
      <c r="I517" s="67">
        <v>26</v>
      </c>
      <c r="J517" s="67" t="s">
        <v>168</v>
      </c>
      <c r="K517" s="67" t="s">
        <v>34</v>
      </c>
      <c r="L517" s="67" t="s">
        <v>3</v>
      </c>
      <c r="M517" s="67" t="s">
        <v>142</v>
      </c>
      <c r="N517" s="70">
        <v>1000</v>
      </c>
      <c r="O517" s="70">
        <v>1E-3</v>
      </c>
      <c r="P517" s="70"/>
      <c r="Q517" s="98">
        <v>5600</v>
      </c>
      <c r="R517" s="70">
        <v>5</v>
      </c>
      <c r="S517" s="70">
        <v>600</v>
      </c>
    </row>
    <row r="518" spans="1:19" s="56" customFormat="1">
      <c r="A518" s="67" t="s">
        <v>513</v>
      </c>
      <c r="B518" s="68" t="s">
        <v>514</v>
      </c>
      <c r="C518" s="67" t="s">
        <v>137</v>
      </c>
      <c r="D518" s="67" t="s">
        <v>138</v>
      </c>
      <c r="E518" s="67" t="s">
        <v>139</v>
      </c>
      <c r="F518" s="67" t="s">
        <v>153</v>
      </c>
      <c r="G518" s="69" t="s">
        <v>305</v>
      </c>
      <c r="H518" s="67">
        <v>0</v>
      </c>
      <c r="I518" s="67">
        <v>27</v>
      </c>
      <c r="J518" s="67" t="s">
        <v>315</v>
      </c>
      <c r="K518" s="67" t="s">
        <v>47</v>
      </c>
      <c r="L518" s="67" t="s">
        <v>3</v>
      </c>
      <c r="M518" s="67" t="s">
        <v>142</v>
      </c>
      <c r="N518" s="70">
        <v>1000</v>
      </c>
      <c r="O518" s="70">
        <v>1E-3</v>
      </c>
      <c r="P518" s="70"/>
      <c r="Q518" s="98">
        <v>7000</v>
      </c>
      <c r="R518" s="70">
        <v>7</v>
      </c>
      <c r="S518" s="70">
        <v>0</v>
      </c>
    </row>
    <row r="519" spans="1:19" s="56" customFormat="1">
      <c r="A519" s="67" t="s">
        <v>513</v>
      </c>
      <c r="B519" s="68" t="s">
        <v>514</v>
      </c>
      <c r="C519" s="67" t="s">
        <v>137</v>
      </c>
      <c r="D519" s="67" t="s">
        <v>138</v>
      </c>
      <c r="E519" s="67" t="s">
        <v>139</v>
      </c>
      <c r="F519" s="67" t="s">
        <v>153</v>
      </c>
      <c r="G519" s="69" t="s">
        <v>305</v>
      </c>
      <c r="H519" s="67">
        <v>0</v>
      </c>
      <c r="I519" s="67">
        <v>28</v>
      </c>
      <c r="J519" s="67" t="s">
        <v>495</v>
      </c>
      <c r="K519" s="67" t="s">
        <v>43</v>
      </c>
      <c r="L519" s="67" t="s">
        <v>3</v>
      </c>
      <c r="M519" s="67" t="s">
        <v>142</v>
      </c>
      <c r="N519" s="70">
        <v>1000</v>
      </c>
      <c r="O519" s="70">
        <v>1E-3</v>
      </c>
      <c r="P519" s="70"/>
      <c r="Q519" s="98">
        <v>24000</v>
      </c>
      <c r="R519" s="70">
        <v>24</v>
      </c>
      <c r="S519" s="70">
        <v>0</v>
      </c>
    </row>
    <row r="520" spans="1:19" s="56" customFormat="1">
      <c r="A520" s="67" t="s">
        <v>513</v>
      </c>
      <c r="B520" s="68" t="s">
        <v>514</v>
      </c>
      <c r="C520" s="67" t="s">
        <v>137</v>
      </c>
      <c r="D520" s="67" t="s">
        <v>138</v>
      </c>
      <c r="E520" s="67" t="s">
        <v>139</v>
      </c>
      <c r="F520" s="67" t="s">
        <v>153</v>
      </c>
      <c r="G520" s="69" t="s">
        <v>305</v>
      </c>
      <c r="H520" s="67">
        <v>0</v>
      </c>
      <c r="I520" s="67">
        <v>29</v>
      </c>
      <c r="J520" s="67" t="s">
        <v>174</v>
      </c>
      <c r="K520" s="67" t="s">
        <v>13</v>
      </c>
      <c r="L520" s="67" t="s">
        <v>3</v>
      </c>
      <c r="M520" s="67" t="s">
        <v>142</v>
      </c>
      <c r="N520" s="70">
        <v>1000</v>
      </c>
      <c r="O520" s="70">
        <v>0</v>
      </c>
      <c r="P520" s="70"/>
      <c r="Q520" s="98">
        <v>450</v>
      </c>
      <c r="R520" s="70">
        <v>0</v>
      </c>
      <c r="S520" s="70">
        <v>450</v>
      </c>
    </row>
    <row r="521" spans="1:19" s="56" customFormat="1">
      <c r="A521" s="67" t="s">
        <v>513</v>
      </c>
      <c r="B521" s="68" t="s">
        <v>514</v>
      </c>
      <c r="C521" s="67" t="s">
        <v>137</v>
      </c>
      <c r="D521" s="67" t="s">
        <v>138</v>
      </c>
      <c r="E521" s="67" t="s">
        <v>139</v>
      </c>
      <c r="F521" s="67" t="s">
        <v>153</v>
      </c>
      <c r="G521" s="69" t="s">
        <v>305</v>
      </c>
      <c r="H521" s="67">
        <v>0</v>
      </c>
      <c r="I521" s="67">
        <v>30</v>
      </c>
      <c r="J521" s="67" t="s">
        <v>173</v>
      </c>
      <c r="K521" s="67" t="s">
        <v>9</v>
      </c>
      <c r="L521" s="67" t="s">
        <v>3</v>
      </c>
      <c r="M521" s="67" t="s">
        <v>142</v>
      </c>
      <c r="N521" s="70">
        <v>1000</v>
      </c>
      <c r="O521" s="70">
        <v>1E-3</v>
      </c>
      <c r="P521" s="70"/>
      <c r="Q521" s="98">
        <v>1151</v>
      </c>
      <c r="R521" s="70">
        <v>1</v>
      </c>
      <c r="S521" s="70">
        <v>151</v>
      </c>
    </row>
    <row r="522" spans="1:19" s="56" customFormat="1">
      <c r="A522" s="67" t="s">
        <v>513</v>
      </c>
      <c r="B522" s="68" t="s">
        <v>514</v>
      </c>
      <c r="C522" s="67" t="s">
        <v>137</v>
      </c>
      <c r="D522" s="67" t="s">
        <v>138</v>
      </c>
      <c r="E522" s="67" t="s">
        <v>139</v>
      </c>
      <c r="F522" s="67" t="s">
        <v>153</v>
      </c>
      <c r="G522" s="69" t="s">
        <v>305</v>
      </c>
      <c r="H522" s="67">
        <v>0</v>
      </c>
      <c r="I522" s="67">
        <v>31</v>
      </c>
      <c r="J522" s="67" t="s">
        <v>172</v>
      </c>
      <c r="K522" s="67" t="s">
        <v>8</v>
      </c>
      <c r="L522" s="67" t="s">
        <v>3</v>
      </c>
      <c r="M522" s="67" t="s">
        <v>142</v>
      </c>
      <c r="N522" s="70">
        <v>1000</v>
      </c>
      <c r="O522" s="70">
        <v>0</v>
      </c>
      <c r="P522" s="70"/>
      <c r="Q522" s="98">
        <v>1906</v>
      </c>
      <c r="R522" s="70">
        <v>1</v>
      </c>
      <c r="S522" s="70">
        <v>906</v>
      </c>
    </row>
    <row r="523" spans="1:19" s="56" customFormat="1">
      <c r="A523" s="67" t="s">
        <v>513</v>
      </c>
      <c r="B523" s="68" t="s">
        <v>514</v>
      </c>
      <c r="C523" s="67" t="s">
        <v>137</v>
      </c>
      <c r="D523" s="67" t="s">
        <v>138</v>
      </c>
      <c r="E523" s="67" t="s">
        <v>139</v>
      </c>
      <c r="F523" s="67" t="s">
        <v>153</v>
      </c>
      <c r="G523" s="69" t="s">
        <v>305</v>
      </c>
      <c r="H523" s="67">
        <v>0</v>
      </c>
      <c r="I523" s="67">
        <v>33</v>
      </c>
      <c r="J523" s="67" t="s">
        <v>246</v>
      </c>
      <c r="K523" s="67" t="s">
        <v>7</v>
      </c>
      <c r="L523" s="67" t="s">
        <v>3</v>
      </c>
      <c r="M523" s="67" t="s">
        <v>142</v>
      </c>
      <c r="N523" s="70">
        <v>1000</v>
      </c>
      <c r="O523" s="70">
        <v>1E-3</v>
      </c>
      <c r="P523" s="70"/>
      <c r="Q523" s="98">
        <v>8000</v>
      </c>
      <c r="R523" s="70">
        <v>8</v>
      </c>
      <c r="S523" s="70">
        <v>0</v>
      </c>
    </row>
    <row r="524" spans="1:19" s="56" customFormat="1">
      <c r="A524" s="67" t="s">
        <v>513</v>
      </c>
      <c r="B524" s="68" t="s">
        <v>514</v>
      </c>
      <c r="C524" s="67" t="s">
        <v>137</v>
      </c>
      <c r="D524" s="67" t="s">
        <v>138</v>
      </c>
      <c r="E524" s="67" t="s">
        <v>139</v>
      </c>
      <c r="F524" s="67" t="s">
        <v>153</v>
      </c>
      <c r="G524" s="69" t="s">
        <v>305</v>
      </c>
      <c r="H524" s="67">
        <v>0</v>
      </c>
      <c r="I524" s="67">
        <v>34</v>
      </c>
      <c r="J524" s="67" t="s">
        <v>247</v>
      </c>
      <c r="K524" s="67" t="s">
        <v>79</v>
      </c>
      <c r="L524" s="67" t="s">
        <v>3</v>
      </c>
      <c r="M524" s="67" t="s">
        <v>142</v>
      </c>
      <c r="N524" s="70">
        <v>1000</v>
      </c>
      <c r="O524" s="70">
        <v>1E-3</v>
      </c>
      <c r="P524" s="70"/>
      <c r="Q524" s="98">
        <v>8000</v>
      </c>
      <c r="R524" s="70">
        <v>8</v>
      </c>
      <c r="S524" s="70">
        <v>0</v>
      </c>
    </row>
    <row r="525" spans="1:19" s="56" customFormat="1">
      <c r="A525" s="67" t="s">
        <v>513</v>
      </c>
      <c r="B525" s="68" t="s">
        <v>514</v>
      </c>
      <c r="C525" s="67" t="s">
        <v>137</v>
      </c>
      <c r="D525" s="67" t="s">
        <v>138</v>
      </c>
      <c r="E525" s="67" t="s">
        <v>139</v>
      </c>
      <c r="F525" s="67" t="s">
        <v>167</v>
      </c>
      <c r="G525" s="69" t="s">
        <v>305</v>
      </c>
      <c r="H525" s="67">
        <v>0</v>
      </c>
      <c r="I525" s="67">
        <v>35</v>
      </c>
      <c r="J525" s="67" t="s">
        <v>270</v>
      </c>
      <c r="K525" s="67" t="s">
        <v>31</v>
      </c>
      <c r="L525" s="67" t="s">
        <v>3</v>
      </c>
      <c r="M525" s="67" t="s">
        <v>142</v>
      </c>
      <c r="N525" s="70">
        <v>1000</v>
      </c>
      <c r="O525" s="70">
        <v>1E-3</v>
      </c>
      <c r="P525" s="70"/>
      <c r="Q525" s="98">
        <v>11000</v>
      </c>
      <c r="R525" s="70">
        <v>11</v>
      </c>
      <c r="S525" s="70">
        <v>0</v>
      </c>
    </row>
    <row r="526" spans="1:19" s="56" customFormat="1">
      <c r="A526" s="67" t="s">
        <v>513</v>
      </c>
      <c r="B526" s="68" t="s">
        <v>514</v>
      </c>
      <c r="C526" s="67" t="s">
        <v>137</v>
      </c>
      <c r="D526" s="67" t="s">
        <v>138</v>
      </c>
      <c r="E526" s="67" t="s">
        <v>139</v>
      </c>
      <c r="F526" s="67" t="s">
        <v>162</v>
      </c>
      <c r="G526" s="69" t="s">
        <v>305</v>
      </c>
      <c r="H526" s="67">
        <v>0</v>
      </c>
      <c r="I526" s="67">
        <v>36</v>
      </c>
      <c r="J526" s="67" t="s">
        <v>234</v>
      </c>
      <c r="K526" s="67" t="s">
        <v>233</v>
      </c>
      <c r="L526" s="67" t="s">
        <v>3</v>
      </c>
      <c r="M526" s="67" t="s">
        <v>142</v>
      </c>
      <c r="N526" s="70">
        <v>1000</v>
      </c>
      <c r="O526" s="70">
        <v>5.6</v>
      </c>
      <c r="P526" s="70"/>
      <c r="Q526" s="98">
        <v>550000</v>
      </c>
      <c r="R526" s="70">
        <v>550</v>
      </c>
      <c r="S526" s="70">
        <v>0</v>
      </c>
    </row>
    <row r="527" spans="1:19" s="56" customFormat="1">
      <c r="A527" s="67" t="s">
        <v>513</v>
      </c>
      <c r="B527" s="68" t="s">
        <v>514</v>
      </c>
      <c r="C527" s="67" t="s">
        <v>137</v>
      </c>
      <c r="D527" s="67" t="s">
        <v>138</v>
      </c>
      <c r="E527" s="67" t="s">
        <v>139</v>
      </c>
      <c r="F527" s="67" t="s">
        <v>162</v>
      </c>
      <c r="G527" s="69" t="s">
        <v>305</v>
      </c>
      <c r="H527" s="67">
        <v>0</v>
      </c>
      <c r="I527" s="67">
        <v>37</v>
      </c>
      <c r="J527" s="67" t="s">
        <v>262</v>
      </c>
      <c r="K527" s="67" t="s">
        <v>258</v>
      </c>
      <c r="L527" s="67" t="s">
        <v>3</v>
      </c>
      <c r="M527" s="67" t="s">
        <v>142</v>
      </c>
      <c r="N527" s="70">
        <v>1000</v>
      </c>
      <c r="O527" s="70">
        <v>0</v>
      </c>
      <c r="P527" s="70"/>
      <c r="Q527" s="98">
        <v>7000</v>
      </c>
      <c r="R527" s="70">
        <v>7</v>
      </c>
      <c r="S527" s="70">
        <v>0</v>
      </c>
    </row>
    <row r="528" spans="1:19" s="56" customFormat="1">
      <c r="A528" s="67" t="s">
        <v>513</v>
      </c>
      <c r="B528" s="68" t="s">
        <v>514</v>
      </c>
      <c r="C528" s="67" t="s">
        <v>137</v>
      </c>
      <c r="D528" s="67" t="s">
        <v>138</v>
      </c>
      <c r="E528" s="67" t="s">
        <v>139</v>
      </c>
      <c r="F528" s="67" t="s">
        <v>162</v>
      </c>
      <c r="G528" s="69" t="s">
        <v>305</v>
      </c>
      <c r="H528" s="67">
        <v>0</v>
      </c>
      <c r="I528" s="67">
        <v>38</v>
      </c>
      <c r="J528" s="67" t="s">
        <v>263</v>
      </c>
      <c r="K528" s="67" t="s">
        <v>259</v>
      </c>
      <c r="L528" s="67" t="s">
        <v>3</v>
      </c>
      <c r="M528" s="67" t="s">
        <v>142</v>
      </c>
      <c r="N528" s="70">
        <v>1000</v>
      </c>
      <c r="O528" s="70">
        <v>1E-3</v>
      </c>
      <c r="P528" s="70"/>
      <c r="Q528" s="98">
        <v>15000</v>
      </c>
      <c r="R528" s="70">
        <v>15</v>
      </c>
      <c r="S528" s="70">
        <v>0</v>
      </c>
    </row>
    <row r="529" spans="1:19" s="56" customFormat="1">
      <c r="A529" s="67" t="s">
        <v>513</v>
      </c>
      <c r="B529" s="68" t="s">
        <v>514</v>
      </c>
      <c r="C529" s="67" t="s">
        <v>137</v>
      </c>
      <c r="D529" s="67" t="s">
        <v>138</v>
      </c>
      <c r="E529" s="67" t="s">
        <v>139</v>
      </c>
      <c r="F529" s="67" t="s">
        <v>162</v>
      </c>
      <c r="G529" s="69" t="s">
        <v>305</v>
      </c>
      <c r="H529" s="67">
        <v>0</v>
      </c>
      <c r="I529" s="67">
        <v>39</v>
      </c>
      <c r="J529" s="67" t="s">
        <v>163</v>
      </c>
      <c r="K529" s="67" t="s">
        <v>14</v>
      </c>
      <c r="L529" s="67" t="s">
        <v>3</v>
      </c>
      <c r="M529" s="67" t="s">
        <v>142</v>
      </c>
      <c r="N529" s="70">
        <v>1000</v>
      </c>
      <c r="O529" s="70">
        <v>1E-3</v>
      </c>
      <c r="P529" s="70"/>
      <c r="Q529" s="98">
        <v>20000</v>
      </c>
      <c r="R529" s="70">
        <v>20</v>
      </c>
      <c r="S529" s="70">
        <v>0</v>
      </c>
    </row>
    <row r="530" spans="1:19" s="56" customFormat="1">
      <c r="A530" s="67" t="s">
        <v>513</v>
      </c>
      <c r="B530" s="68" t="s">
        <v>514</v>
      </c>
      <c r="C530" s="67" t="s">
        <v>137</v>
      </c>
      <c r="D530" s="67" t="s">
        <v>138</v>
      </c>
      <c r="E530" s="67" t="s">
        <v>139</v>
      </c>
      <c r="F530" s="67" t="s">
        <v>162</v>
      </c>
      <c r="G530" s="69" t="s">
        <v>305</v>
      </c>
      <c r="H530" s="67">
        <v>0</v>
      </c>
      <c r="I530" s="67">
        <v>40</v>
      </c>
      <c r="J530" s="67" t="s">
        <v>240</v>
      </c>
      <c r="K530" s="67" t="s">
        <v>237</v>
      </c>
      <c r="L530" s="67" t="s">
        <v>3</v>
      </c>
      <c r="M530" s="67" t="s">
        <v>142</v>
      </c>
      <c r="N530" s="70">
        <v>1000</v>
      </c>
      <c r="O530" s="70">
        <v>1E-3</v>
      </c>
      <c r="P530" s="70"/>
      <c r="Q530" s="98">
        <v>20000</v>
      </c>
      <c r="R530" s="70">
        <v>20</v>
      </c>
      <c r="S530" s="70">
        <v>0</v>
      </c>
    </row>
    <row r="531" spans="1:19" s="56" customFormat="1">
      <c r="A531" s="67" t="s">
        <v>513</v>
      </c>
      <c r="B531" s="68" t="s">
        <v>514</v>
      </c>
      <c r="C531" s="67" t="s">
        <v>137</v>
      </c>
      <c r="D531" s="67" t="s">
        <v>138</v>
      </c>
      <c r="E531" s="67" t="s">
        <v>139</v>
      </c>
      <c r="F531" s="67" t="s">
        <v>162</v>
      </c>
      <c r="G531" s="69" t="s">
        <v>305</v>
      </c>
      <c r="H531" s="67">
        <v>0</v>
      </c>
      <c r="I531" s="67">
        <v>41</v>
      </c>
      <c r="J531" s="67" t="s">
        <v>164</v>
      </c>
      <c r="K531" s="67" t="s">
        <v>74</v>
      </c>
      <c r="L531" s="67" t="s">
        <v>5</v>
      </c>
      <c r="M531" s="67" t="s">
        <v>142</v>
      </c>
      <c r="N531" s="70">
        <v>1000</v>
      </c>
      <c r="O531" s="70">
        <v>1E-3</v>
      </c>
      <c r="P531" s="70"/>
      <c r="Q531" s="98">
        <v>15000</v>
      </c>
      <c r="R531" s="70">
        <v>15</v>
      </c>
      <c r="S531" s="70">
        <v>0</v>
      </c>
    </row>
    <row r="532" spans="1:19" s="56" customFormat="1">
      <c r="A532" s="67" t="s">
        <v>513</v>
      </c>
      <c r="B532" s="68" t="s">
        <v>514</v>
      </c>
      <c r="C532" s="67" t="s">
        <v>137</v>
      </c>
      <c r="D532" s="67" t="s">
        <v>138</v>
      </c>
      <c r="E532" s="67" t="s">
        <v>139</v>
      </c>
      <c r="F532" s="67" t="s">
        <v>162</v>
      </c>
      <c r="G532" s="69" t="s">
        <v>305</v>
      </c>
      <c r="H532" s="67">
        <v>0</v>
      </c>
      <c r="I532" s="67">
        <v>42</v>
      </c>
      <c r="J532" s="67" t="s">
        <v>165</v>
      </c>
      <c r="K532" s="67" t="s">
        <v>80</v>
      </c>
      <c r="L532" s="67" t="s">
        <v>3</v>
      </c>
      <c r="M532" s="67" t="s">
        <v>142</v>
      </c>
      <c r="N532" s="70">
        <v>1000</v>
      </c>
      <c r="O532" s="70">
        <v>1E-3</v>
      </c>
      <c r="P532" s="70"/>
      <c r="Q532" s="98">
        <v>50</v>
      </c>
      <c r="R532" s="70">
        <v>0</v>
      </c>
      <c r="S532" s="70">
        <v>50</v>
      </c>
    </row>
    <row r="533" spans="1:19" s="56" customFormat="1">
      <c r="A533" s="67" t="s">
        <v>515</v>
      </c>
      <c r="B533" s="68" t="s">
        <v>516</v>
      </c>
      <c r="C533" s="67" t="s">
        <v>137</v>
      </c>
      <c r="D533" s="67" t="s">
        <v>138</v>
      </c>
      <c r="E533" s="67" t="s">
        <v>139</v>
      </c>
      <c r="F533" s="67" t="s">
        <v>140</v>
      </c>
      <c r="G533" s="69" t="s">
        <v>305</v>
      </c>
      <c r="H533" s="67">
        <v>0</v>
      </c>
      <c r="I533" s="67">
        <v>1</v>
      </c>
      <c r="J533" s="67" t="s">
        <v>141</v>
      </c>
      <c r="K533" s="67" t="s">
        <v>37</v>
      </c>
      <c r="L533" s="67" t="s">
        <v>3</v>
      </c>
      <c r="M533" s="67" t="s">
        <v>142</v>
      </c>
      <c r="N533" s="70">
        <v>1000</v>
      </c>
      <c r="O533" s="70">
        <v>200</v>
      </c>
      <c r="P533" s="70"/>
      <c r="Q533" s="98">
        <v>18660</v>
      </c>
      <c r="R533" s="70">
        <v>18</v>
      </c>
      <c r="S533" s="70">
        <v>660</v>
      </c>
    </row>
    <row r="534" spans="1:19" s="56" customFormat="1">
      <c r="A534" s="67" t="s">
        <v>515</v>
      </c>
      <c r="B534" s="68" t="s">
        <v>516</v>
      </c>
      <c r="C534" s="67" t="s">
        <v>137</v>
      </c>
      <c r="D534" s="67" t="s">
        <v>138</v>
      </c>
      <c r="E534" s="67" t="s">
        <v>139</v>
      </c>
      <c r="F534" s="67" t="s">
        <v>140</v>
      </c>
      <c r="G534" s="69" t="s">
        <v>305</v>
      </c>
      <c r="H534" s="67">
        <v>0</v>
      </c>
      <c r="I534" s="67">
        <v>2</v>
      </c>
      <c r="J534" s="67" t="s">
        <v>346</v>
      </c>
      <c r="K534" s="67" t="s">
        <v>343</v>
      </c>
      <c r="L534" s="67" t="s">
        <v>3</v>
      </c>
      <c r="M534" s="67" t="s">
        <v>142</v>
      </c>
      <c r="N534" s="70">
        <v>1000</v>
      </c>
      <c r="O534" s="70">
        <v>1E-3</v>
      </c>
      <c r="P534" s="70"/>
      <c r="Q534" s="98">
        <v>28348</v>
      </c>
      <c r="R534" s="70">
        <v>28</v>
      </c>
      <c r="S534" s="70">
        <v>348</v>
      </c>
    </row>
    <row r="535" spans="1:19" s="56" customFormat="1">
      <c r="A535" s="67" t="s">
        <v>515</v>
      </c>
      <c r="B535" s="68" t="s">
        <v>516</v>
      </c>
      <c r="C535" s="67" t="s">
        <v>137</v>
      </c>
      <c r="D535" s="67" t="s">
        <v>138</v>
      </c>
      <c r="E535" s="67" t="s">
        <v>139</v>
      </c>
      <c r="F535" s="67" t="s">
        <v>140</v>
      </c>
      <c r="G535" s="69" t="s">
        <v>305</v>
      </c>
      <c r="H535" s="67">
        <v>0</v>
      </c>
      <c r="I535" s="67">
        <v>3</v>
      </c>
      <c r="J535" s="67" t="s">
        <v>169</v>
      </c>
      <c r="K535" s="67" t="s">
        <v>64</v>
      </c>
      <c r="L535" s="67" t="s">
        <v>3</v>
      </c>
      <c r="M535" s="67" t="s">
        <v>142</v>
      </c>
      <c r="N535" s="70">
        <v>1000</v>
      </c>
      <c r="O535" s="70">
        <v>1E-3</v>
      </c>
      <c r="P535" s="70"/>
      <c r="Q535" s="98">
        <v>51</v>
      </c>
      <c r="R535" s="70">
        <v>0</v>
      </c>
      <c r="S535" s="70">
        <v>51</v>
      </c>
    </row>
    <row r="536" spans="1:19" s="56" customFormat="1">
      <c r="A536" s="67" t="s">
        <v>515</v>
      </c>
      <c r="B536" s="68" t="s">
        <v>516</v>
      </c>
      <c r="C536" s="67" t="s">
        <v>137</v>
      </c>
      <c r="D536" s="67" t="s">
        <v>138</v>
      </c>
      <c r="E536" s="67" t="s">
        <v>139</v>
      </c>
      <c r="F536" s="67" t="s">
        <v>140</v>
      </c>
      <c r="G536" s="69" t="s">
        <v>305</v>
      </c>
      <c r="H536" s="67">
        <v>0</v>
      </c>
      <c r="I536" s="67">
        <v>4</v>
      </c>
      <c r="J536" s="67" t="s">
        <v>143</v>
      </c>
      <c r="K536" s="67" t="s">
        <v>90</v>
      </c>
      <c r="L536" s="67" t="s">
        <v>3</v>
      </c>
      <c r="M536" s="67" t="s">
        <v>142</v>
      </c>
      <c r="N536" s="70">
        <v>1000</v>
      </c>
      <c r="O536" s="70">
        <v>359.59699999999998</v>
      </c>
      <c r="P536" s="70"/>
      <c r="Q536" s="98">
        <v>747</v>
      </c>
      <c r="R536" s="70">
        <v>0</v>
      </c>
      <c r="S536" s="70">
        <v>747</v>
      </c>
    </row>
    <row r="537" spans="1:19" s="56" customFormat="1">
      <c r="A537" s="67" t="s">
        <v>515</v>
      </c>
      <c r="B537" s="68" t="s">
        <v>516</v>
      </c>
      <c r="C537" s="67" t="s">
        <v>137</v>
      </c>
      <c r="D537" s="67" t="s">
        <v>138</v>
      </c>
      <c r="E537" s="67" t="s">
        <v>139</v>
      </c>
      <c r="F537" s="67" t="s">
        <v>140</v>
      </c>
      <c r="G537" s="69" t="s">
        <v>305</v>
      </c>
      <c r="H537" s="67">
        <v>0</v>
      </c>
      <c r="I537" s="67">
        <v>5</v>
      </c>
      <c r="J537" s="67" t="s">
        <v>250</v>
      </c>
      <c r="K537" s="67" t="s">
        <v>38</v>
      </c>
      <c r="L537" s="67" t="s">
        <v>3</v>
      </c>
      <c r="M537" s="67" t="s">
        <v>142</v>
      </c>
      <c r="N537" s="70">
        <v>1000</v>
      </c>
      <c r="O537" s="70">
        <v>1E-3</v>
      </c>
      <c r="P537" s="70"/>
      <c r="Q537" s="98">
        <v>2209</v>
      </c>
      <c r="R537" s="70">
        <v>2</v>
      </c>
      <c r="S537" s="70">
        <v>209</v>
      </c>
    </row>
    <row r="538" spans="1:19" s="56" customFormat="1">
      <c r="A538" s="67" t="s">
        <v>515</v>
      </c>
      <c r="B538" s="68" t="s">
        <v>516</v>
      </c>
      <c r="C538" s="67" t="s">
        <v>137</v>
      </c>
      <c r="D538" s="67" t="s">
        <v>138</v>
      </c>
      <c r="E538" s="67" t="s">
        <v>139</v>
      </c>
      <c r="F538" s="67" t="s">
        <v>140</v>
      </c>
      <c r="G538" s="69" t="s">
        <v>305</v>
      </c>
      <c r="H538" s="67">
        <v>0</v>
      </c>
      <c r="I538" s="67">
        <v>6</v>
      </c>
      <c r="J538" s="67" t="s">
        <v>144</v>
      </c>
      <c r="K538" s="67" t="s">
        <v>26</v>
      </c>
      <c r="L538" s="67" t="s">
        <v>3</v>
      </c>
      <c r="M538" s="67" t="s">
        <v>142</v>
      </c>
      <c r="N538" s="70">
        <v>1000</v>
      </c>
      <c r="O538" s="70">
        <v>1E-3</v>
      </c>
      <c r="P538" s="70"/>
      <c r="Q538" s="98">
        <v>15718</v>
      </c>
      <c r="R538" s="70">
        <v>15</v>
      </c>
      <c r="S538" s="70">
        <v>718</v>
      </c>
    </row>
    <row r="539" spans="1:19" s="56" customFormat="1">
      <c r="A539" s="67" t="s">
        <v>515</v>
      </c>
      <c r="B539" s="68" t="s">
        <v>516</v>
      </c>
      <c r="C539" s="67" t="s">
        <v>137</v>
      </c>
      <c r="D539" s="67" t="s">
        <v>138</v>
      </c>
      <c r="E539" s="67" t="s">
        <v>139</v>
      </c>
      <c r="F539" s="67" t="s">
        <v>140</v>
      </c>
      <c r="G539" s="69" t="s">
        <v>305</v>
      </c>
      <c r="H539" s="67">
        <v>0</v>
      </c>
      <c r="I539" s="67">
        <v>7</v>
      </c>
      <c r="J539" s="67" t="s">
        <v>145</v>
      </c>
      <c r="K539" s="67" t="s">
        <v>27</v>
      </c>
      <c r="L539" s="67" t="s">
        <v>3</v>
      </c>
      <c r="M539" s="67" t="s">
        <v>142</v>
      </c>
      <c r="N539" s="70">
        <v>1000</v>
      </c>
      <c r="O539" s="70">
        <v>1E-3</v>
      </c>
      <c r="P539" s="70"/>
      <c r="Q539" s="98">
        <v>8086</v>
      </c>
      <c r="R539" s="70">
        <v>8</v>
      </c>
      <c r="S539" s="70">
        <v>86</v>
      </c>
    </row>
    <row r="540" spans="1:19" s="56" customFormat="1">
      <c r="A540" s="67" t="s">
        <v>515</v>
      </c>
      <c r="B540" s="68" t="s">
        <v>516</v>
      </c>
      <c r="C540" s="67" t="s">
        <v>137</v>
      </c>
      <c r="D540" s="67" t="s">
        <v>138</v>
      </c>
      <c r="E540" s="67" t="s">
        <v>139</v>
      </c>
      <c r="F540" s="67" t="s">
        <v>140</v>
      </c>
      <c r="G540" s="69" t="s">
        <v>305</v>
      </c>
      <c r="H540" s="67">
        <v>0</v>
      </c>
      <c r="I540" s="67">
        <v>8</v>
      </c>
      <c r="J540" s="67" t="s">
        <v>376</v>
      </c>
      <c r="K540" s="67" t="s">
        <v>11</v>
      </c>
      <c r="L540" s="67" t="s">
        <v>3</v>
      </c>
      <c r="M540" s="67" t="s">
        <v>142</v>
      </c>
      <c r="N540" s="70">
        <v>1000</v>
      </c>
      <c r="O540" s="70">
        <v>1E-3</v>
      </c>
      <c r="P540" s="70"/>
      <c r="Q540" s="98">
        <v>17</v>
      </c>
      <c r="R540" s="70">
        <v>0</v>
      </c>
      <c r="S540" s="70">
        <v>17</v>
      </c>
    </row>
    <row r="541" spans="1:19" s="56" customFormat="1">
      <c r="A541" s="67" t="s">
        <v>515</v>
      </c>
      <c r="B541" s="68" t="s">
        <v>516</v>
      </c>
      <c r="C541" s="67" t="s">
        <v>137</v>
      </c>
      <c r="D541" s="67" t="s">
        <v>138</v>
      </c>
      <c r="E541" s="67" t="s">
        <v>139</v>
      </c>
      <c r="F541" s="67" t="s">
        <v>140</v>
      </c>
      <c r="G541" s="69" t="s">
        <v>305</v>
      </c>
      <c r="H541" s="67">
        <v>0</v>
      </c>
      <c r="I541" s="67">
        <v>9</v>
      </c>
      <c r="J541" s="67" t="s">
        <v>289</v>
      </c>
      <c r="K541" s="67" t="s">
        <v>255</v>
      </c>
      <c r="L541" s="67" t="s">
        <v>3</v>
      </c>
      <c r="M541" s="67" t="s">
        <v>142</v>
      </c>
      <c r="N541" s="70">
        <v>1000</v>
      </c>
      <c r="O541" s="70">
        <v>1E-3</v>
      </c>
      <c r="P541" s="70"/>
      <c r="Q541" s="98">
        <v>4368</v>
      </c>
      <c r="R541" s="70">
        <v>4</v>
      </c>
      <c r="S541" s="70">
        <v>368</v>
      </c>
    </row>
    <row r="542" spans="1:19" s="56" customFormat="1">
      <c r="A542" s="67" t="s">
        <v>515</v>
      </c>
      <c r="B542" s="68" t="s">
        <v>516</v>
      </c>
      <c r="C542" s="67" t="s">
        <v>137</v>
      </c>
      <c r="D542" s="67" t="s">
        <v>138</v>
      </c>
      <c r="E542" s="67" t="s">
        <v>139</v>
      </c>
      <c r="F542" s="67" t="s">
        <v>140</v>
      </c>
      <c r="G542" s="69" t="s">
        <v>305</v>
      </c>
      <c r="H542" s="67">
        <v>0</v>
      </c>
      <c r="I542" s="67">
        <v>10</v>
      </c>
      <c r="J542" s="67" t="s">
        <v>171</v>
      </c>
      <c r="K542" s="67" t="s">
        <v>102</v>
      </c>
      <c r="L542" s="67" t="s">
        <v>3</v>
      </c>
      <c r="M542" s="67" t="s">
        <v>142</v>
      </c>
      <c r="N542" s="70">
        <v>1000</v>
      </c>
      <c r="O542" s="70">
        <v>1E-3</v>
      </c>
      <c r="P542" s="70"/>
      <c r="Q542" s="98">
        <v>369</v>
      </c>
      <c r="R542" s="70">
        <v>0</v>
      </c>
      <c r="S542" s="70">
        <v>369</v>
      </c>
    </row>
    <row r="543" spans="1:19" s="56" customFormat="1">
      <c r="A543" s="67" t="s">
        <v>515</v>
      </c>
      <c r="B543" s="68" t="s">
        <v>516</v>
      </c>
      <c r="C543" s="67" t="s">
        <v>137</v>
      </c>
      <c r="D543" s="67" t="s">
        <v>138</v>
      </c>
      <c r="E543" s="67" t="s">
        <v>139</v>
      </c>
      <c r="F543" s="67" t="s">
        <v>140</v>
      </c>
      <c r="G543" s="69" t="s">
        <v>305</v>
      </c>
      <c r="H543" s="67">
        <v>0</v>
      </c>
      <c r="I543" s="67">
        <v>11</v>
      </c>
      <c r="J543" s="67" t="s">
        <v>146</v>
      </c>
      <c r="K543" s="67" t="s">
        <v>46</v>
      </c>
      <c r="L543" s="67" t="s">
        <v>3</v>
      </c>
      <c r="M543" s="67" t="s">
        <v>142</v>
      </c>
      <c r="N543" s="70">
        <v>1000</v>
      </c>
      <c r="O543" s="70">
        <v>1E-3</v>
      </c>
      <c r="P543" s="70"/>
      <c r="Q543" s="98">
        <v>1618</v>
      </c>
      <c r="R543" s="70">
        <v>1</v>
      </c>
      <c r="S543" s="70">
        <v>618</v>
      </c>
    </row>
    <row r="544" spans="1:19" s="56" customFormat="1">
      <c r="A544" s="67" t="s">
        <v>515</v>
      </c>
      <c r="B544" s="68" t="s">
        <v>516</v>
      </c>
      <c r="C544" s="67" t="s">
        <v>137</v>
      </c>
      <c r="D544" s="67" t="s">
        <v>138</v>
      </c>
      <c r="E544" s="67" t="s">
        <v>139</v>
      </c>
      <c r="F544" s="67" t="s">
        <v>140</v>
      </c>
      <c r="G544" s="69" t="s">
        <v>305</v>
      </c>
      <c r="H544" s="67">
        <v>0</v>
      </c>
      <c r="I544" s="67">
        <v>12</v>
      </c>
      <c r="J544" s="67" t="s">
        <v>147</v>
      </c>
      <c r="K544" s="67" t="s">
        <v>41</v>
      </c>
      <c r="L544" s="67" t="s">
        <v>3</v>
      </c>
      <c r="M544" s="67" t="s">
        <v>142</v>
      </c>
      <c r="N544" s="70">
        <v>1000</v>
      </c>
      <c r="O544" s="70">
        <v>1E-3</v>
      </c>
      <c r="P544" s="70"/>
      <c r="Q544" s="98">
        <v>15939</v>
      </c>
      <c r="R544" s="70">
        <v>15</v>
      </c>
      <c r="S544" s="70">
        <v>939</v>
      </c>
    </row>
    <row r="545" spans="1:19" s="56" customFormat="1">
      <c r="A545" s="67" t="s">
        <v>515</v>
      </c>
      <c r="B545" s="68" t="s">
        <v>516</v>
      </c>
      <c r="C545" s="67" t="s">
        <v>137</v>
      </c>
      <c r="D545" s="67" t="s">
        <v>138</v>
      </c>
      <c r="E545" s="67" t="s">
        <v>139</v>
      </c>
      <c r="F545" s="67" t="s">
        <v>140</v>
      </c>
      <c r="G545" s="69" t="s">
        <v>305</v>
      </c>
      <c r="H545" s="67">
        <v>0</v>
      </c>
      <c r="I545" s="67">
        <v>13</v>
      </c>
      <c r="J545" s="67" t="s">
        <v>151</v>
      </c>
      <c r="K545" s="67" t="s">
        <v>28</v>
      </c>
      <c r="L545" s="67" t="s">
        <v>3</v>
      </c>
      <c r="M545" s="67" t="s">
        <v>142</v>
      </c>
      <c r="N545" s="70">
        <v>1000</v>
      </c>
      <c r="O545" s="70">
        <v>1E-3</v>
      </c>
      <c r="P545" s="70"/>
      <c r="Q545" s="98">
        <v>108</v>
      </c>
      <c r="R545" s="70">
        <v>0</v>
      </c>
      <c r="S545" s="70">
        <v>108</v>
      </c>
    </row>
    <row r="546" spans="1:19" s="56" customFormat="1">
      <c r="A546" s="67" t="s">
        <v>515</v>
      </c>
      <c r="B546" s="68" t="s">
        <v>516</v>
      </c>
      <c r="C546" s="67" t="s">
        <v>137</v>
      </c>
      <c r="D546" s="67" t="s">
        <v>138</v>
      </c>
      <c r="E546" s="67" t="s">
        <v>139</v>
      </c>
      <c r="F546" s="67" t="s">
        <v>140</v>
      </c>
      <c r="G546" s="69" t="s">
        <v>305</v>
      </c>
      <c r="H546" s="67">
        <v>0</v>
      </c>
      <c r="I546" s="67">
        <v>14</v>
      </c>
      <c r="J546" s="67" t="s">
        <v>170</v>
      </c>
      <c r="K546" s="67" t="s">
        <v>29</v>
      </c>
      <c r="L546" s="67" t="s">
        <v>3</v>
      </c>
      <c r="M546" s="67" t="s">
        <v>142</v>
      </c>
      <c r="N546" s="70">
        <v>1000</v>
      </c>
      <c r="O546" s="70">
        <v>1E-3</v>
      </c>
      <c r="P546" s="70"/>
      <c r="Q546" s="98">
        <v>4</v>
      </c>
      <c r="R546" s="70">
        <v>0</v>
      </c>
      <c r="S546" s="70">
        <v>4</v>
      </c>
    </row>
    <row r="547" spans="1:19" s="56" customFormat="1">
      <c r="A547" s="67" t="s">
        <v>515</v>
      </c>
      <c r="B547" s="68" t="s">
        <v>516</v>
      </c>
      <c r="C547" s="67" t="s">
        <v>137</v>
      </c>
      <c r="D547" s="67" t="s">
        <v>138</v>
      </c>
      <c r="E547" s="67" t="s">
        <v>139</v>
      </c>
      <c r="F547" s="67" t="s">
        <v>140</v>
      </c>
      <c r="G547" s="69" t="s">
        <v>305</v>
      </c>
      <c r="H547" s="67">
        <v>0</v>
      </c>
      <c r="I547" s="67">
        <v>15</v>
      </c>
      <c r="J547" s="67" t="s">
        <v>148</v>
      </c>
      <c r="K547" s="67" t="s">
        <v>30</v>
      </c>
      <c r="L547" s="67" t="s">
        <v>3</v>
      </c>
      <c r="M547" s="67" t="s">
        <v>142</v>
      </c>
      <c r="N547" s="70">
        <v>1000</v>
      </c>
      <c r="O547" s="70">
        <v>1E-3</v>
      </c>
      <c r="P547" s="70"/>
      <c r="Q547" s="98">
        <v>6463</v>
      </c>
      <c r="R547" s="70">
        <v>6</v>
      </c>
      <c r="S547" s="70">
        <v>463</v>
      </c>
    </row>
    <row r="548" spans="1:19" s="56" customFormat="1">
      <c r="A548" s="67" t="s">
        <v>515</v>
      </c>
      <c r="B548" s="68" t="s">
        <v>516</v>
      </c>
      <c r="C548" s="67" t="s">
        <v>137</v>
      </c>
      <c r="D548" s="67" t="s">
        <v>138</v>
      </c>
      <c r="E548" s="67" t="s">
        <v>139</v>
      </c>
      <c r="F548" s="67" t="s">
        <v>140</v>
      </c>
      <c r="G548" s="69" t="s">
        <v>305</v>
      </c>
      <c r="H548" s="67">
        <v>0</v>
      </c>
      <c r="I548" s="67">
        <v>16</v>
      </c>
      <c r="J548" s="67" t="s">
        <v>502</v>
      </c>
      <c r="K548" s="67" t="s">
        <v>103</v>
      </c>
      <c r="L548" s="67" t="s">
        <v>3</v>
      </c>
      <c r="M548" s="67" t="s">
        <v>142</v>
      </c>
      <c r="N548" s="70">
        <v>1000</v>
      </c>
      <c r="O548" s="70">
        <v>1E-3</v>
      </c>
      <c r="P548" s="70"/>
      <c r="Q548" s="98">
        <v>125</v>
      </c>
      <c r="R548" s="70">
        <v>0</v>
      </c>
      <c r="S548" s="70">
        <v>125</v>
      </c>
    </row>
    <row r="549" spans="1:19" s="56" customFormat="1">
      <c r="A549" s="67" t="s">
        <v>515</v>
      </c>
      <c r="B549" s="68" t="s">
        <v>516</v>
      </c>
      <c r="C549" s="67" t="s">
        <v>137</v>
      </c>
      <c r="D549" s="67" t="s">
        <v>138</v>
      </c>
      <c r="E549" s="67" t="s">
        <v>139</v>
      </c>
      <c r="F549" s="67" t="s">
        <v>140</v>
      </c>
      <c r="G549" s="69" t="s">
        <v>305</v>
      </c>
      <c r="H549" s="67">
        <v>0</v>
      </c>
      <c r="I549" s="67">
        <v>17</v>
      </c>
      <c r="J549" s="67" t="s">
        <v>504</v>
      </c>
      <c r="K549" s="67" t="s">
        <v>107</v>
      </c>
      <c r="L549" s="67" t="s">
        <v>3</v>
      </c>
      <c r="M549" s="67" t="s">
        <v>142</v>
      </c>
      <c r="N549" s="70">
        <v>1000</v>
      </c>
      <c r="O549" s="70">
        <v>1E-3</v>
      </c>
      <c r="P549" s="70"/>
      <c r="Q549" s="98">
        <v>305</v>
      </c>
      <c r="R549" s="70">
        <v>0</v>
      </c>
      <c r="S549" s="70">
        <v>305</v>
      </c>
    </row>
    <row r="550" spans="1:19" s="56" customFormat="1">
      <c r="A550" s="67" t="s">
        <v>515</v>
      </c>
      <c r="B550" s="68" t="s">
        <v>516</v>
      </c>
      <c r="C550" s="67" t="s">
        <v>137</v>
      </c>
      <c r="D550" s="67" t="s">
        <v>138</v>
      </c>
      <c r="E550" s="67" t="s">
        <v>139</v>
      </c>
      <c r="F550" s="67" t="s">
        <v>140</v>
      </c>
      <c r="G550" s="69" t="s">
        <v>305</v>
      </c>
      <c r="H550" s="67">
        <v>0</v>
      </c>
      <c r="I550" s="67">
        <v>18</v>
      </c>
      <c r="J550" s="67" t="s">
        <v>506</v>
      </c>
      <c r="K550" s="67" t="s">
        <v>110</v>
      </c>
      <c r="L550" s="67" t="s">
        <v>3</v>
      </c>
      <c r="M550" s="67" t="s">
        <v>142</v>
      </c>
      <c r="N550" s="70">
        <v>1000</v>
      </c>
      <c r="O550" s="70">
        <v>1E-3</v>
      </c>
      <c r="P550" s="70"/>
      <c r="Q550" s="98">
        <v>527</v>
      </c>
      <c r="R550" s="70">
        <v>0</v>
      </c>
      <c r="S550" s="70">
        <v>527</v>
      </c>
    </row>
    <row r="551" spans="1:19" s="56" customFormat="1">
      <c r="A551" s="67" t="s">
        <v>515</v>
      </c>
      <c r="B551" s="68" t="s">
        <v>516</v>
      </c>
      <c r="C551" s="67" t="s">
        <v>137</v>
      </c>
      <c r="D551" s="67" t="s">
        <v>138</v>
      </c>
      <c r="E551" s="67" t="s">
        <v>139</v>
      </c>
      <c r="F551" s="67" t="s">
        <v>140</v>
      </c>
      <c r="G551" s="69" t="s">
        <v>305</v>
      </c>
      <c r="H551" s="67">
        <v>0</v>
      </c>
      <c r="I551" s="67">
        <v>19</v>
      </c>
      <c r="J551" s="67" t="s">
        <v>507</v>
      </c>
      <c r="K551" s="67" t="s">
        <v>113</v>
      </c>
      <c r="L551" s="67" t="s">
        <v>3</v>
      </c>
      <c r="M551" s="67" t="s">
        <v>142</v>
      </c>
      <c r="N551" s="70">
        <v>1000</v>
      </c>
      <c r="O551" s="70">
        <v>1E-3</v>
      </c>
      <c r="P551" s="70"/>
      <c r="Q551" s="98">
        <v>2007</v>
      </c>
      <c r="R551" s="70">
        <v>2</v>
      </c>
      <c r="S551" s="70">
        <v>7</v>
      </c>
    </row>
    <row r="552" spans="1:19" s="56" customFormat="1">
      <c r="A552" s="67" t="s">
        <v>515</v>
      </c>
      <c r="B552" s="68" t="s">
        <v>516</v>
      </c>
      <c r="C552" s="67" t="s">
        <v>137</v>
      </c>
      <c r="D552" s="67" t="s">
        <v>138</v>
      </c>
      <c r="E552" s="67" t="s">
        <v>139</v>
      </c>
      <c r="F552" s="67" t="s">
        <v>140</v>
      </c>
      <c r="G552" s="69" t="s">
        <v>305</v>
      </c>
      <c r="H552" s="67">
        <v>0</v>
      </c>
      <c r="I552" s="67">
        <v>20</v>
      </c>
      <c r="J552" s="67" t="s">
        <v>517</v>
      </c>
      <c r="K552" s="67" t="s">
        <v>106</v>
      </c>
      <c r="L552" s="67" t="s">
        <v>3</v>
      </c>
      <c r="M552" s="67" t="s">
        <v>142</v>
      </c>
      <c r="N552" s="70">
        <v>1000</v>
      </c>
      <c r="O552" s="70">
        <v>1E-3</v>
      </c>
      <c r="P552" s="70"/>
      <c r="Q552" s="98">
        <v>405</v>
      </c>
      <c r="R552" s="70">
        <v>0</v>
      </c>
      <c r="S552" s="70">
        <v>405</v>
      </c>
    </row>
    <row r="553" spans="1:19" s="56" customFormat="1">
      <c r="A553" s="67" t="s">
        <v>515</v>
      </c>
      <c r="B553" s="68" t="s">
        <v>516</v>
      </c>
      <c r="C553" s="67" t="s">
        <v>137</v>
      </c>
      <c r="D553" s="67" t="s">
        <v>138</v>
      </c>
      <c r="E553" s="67" t="s">
        <v>139</v>
      </c>
      <c r="F553" s="67" t="s">
        <v>140</v>
      </c>
      <c r="G553" s="69" t="s">
        <v>305</v>
      </c>
      <c r="H553" s="67">
        <v>0</v>
      </c>
      <c r="I553" s="67">
        <v>21</v>
      </c>
      <c r="J553" s="67" t="s">
        <v>503</v>
      </c>
      <c r="K553" s="67" t="s">
        <v>104</v>
      </c>
      <c r="L553" s="67" t="s">
        <v>3</v>
      </c>
      <c r="M553" s="67" t="s">
        <v>142</v>
      </c>
      <c r="N553" s="70">
        <v>1000</v>
      </c>
      <c r="O553" s="70">
        <v>1E-3</v>
      </c>
      <c r="P553" s="70"/>
      <c r="Q553" s="98">
        <v>178</v>
      </c>
      <c r="R553" s="70">
        <v>0</v>
      </c>
      <c r="S553" s="70">
        <v>178</v>
      </c>
    </row>
    <row r="554" spans="1:19" s="56" customFormat="1">
      <c r="A554" s="67" t="s">
        <v>515</v>
      </c>
      <c r="B554" s="68" t="s">
        <v>516</v>
      </c>
      <c r="C554" s="67" t="s">
        <v>137</v>
      </c>
      <c r="D554" s="67" t="s">
        <v>138</v>
      </c>
      <c r="E554" s="67" t="s">
        <v>139</v>
      </c>
      <c r="F554" s="67" t="s">
        <v>140</v>
      </c>
      <c r="G554" s="69" t="s">
        <v>305</v>
      </c>
      <c r="H554" s="67">
        <v>0</v>
      </c>
      <c r="I554" s="67">
        <v>22</v>
      </c>
      <c r="J554" s="67" t="s">
        <v>505</v>
      </c>
      <c r="K554" s="67" t="s">
        <v>109</v>
      </c>
      <c r="L554" s="67" t="s">
        <v>3</v>
      </c>
      <c r="M554" s="67" t="s">
        <v>142</v>
      </c>
      <c r="N554" s="70">
        <v>1000</v>
      </c>
      <c r="O554" s="70">
        <v>1E-3</v>
      </c>
      <c r="P554" s="70"/>
      <c r="Q554" s="98">
        <v>5</v>
      </c>
      <c r="R554" s="70">
        <v>0</v>
      </c>
      <c r="S554" s="70">
        <v>5</v>
      </c>
    </row>
    <row r="555" spans="1:19" s="56" customFormat="1">
      <c r="A555" s="67" t="s">
        <v>515</v>
      </c>
      <c r="B555" s="68" t="s">
        <v>516</v>
      </c>
      <c r="C555" s="67" t="s">
        <v>137</v>
      </c>
      <c r="D555" s="67" t="s">
        <v>138</v>
      </c>
      <c r="E555" s="67" t="s">
        <v>139</v>
      </c>
      <c r="F555" s="67" t="s">
        <v>153</v>
      </c>
      <c r="G555" s="69" t="s">
        <v>305</v>
      </c>
      <c r="H555" s="67">
        <v>0</v>
      </c>
      <c r="I555" s="67">
        <v>23</v>
      </c>
      <c r="J555" s="67" t="s">
        <v>154</v>
      </c>
      <c r="K555" s="67" t="s">
        <v>23</v>
      </c>
      <c r="L555" s="67" t="s">
        <v>3</v>
      </c>
      <c r="M555" s="67" t="s">
        <v>142</v>
      </c>
      <c r="N555" s="70">
        <v>1000</v>
      </c>
      <c r="O555" s="70">
        <v>32.021000000000001</v>
      </c>
      <c r="P555" s="70"/>
      <c r="Q555" s="98">
        <v>250000</v>
      </c>
      <c r="R555" s="70">
        <v>250</v>
      </c>
      <c r="S555" s="70">
        <v>0</v>
      </c>
    </row>
    <row r="556" spans="1:19" s="56" customFormat="1">
      <c r="A556" s="67" t="s">
        <v>515</v>
      </c>
      <c r="B556" s="68" t="s">
        <v>516</v>
      </c>
      <c r="C556" s="67" t="s">
        <v>137</v>
      </c>
      <c r="D556" s="67" t="s">
        <v>138</v>
      </c>
      <c r="E556" s="67" t="s">
        <v>139</v>
      </c>
      <c r="F556" s="67" t="s">
        <v>153</v>
      </c>
      <c r="G556" s="69" t="s">
        <v>305</v>
      </c>
      <c r="H556" s="67">
        <v>0</v>
      </c>
      <c r="I556" s="67">
        <v>24</v>
      </c>
      <c r="J556" s="67" t="s">
        <v>155</v>
      </c>
      <c r="K556" s="67" t="s">
        <v>33</v>
      </c>
      <c r="L556" s="67" t="s">
        <v>3</v>
      </c>
      <c r="M556" s="67" t="s">
        <v>142</v>
      </c>
      <c r="N556" s="70">
        <v>1000</v>
      </c>
      <c r="O556" s="70">
        <v>13.6</v>
      </c>
      <c r="P556" s="70"/>
      <c r="Q556" s="98">
        <v>300000</v>
      </c>
      <c r="R556" s="70">
        <v>300</v>
      </c>
      <c r="S556" s="70">
        <v>0</v>
      </c>
    </row>
    <row r="557" spans="1:19" s="56" customFormat="1">
      <c r="A557" s="67" t="s">
        <v>515</v>
      </c>
      <c r="B557" s="68" t="s">
        <v>516</v>
      </c>
      <c r="C557" s="67" t="s">
        <v>137</v>
      </c>
      <c r="D557" s="67" t="s">
        <v>138</v>
      </c>
      <c r="E557" s="67" t="s">
        <v>139</v>
      </c>
      <c r="F557" s="67" t="s">
        <v>153</v>
      </c>
      <c r="G557" s="69" t="s">
        <v>305</v>
      </c>
      <c r="H557" s="67">
        <v>0</v>
      </c>
      <c r="I557" s="67">
        <v>25</v>
      </c>
      <c r="J557" s="67" t="s">
        <v>251</v>
      </c>
      <c r="K557" s="67" t="s">
        <v>249</v>
      </c>
      <c r="L557" s="67" t="s">
        <v>3</v>
      </c>
      <c r="M557" s="67" t="s">
        <v>142</v>
      </c>
      <c r="N557" s="70">
        <v>1000</v>
      </c>
      <c r="O557" s="70">
        <v>1E-3</v>
      </c>
      <c r="P557" s="70"/>
      <c r="Q557" s="98">
        <v>10000</v>
      </c>
      <c r="R557" s="70">
        <v>10</v>
      </c>
      <c r="S557" s="70">
        <v>0</v>
      </c>
    </row>
    <row r="558" spans="1:19" s="56" customFormat="1">
      <c r="A558" s="67" t="s">
        <v>515</v>
      </c>
      <c r="B558" s="68" t="s">
        <v>516</v>
      </c>
      <c r="C558" s="67" t="s">
        <v>137</v>
      </c>
      <c r="D558" s="67" t="s">
        <v>138</v>
      </c>
      <c r="E558" s="67" t="s">
        <v>139</v>
      </c>
      <c r="F558" s="67" t="s">
        <v>153</v>
      </c>
      <c r="G558" s="69" t="s">
        <v>305</v>
      </c>
      <c r="H558" s="67">
        <v>0</v>
      </c>
      <c r="I558" s="67">
        <v>26</v>
      </c>
      <c r="J558" s="67" t="s">
        <v>317</v>
      </c>
      <c r="K558" s="67" t="s">
        <v>17</v>
      </c>
      <c r="L558" s="67" t="s">
        <v>3</v>
      </c>
      <c r="M558" s="67" t="s">
        <v>142</v>
      </c>
      <c r="N558" s="70">
        <v>1000</v>
      </c>
      <c r="O558" s="70">
        <v>1E-3</v>
      </c>
      <c r="P558" s="70"/>
      <c r="Q558" s="98">
        <v>18000</v>
      </c>
      <c r="R558" s="70">
        <v>18</v>
      </c>
      <c r="S558" s="70">
        <v>0</v>
      </c>
    </row>
    <row r="559" spans="1:19" s="56" customFormat="1">
      <c r="A559" s="67" t="s">
        <v>515</v>
      </c>
      <c r="B559" s="68" t="s">
        <v>516</v>
      </c>
      <c r="C559" s="67" t="s">
        <v>137</v>
      </c>
      <c r="D559" s="67" t="s">
        <v>138</v>
      </c>
      <c r="E559" s="67" t="s">
        <v>139</v>
      </c>
      <c r="F559" s="67" t="s">
        <v>167</v>
      </c>
      <c r="G559" s="69" t="s">
        <v>305</v>
      </c>
      <c r="H559" s="67">
        <v>0</v>
      </c>
      <c r="I559" s="67">
        <v>27</v>
      </c>
      <c r="J559" s="67" t="s">
        <v>183</v>
      </c>
      <c r="K559" s="67" t="s">
        <v>20</v>
      </c>
      <c r="L559" s="67" t="s">
        <v>3</v>
      </c>
      <c r="M559" s="67" t="s">
        <v>142</v>
      </c>
      <c r="N559" s="70">
        <v>1000</v>
      </c>
      <c r="O559" s="70">
        <v>1E-3</v>
      </c>
      <c r="P559" s="70"/>
      <c r="Q559" s="98">
        <v>3000</v>
      </c>
      <c r="R559" s="70">
        <v>3</v>
      </c>
      <c r="S559" s="70">
        <v>0</v>
      </c>
    </row>
    <row r="560" spans="1:19" s="56" customFormat="1">
      <c r="A560" s="67" t="s">
        <v>515</v>
      </c>
      <c r="B560" s="68" t="s">
        <v>516</v>
      </c>
      <c r="C560" s="67" t="s">
        <v>137</v>
      </c>
      <c r="D560" s="67" t="s">
        <v>138</v>
      </c>
      <c r="E560" s="67" t="s">
        <v>139</v>
      </c>
      <c r="F560" s="67" t="s">
        <v>167</v>
      </c>
      <c r="G560" s="69" t="s">
        <v>305</v>
      </c>
      <c r="H560" s="67">
        <v>0</v>
      </c>
      <c r="I560" s="67">
        <v>28</v>
      </c>
      <c r="J560" s="67" t="s">
        <v>168</v>
      </c>
      <c r="K560" s="67" t="s">
        <v>34</v>
      </c>
      <c r="L560" s="67" t="s">
        <v>3</v>
      </c>
      <c r="M560" s="67" t="s">
        <v>142</v>
      </c>
      <c r="N560" s="70">
        <v>1000</v>
      </c>
      <c r="O560" s="70">
        <v>1E-3</v>
      </c>
      <c r="P560" s="70"/>
      <c r="Q560" s="98">
        <v>1900</v>
      </c>
      <c r="R560" s="70">
        <v>1</v>
      </c>
      <c r="S560" s="70">
        <v>900</v>
      </c>
    </row>
    <row r="561" spans="1:19" s="56" customFormat="1">
      <c r="A561" s="67" t="s">
        <v>515</v>
      </c>
      <c r="B561" s="68" t="s">
        <v>516</v>
      </c>
      <c r="C561" s="67" t="s">
        <v>137</v>
      </c>
      <c r="D561" s="67" t="s">
        <v>138</v>
      </c>
      <c r="E561" s="67" t="s">
        <v>139</v>
      </c>
      <c r="F561" s="67" t="s">
        <v>162</v>
      </c>
      <c r="G561" s="69" t="s">
        <v>305</v>
      </c>
      <c r="H561" s="67">
        <v>0</v>
      </c>
      <c r="I561" s="67">
        <v>29</v>
      </c>
      <c r="J561" s="67" t="s">
        <v>234</v>
      </c>
      <c r="K561" s="67" t="s">
        <v>233</v>
      </c>
      <c r="L561" s="67" t="s">
        <v>3</v>
      </c>
      <c r="M561" s="67" t="s">
        <v>142</v>
      </c>
      <c r="N561" s="70">
        <v>1000</v>
      </c>
      <c r="O561" s="70">
        <v>5.6</v>
      </c>
      <c r="P561" s="70"/>
      <c r="Q561" s="98">
        <v>550000</v>
      </c>
      <c r="R561" s="70">
        <v>550</v>
      </c>
      <c r="S561" s="70">
        <v>0</v>
      </c>
    </row>
    <row r="562" spans="1:19" s="56" customFormat="1">
      <c r="A562" s="67" t="s">
        <v>515</v>
      </c>
      <c r="B562" s="68" t="s">
        <v>516</v>
      </c>
      <c r="C562" s="67" t="s">
        <v>137</v>
      </c>
      <c r="D562" s="67" t="s">
        <v>138</v>
      </c>
      <c r="E562" s="67" t="s">
        <v>139</v>
      </c>
      <c r="F562" s="67" t="s">
        <v>162</v>
      </c>
      <c r="G562" s="69" t="s">
        <v>305</v>
      </c>
      <c r="H562" s="67">
        <v>0</v>
      </c>
      <c r="I562" s="67">
        <v>30</v>
      </c>
      <c r="J562" s="67" t="s">
        <v>262</v>
      </c>
      <c r="K562" s="67" t="s">
        <v>258</v>
      </c>
      <c r="L562" s="67" t="s">
        <v>3</v>
      </c>
      <c r="M562" s="67" t="s">
        <v>142</v>
      </c>
      <c r="N562" s="70">
        <v>1000</v>
      </c>
      <c r="O562" s="70">
        <v>0</v>
      </c>
      <c r="P562" s="70"/>
      <c r="Q562" s="98">
        <v>3000</v>
      </c>
      <c r="R562" s="70">
        <v>3</v>
      </c>
      <c r="S562" s="70">
        <v>0</v>
      </c>
    </row>
    <row r="563" spans="1:19" s="56" customFormat="1">
      <c r="A563" s="67" t="s">
        <v>515</v>
      </c>
      <c r="B563" s="68" t="s">
        <v>516</v>
      </c>
      <c r="C563" s="67" t="s">
        <v>137</v>
      </c>
      <c r="D563" s="67" t="s">
        <v>138</v>
      </c>
      <c r="E563" s="67" t="s">
        <v>139</v>
      </c>
      <c r="F563" s="67" t="s">
        <v>162</v>
      </c>
      <c r="G563" s="69" t="s">
        <v>305</v>
      </c>
      <c r="H563" s="67">
        <v>0</v>
      </c>
      <c r="I563" s="67">
        <v>31</v>
      </c>
      <c r="J563" s="67" t="s">
        <v>263</v>
      </c>
      <c r="K563" s="67" t="s">
        <v>259</v>
      </c>
      <c r="L563" s="67" t="s">
        <v>3</v>
      </c>
      <c r="M563" s="67" t="s">
        <v>142</v>
      </c>
      <c r="N563" s="70">
        <v>1000</v>
      </c>
      <c r="O563" s="70">
        <v>1E-3</v>
      </c>
      <c r="P563" s="70"/>
      <c r="Q563" s="98">
        <v>15000</v>
      </c>
      <c r="R563" s="70">
        <v>15</v>
      </c>
      <c r="S563" s="70">
        <v>0</v>
      </c>
    </row>
    <row r="564" spans="1:19" s="56" customFormat="1">
      <c r="A564" s="67" t="s">
        <v>515</v>
      </c>
      <c r="B564" s="68" t="s">
        <v>516</v>
      </c>
      <c r="C564" s="67" t="s">
        <v>137</v>
      </c>
      <c r="D564" s="67" t="s">
        <v>138</v>
      </c>
      <c r="E564" s="67" t="s">
        <v>139</v>
      </c>
      <c r="F564" s="67" t="s">
        <v>162</v>
      </c>
      <c r="G564" s="69" t="s">
        <v>305</v>
      </c>
      <c r="H564" s="67">
        <v>0</v>
      </c>
      <c r="I564" s="67">
        <v>32</v>
      </c>
      <c r="J564" s="67" t="s">
        <v>240</v>
      </c>
      <c r="K564" s="67" t="s">
        <v>237</v>
      </c>
      <c r="L564" s="67" t="s">
        <v>3</v>
      </c>
      <c r="M564" s="67" t="s">
        <v>142</v>
      </c>
      <c r="N564" s="70">
        <v>1000</v>
      </c>
      <c r="O564" s="70">
        <v>1E-3</v>
      </c>
      <c r="P564" s="70"/>
      <c r="Q564" s="98">
        <v>25000</v>
      </c>
      <c r="R564" s="70">
        <v>25</v>
      </c>
      <c r="S564" s="70">
        <v>0</v>
      </c>
    </row>
    <row r="565" spans="1:19" s="56" customFormat="1">
      <c r="A565" s="67" t="s">
        <v>515</v>
      </c>
      <c r="B565" s="68" t="s">
        <v>516</v>
      </c>
      <c r="C565" s="67" t="s">
        <v>137</v>
      </c>
      <c r="D565" s="67" t="s">
        <v>138</v>
      </c>
      <c r="E565" s="67" t="s">
        <v>139</v>
      </c>
      <c r="F565" s="67" t="s">
        <v>162</v>
      </c>
      <c r="G565" s="69" t="s">
        <v>305</v>
      </c>
      <c r="H565" s="67">
        <v>0</v>
      </c>
      <c r="I565" s="67">
        <v>33</v>
      </c>
      <c r="J565" s="67" t="s">
        <v>163</v>
      </c>
      <c r="K565" s="67" t="s">
        <v>14</v>
      </c>
      <c r="L565" s="67" t="s">
        <v>3</v>
      </c>
      <c r="M565" s="67" t="s">
        <v>142</v>
      </c>
      <c r="N565" s="70">
        <v>1000</v>
      </c>
      <c r="O565" s="70">
        <v>0</v>
      </c>
      <c r="P565" s="70"/>
      <c r="Q565" s="98">
        <v>20000</v>
      </c>
      <c r="R565" s="70">
        <v>20</v>
      </c>
      <c r="S565" s="70">
        <v>0</v>
      </c>
    </row>
    <row r="566" spans="1:19" s="56" customFormat="1">
      <c r="A566" s="67" t="s">
        <v>515</v>
      </c>
      <c r="B566" s="68" t="s">
        <v>516</v>
      </c>
      <c r="C566" s="67" t="s">
        <v>137</v>
      </c>
      <c r="D566" s="67" t="s">
        <v>138</v>
      </c>
      <c r="E566" s="67" t="s">
        <v>139</v>
      </c>
      <c r="F566" s="67" t="s">
        <v>162</v>
      </c>
      <c r="G566" s="69" t="s">
        <v>305</v>
      </c>
      <c r="H566" s="67">
        <v>0</v>
      </c>
      <c r="I566" s="67">
        <v>34</v>
      </c>
      <c r="J566" s="67" t="s">
        <v>164</v>
      </c>
      <c r="K566" s="67" t="s">
        <v>74</v>
      </c>
      <c r="L566" s="67" t="s">
        <v>5</v>
      </c>
      <c r="M566" s="67" t="s">
        <v>142</v>
      </c>
      <c r="N566" s="70">
        <v>1000</v>
      </c>
      <c r="O566" s="70">
        <v>1E-3</v>
      </c>
      <c r="P566" s="70"/>
      <c r="Q566" s="98">
        <v>15000</v>
      </c>
      <c r="R566" s="70">
        <v>15</v>
      </c>
      <c r="S566" s="70">
        <v>0</v>
      </c>
    </row>
    <row r="567" spans="1:19" s="56" customFormat="1">
      <c r="A567" s="67" t="s">
        <v>515</v>
      </c>
      <c r="B567" s="68" t="s">
        <v>516</v>
      </c>
      <c r="C567" s="67" t="s">
        <v>137</v>
      </c>
      <c r="D567" s="67" t="s">
        <v>138</v>
      </c>
      <c r="E567" s="67" t="s">
        <v>139</v>
      </c>
      <c r="F567" s="67" t="s">
        <v>162</v>
      </c>
      <c r="G567" s="69" t="s">
        <v>305</v>
      </c>
      <c r="H567" s="67">
        <v>0</v>
      </c>
      <c r="I567" s="67">
        <v>35</v>
      </c>
      <c r="J567" s="67" t="s">
        <v>165</v>
      </c>
      <c r="K567" s="67" t="s">
        <v>80</v>
      </c>
      <c r="L567" s="67" t="s">
        <v>3</v>
      </c>
      <c r="M567" s="67" t="s">
        <v>142</v>
      </c>
      <c r="N567" s="70">
        <v>1000</v>
      </c>
      <c r="O567" s="70">
        <v>1E-3</v>
      </c>
      <c r="P567" s="70"/>
      <c r="Q567" s="98">
        <v>50</v>
      </c>
      <c r="R567" s="70">
        <v>0</v>
      </c>
      <c r="S567" s="70">
        <v>50</v>
      </c>
    </row>
    <row r="568" spans="1:19" s="56" customFormat="1">
      <c r="A568" s="67" t="s">
        <v>515</v>
      </c>
      <c r="B568" s="68" t="s">
        <v>516</v>
      </c>
      <c r="C568" s="67" t="s">
        <v>137</v>
      </c>
      <c r="D568" s="67" t="s">
        <v>138</v>
      </c>
      <c r="E568" s="67" t="s">
        <v>139</v>
      </c>
      <c r="F568" s="67" t="s">
        <v>140</v>
      </c>
      <c r="G568" s="69" t="s">
        <v>305</v>
      </c>
      <c r="H568" s="67">
        <v>0</v>
      </c>
      <c r="I568" s="67">
        <v>36</v>
      </c>
      <c r="J568" s="67" t="s">
        <v>314</v>
      </c>
      <c r="K568" s="67" t="s">
        <v>281</v>
      </c>
      <c r="L568" s="67" t="s">
        <v>3</v>
      </c>
      <c r="M568" s="67" t="s">
        <v>142</v>
      </c>
      <c r="N568" s="70">
        <v>1000</v>
      </c>
      <c r="O568" s="70">
        <v>1E-3</v>
      </c>
      <c r="P568" s="70"/>
      <c r="Q568" s="98">
        <v>660000</v>
      </c>
      <c r="R568" s="70">
        <v>660</v>
      </c>
      <c r="S568" s="70">
        <v>0</v>
      </c>
    </row>
    <row r="569" spans="1:19" s="56" customFormat="1">
      <c r="A569" s="67" t="s">
        <v>515</v>
      </c>
      <c r="B569" s="68" t="s">
        <v>516</v>
      </c>
      <c r="C569" s="67" t="s">
        <v>137</v>
      </c>
      <c r="D569" s="67" t="s">
        <v>138</v>
      </c>
      <c r="E569" s="67" t="s">
        <v>139</v>
      </c>
      <c r="F569" s="67" t="s">
        <v>140</v>
      </c>
      <c r="G569" s="69" t="s">
        <v>305</v>
      </c>
      <c r="H569" s="67">
        <v>0</v>
      </c>
      <c r="I569" s="67">
        <v>37</v>
      </c>
      <c r="J569" s="67" t="s">
        <v>510</v>
      </c>
      <c r="K569" s="67" t="s">
        <v>257</v>
      </c>
      <c r="L569" s="67" t="s">
        <v>3</v>
      </c>
      <c r="M569" s="67" t="s">
        <v>142</v>
      </c>
      <c r="N569" s="70">
        <v>1000</v>
      </c>
      <c r="O569" s="70">
        <v>1E-3</v>
      </c>
      <c r="P569" s="70"/>
      <c r="Q569" s="98">
        <v>19000</v>
      </c>
      <c r="R569" s="70">
        <v>19</v>
      </c>
      <c r="S569" s="70">
        <v>0</v>
      </c>
    </row>
    <row r="570" spans="1:19" s="56" customFormat="1">
      <c r="A570" s="67" t="s">
        <v>518</v>
      </c>
      <c r="B570" s="68" t="s">
        <v>519</v>
      </c>
      <c r="C570" s="67" t="s">
        <v>137</v>
      </c>
      <c r="D570" s="67" t="s">
        <v>138</v>
      </c>
      <c r="E570" s="67" t="s">
        <v>139</v>
      </c>
      <c r="F570" s="67" t="s">
        <v>140</v>
      </c>
      <c r="G570" s="69" t="s">
        <v>305</v>
      </c>
      <c r="H570" s="67">
        <v>0</v>
      </c>
      <c r="I570" s="67">
        <v>1</v>
      </c>
      <c r="J570" s="67" t="s">
        <v>141</v>
      </c>
      <c r="K570" s="67" t="s">
        <v>37</v>
      </c>
      <c r="L570" s="67" t="s">
        <v>3</v>
      </c>
      <c r="M570" s="67" t="s">
        <v>142</v>
      </c>
      <c r="N570" s="70">
        <v>1000</v>
      </c>
      <c r="O570" s="70">
        <v>200</v>
      </c>
      <c r="P570" s="70"/>
      <c r="Q570" s="98">
        <v>3155</v>
      </c>
      <c r="R570" s="70">
        <v>3</v>
      </c>
      <c r="S570" s="70">
        <v>155</v>
      </c>
    </row>
    <row r="571" spans="1:19" s="56" customFormat="1">
      <c r="A571" s="67" t="s">
        <v>518</v>
      </c>
      <c r="B571" s="68" t="s">
        <v>519</v>
      </c>
      <c r="C571" s="67" t="s">
        <v>137</v>
      </c>
      <c r="D571" s="67" t="s">
        <v>138</v>
      </c>
      <c r="E571" s="67" t="s">
        <v>139</v>
      </c>
      <c r="F571" s="67" t="s">
        <v>140</v>
      </c>
      <c r="G571" s="69" t="s">
        <v>305</v>
      </c>
      <c r="H571" s="67">
        <v>0</v>
      </c>
      <c r="I571" s="67">
        <v>2</v>
      </c>
      <c r="J571" s="67" t="s">
        <v>346</v>
      </c>
      <c r="K571" s="67" t="s">
        <v>343</v>
      </c>
      <c r="L571" s="67" t="s">
        <v>3</v>
      </c>
      <c r="M571" s="67" t="s">
        <v>142</v>
      </c>
      <c r="N571" s="70">
        <v>1000</v>
      </c>
      <c r="O571" s="70">
        <v>1E-3</v>
      </c>
      <c r="P571" s="70"/>
      <c r="Q571" s="98">
        <v>6556</v>
      </c>
      <c r="R571" s="70">
        <v>6</v>
      </c>
      <c r="S571" s="70">
        <v>556</v>
      </c>
    </row>
    <row r="572" spans="1:19" s="56" customFormat="1">
      <c r="A572" s="67" t="s">
        <v>518</v>
      </c>
      <c r="B572" s="68" t="s">
        <v>519</v>
      </c>
      <c r="C572" s="67" t="s">
        <v>137</v>
      </c>
      <c r="D572" s="67" t="s">
        <v>138</v>
      </c>
      <c r="E572" s="67" t="s">
        <v>139</v>
      </c>
      <c r="F572" s="67" t="s">
        <v>140</v>
      </c>
      <c r="G572" s="69" t="s">
        <v>305</v>
      </c>
      <c r="H572" s="67">
        <v>0</v>
      </c>
      <c r="I572" s="67">
        <v>3</v>
      </c>
      <c r="J572" s="67" t="s">
        <v>169</v>
      </c>
      <c r="K572" s="67" t="s">
        <v>64</v>
      </c>
      <c r="L572" s="67" t="s">
        <v>3</v>
      </c>
      <c r="M572" s="67" t="s">
        <v>142</v>
      </c>
      <c r="N572" s="70">
        <v>1000</v>
      </c>
      <c r="O572" s="70">
        <v>1E-3</v>
      </c>
      <c r="P572" s="70"/>
      <c r="Q572" s="98">
        <v>492</v>
      </c>
      <c r="R572" s="70">
        <v>0</v>
      </c>
      <c r="S572" s="70">
        <v>492</v>
      </c>
    </row>
    <row r="573" spans="1:19" s="56" customFormat="1">
      <c r="A573" s="67" t="s">
        <v>518</v>
      </c>
      <c r="B573" s="68" t="s">
        <v>519</v>
      </c>
      <c r="C573" s="67" t="s">
        <v>137</v>
      </c>
      <c r="D573" s="67" t="s">
        <v>138</v>
      </c>
      <c r="E573" s="67" t="s">
        <v>139</v>
      </c>
      <c r="F573" s="67" t="s">
        <v>140</v>
      </c>
      <c r="G573" s="69" t="s">
        <v>305</v>
      </c>
      <c r="H573" s="67">
        <v>0</v>
      </c>
      <c r="I573" s="67">
        <v>4</v>
      </c>
      <c r="J573" s="67" t="s">
        <v>144</v>
      </c>
      <c r="K573" s="67" t="s">
        <v>26</v>
      </c>
      <c r="L573" s="67" t="s">
        <v>3</v>
      </c>
      <c r="M573" s="67" t="s">
        <v>142</v>
      </c>
      <c r="N573" s="70">
        <v>1000</v>
      </c>
      <c r="O573" s="70">
        <v>1E-3</v>
      </c>
      <c r="P573" s="70"/>
      <c r="Q573" s="98">
        <v>455</v>
      </c>
      <c r="R573" s="70">
        <v>0</v>
      </c>
      <c r="S573" s="70">
        <v>455</v>
      </c>
    </row>
    <row r="574" spans="1:19" s="56" customFormat="1">
      <c r="A574" s="67" t="s">
        <v>518</v>
      </c>
      <c r="B574" s="68" t="s">
        <v>519</v>
      </c>
      <c r="C574" s="67" t="s">
        <v>137</v>
      </c>
      <c r="D574" s="67" t="s">
        <v>138</v>
      </c>
      <c r="E574" s="67" t="s">
        <v>139</v>
      </c>
      <c r="F574" s="67" t="s">
        <v>140</v>
      </c>
      <c r="G574" s="69" t="s">
        <v>305</v>
      </c>
      <c r="H574" s="67">
        <v>0</v>
      </c>
      <c r="I574" s="67">
        <v>5</v>
      </c>
      <c r="J574" s="67" t="s">
        <v>145</v>
      </c>
      <c r="K574" s="67" t="s">
        <v>27</v>
      </c>
      <c r="L574" s="67" t="s">
        <v>3</v>
      </c>
      <c r="M574" s="67" t="s">
        <v>142</v>
      </c>
      <c r="N574" s="70">
        <v>1000</v>
      </c>
      <c r="O574" s="70">
        <v>1E-3</v>
      </c>
      <c r="P574" s="70"/>
      <c r="Q574" s="98">
        <v>589</v>
      </c>
      <c r="R574" s="70">
        <v>0</v>
      </c>
      <c r="S574" s="70">
        <v>589</v>
      </c>
    </row>
    <row r="575" spans="1:19" s="56" customFormat="1">
      <c r="A575" s="67" t="s">
        <v>518</v>
      </c>
      <c r="B575" s="68" t="s">
        <v>519</v>
      </c>
      <c r="C575" s="67" t="s">
        <v>137</v>
      </c>
      <c r="D575" s="67" t="s">
        <v>138</v>
      </c>
      <c r="E575" s="67" t="s">
        <v>139</v>
      </c>
      <c r="F575" s="67" t="s">
        <v>140</v>
      </c>
      <c r="G575" s="69" t="s">
        <v>305</v>
      </c>
      <c r="H575" s="67">
        <v>0</v>
      </c>
      <c r="I575" s="67">
        <v>6</v>
      </c>
      <c r="J575" s="67" t="s">
        <v>289</v>
      </c>
      <c r="K575" s="67" t="s">
        <v>255</v>
      </c>
      <c r="L575" s="67" t="s">
        <v>3</v>
      </c>
      <c r="M575" s="67" t="s">
        <v>142</v>
      </c>
      <c r="N575" s="70">
        <v>1000</v>
      </c>
      <c r="O575" s="70">
        <v>1E-3</v>
      </c>
      <c r="P575" s="70"/>
      <c r="Q575" s="98">
        <v>91</v>
      </c>
      <c r="R575" s="70">
        <v>0</v>
      </c>
      <c r="S575" s="70">
        <v>91</v>
      </c>
    </row>
    <row r="576" spans="1:19" s="56" customFormat="1">
      <c r="A576" s="67" t="s">
        <v>518</v>
      </c>
      <c r="B576" s="68" t="s">
        <v>519</v>
      </c>
      <c r="C576" s="67" t="s">
        <v>137</v>
      </c>
      <c r="D576" s="67" t="s">
        <v>138</v>
      </c>
      <c r="E576" s="67" t="s">
        <v>139</v>
      </c>
      <c r="F576" s="67" t="s">
        <v>140</v>
      </c>
      <c r="G576" s="69" t="s">
        <v>305</v>
      </c>
      <c r="H576" s="67">
        <v>0</v>
      </c>
      <c r="I576" s="67">
        <v>7</v>
      </c>
      <c r="J576" s="67" t="s">
        <v>171</v>
      </c>
      <c r="K576" s="67" t="s">
        <v>102</v>
      </c>
      <c r="L576" s="67" t="s">
        <v>3</v>
      </c>
      <c r="M576" s="67" t="s">
        <v>142</v>
      </c>
      <c r="N576" s="70">
        <v>1000</v>
      </c>
      <c r="O576" s="70">
        <v>1E-3</v>
      </c>
      <c r="P576" s="70"/>
      <c r="Q576" s="98">
        <v>43</v>
      </c>
      <c r="R576" s="70">
        <v>0</v>
      </c>
      <c r="S576" s="70">
        <v>43</v>
      </c>
    </row>
    <row r="577" spans="1:19" s="56" customFormat="1">
      <c r="A577" s="67" t="s">
        <v>518</v>
      </c>
      <c r="B577" s="68" t="s">
        <v>519</v>
      </c>
      <c r="C577" s="67" t="s">
        <v>137</v>
      </c>
      <c r="D577" s="67" t="s">
        <v>138</v>
      </c>
      <c r="E577" s="67" t="s">
        <v>139</v>
      </c>
      <c r="F577" s="67" t="s">
        <v>140</v>
      </c>
      <c r="G577" s="69" t="s">
        <v>305</v>
      </c>
      <c r="H577" s="67">
        <v>0</v>
      </c>
      <c r="I577" s="67">
        <v>8</v>
      </c>
      <c r="J577" s="67" t="s">
        <v>146</v>
      </c>
      <c r="K577" s="67" t="s">
        <v>46</v>
      </c>
      <c r="L577" s="67" t="s">
        <v>3</v>
      </c>
      <c r="M577" s="67" t="s">
        <v>142</v>
      </c>
      <c r="N577" s="70">
        <v>1000</v>
      </c>
      <c r="O577" s="70">
        <v>1E-3</v>
      </c>
      <c r="P577" s="70"/>
      <c r="Q577" s="98">
        <v>34</v>
      </c>
      <c r="R577" s="70">
        <v>0</v>
      </c>
      <c r="S577" s="70">
        <v>34</v>
      </c>
    </row>
    <row r="578" spans="1:19" s="56" customFormat="1">
      <c r="A578" s="67" t="s">
        <v>518</v>
      </c>
      <c r="B578" s="68" t="s">
        <v>519</v>
      </c>
      <c r="C578" s="67" t="s">
        <v>137</v>
      </c>
      <c r="D578" s="67" t="s">
        <v>138</v>
      </c>
      <c r="E578" s="67" t="s">
        <v>139</v>
      </c>
      <c r="F578" s="67" t="s">
        <v>140</v>
      </c>
      <c r="G578" s="69" t="s">
        <v>305</v>
      </c>
      <c r="H578" s="67">
        <v>0</v>
      </c>
      <c r="I578" s="67">
        <v>9</v>
      </c>
      <c r="J578" s="67" t="s">
        <v>151</v>
      </c>
      <c r="K578" s="67" t="s">
        <v>28</v>
      </c>
      <c r="L578" s="67" t="s">
        <v>3</v>
      </c>
      <c r="M578" s="67" t="s">
        <v>142</v>
      </c>
      <c r="N578" s="70">
        <v>1000</v>
      </c>
      <c r="O578" s="70">
        <v>1E-3</v>
      </c>
      <c r="P578" s="70"/>
      <c r="Q578" s="98">
        <v>219</v>
      </c>
      <c r="R578" s="70">
        <v>0</v>
      </c>
      <c r="S578" s="70">
        <v>219</v>
      </c>
    </row>
    <row r="579" spans="1:19" s="56" customFormat="1">
      <c r="A579" s="67" t="s">
        <v>518</v>
      </c>
      <c r="B579" s="68" t="s">
        <v>519</v>
      </c>
      <c r="C579" s="67" t="s">
        <v>137</v>
      </c>
      <c r="D579" s="67" t="s">
        <v>138</v>
      </c>
      <c r="E579" s="67" t="s">
        <v>139</v>
      </c>
      <c r="F579" s="67" t="s">
        <v>140</v>
      </c>
      <c r="G579" s="69" t="s">
        <v>305</v>
      </c>
      <c r="H579" s="67">
        <v>0</v>
      </c>
      <c r="I579" s="67">
        <v>10</v>
      </c>
      <c r="J579" s="67" t="s">
        <v>170</v>
      </c>
      <c r="K579" s="67" t="s">
        <v>29</v>
      </c>
      <c r="L579" s="67" t="s">
        <v>3</v>
      </c>
      <c r="M579" s="67" t="s">
        <v>142</v>
      </c>
      <c r="N579" s="70">
        <v>1000</v>
      </c>
      <c r="O579" s="70">
        <v>1E-3</v>
      </c>
      <c r="P579" s="70"/>
      <c r="Q579" s="98">
        <v>25</v>
      </c>
      <c r="R579" s="70">
        <v>0</v>
      </c>
      <c r="S579" s="70">
        <v>25</v>
      </c>
    </row>
    <row r="580" spans="1:19" s="56" customFormat="1">
      <c r="A580" s="67" t="s">
        <v>518</v>
      </c>
      <c r="B580" s="68" t="s">
        <v>519</v>
      </c>
      <c r="C580" s="67" t="s">
        <v>137</v>
      </c>
      <c r="D580" s="67" t="s">
        <v>138</v>
      </c>
      <c r="E580" s="67" t="s">
        <v>139</v>
      </c>
      <c r="F580" s="67" t="s">
        <v>140</v>
      </c>
      <c r="G580" s="69" t="s">
        <v>305</v>
      </c>
      <c r="H580" s="67">
        <v>0</v>
      </c>
      <c r="I580" s="67">
        <v>11</v>
      </c>
      <c r="J580" s="67" t="s">
        <v>148</v>
      </c>
      <c r="K580" s="67" t="s">
        <v>30</v>
      </c>
      <c r="L580" s="67" t="s">
        <v>3</v>
      </c>
      <c r="M580" s="67" t="s">
        <v>142</v>
      </c>
      <c r="N580" s="70">
        <v>1000</v>
      </c>
      <c r="O580" s="70">
        <v>1E-3</v>
      </c>
      <c r="P580" s="70"/>
      <c r="Q580" s="98">
        <v>97</v>
      </c>
      <c r="R580" s="70">
        <v>0</v>
      </c>
      <c r="S580" s="70">
        <v>97</v>
      </c>
    </row>
    <row r="581" spans="1:19" s="56" customFormat="1">
      <c r="A581" s="67" t="s">
        <v>518</v>
      </c>
      <c r="B581" s="68" t="s">
        <v>519</v>
      </c>
      <c r="C581" s="67" t="s">
        <v>137</v>
      </c>
      <c r="D581" s="67" t="s">
        <v>138</v>
      </c>
      <c r="E581" s="67" t="s">
        <v>139</v>
      </c>
      <c r="F581" s="67" t="s">
        <v>140</v>
      </c>
      <c r="G581" s="69" t="s">
        <v>305</v>
      </c>
      <c r="H581" s="67">
        <v>0</v>
      </c>
      <c r="I581" s="67">
        <v>12</v>
      </c>
      <c r="J581" s="67" t="s">
        <v>502</v>
      </c>
      <c r="K581" s="67" t="s">
        <v>103</v>
      </c>
      <c r="L581" s="67" t="s">
        <v>3</v>
      </c>
      <c r="M581" s="67" t="s">
        <v>142</v>
      </c>
      <c r="N581" s="70">
        <v>1000</v>
      </c>
      <c r="O581" s="70">
        <v>1E-3</v>
      </c>
      <c r="P581" s="70"/>
      <c r="Q581" s="98">
        <v>418</v>
      </c>
      <c r="R581" s="70">
        <v>0</v>
      </c>
      <c r="S581" s="70">
        <v>418</v>
      </c>
    </row>
    <row r="582" spans="1:19" s="56" customFormat="1">
      <c r="A582" s="67" t="s">
        <v>518</v>
      </c>
      <c r="B582" s="68" t="s">
        <v>519</v>
      </c>
      <c r="C582" s="67" t="s">
        <v>137</v>
      </c>
      <c r="D582" s="67" t="s">
        <v>138</v>
      </c>
      <c r="E582" s="67" t="s">
        <v>139</v>
      </c>
      <c r="F582" s="67" t="s">
        <v>140</v>
      </c>
      <c r="G582" s="69" t="s">
        <v>305</v>
      </c>
      <c r="H582" s="67">
        <v>0</v>
      </c>
      <c r="I582" s="67">
        <v>13</v>
      </c>
      <c r="J582" s="67" t="s">
        <v>504</v>
      </c>
      <c r="K582" s="67" t="s">
        <v>107</v>
      </c>
      <c r="L582" s="67" t="s">
        <v>3</v>
      </c>
      <c r="M582" s="67" t="s">
        <v>142</v>
      </c>
      <c r="N582" s="70">
        <v>1000</v>
      </c>
      <c r="O582" s="70">
        <v>1E-3</v>
      </c>
      <c r="P582" s="70"/>
      <c r="Q582" s="98">
        <v>1432</v>
      </c>
      <c r="R582" s="70">
        <v>1</v>
      </c>
      <c r="S582" s="70">
        <v>432</v>
      </c>
    </row>
    <row r="583" spans="1:19" s="56" customFormat="1">
      <c r="A583" s="67" t="s">
        <v>518</v>
      </c>
      <c r="B583" s="68" t="s">
        <v>519</v>
      </c>
      <c r="C583" s="67" t="s">
        <v>137</v>
      </c>
      <c r="D583" s="67" t="s">
        <v>138</v>
      </c>
      <c r="E583" s="67" t="s">
        <v>139</v>
      </c>
      <c r="F583" s="67" t="s">
        <v>140</v>
      </c>
      <c r="G583" s="69" t="s">
        <v>305</v>
      </c>
      <c r="H583" s="67">
        <v>0</v>
      </c>
      <c r="I583" s="67">
        <v>14</v>
      </c>
      <c r="J583" s="67" t="s">
        <v>506</v>
      </c>
      <c r="K583" s="67" t="s">
        <v>110</v>
      </c>
      <c r="L583" s="67" t="s">
        <v>3</v>
      </c>
      <c r="M583" s="67" t="s">
        <v>142</v>
      </c>
      <c r="N583" s="70">
        <v>1000</v>
      </c>
      <c r="O583" s="70">
        <v>1E-3</v>
      </c>
      <c r="P583" s="70"/>
      <c r="Q583" s="98">
        <v>99</v>
      </c>
      <c r="R583" s="70">
        <v>0</v>
      </c>
      <c r="S583" s="70">
        <v>99</v>
      </c>
    </row>
    <row r="584" spans="1:19" s="56" customFormat="1">
      <c r="A584" s="67" t="s">
        <v>518</v>
      </c>
      <c r="B584" s="68" t="s">
        <v>519</v>
      </c>
      <c r="C584" s="67" t="s">
        <v>137</v>
      </c>
      <c r="D584" s="67" t="s">
        <v>138</v>
      </c>
      <c r="E584" s="67" t="s">
        <v>139</v>
      </c>
      <c r="F584" s="67" t="s">
        <v>140</v>
      </c>
      <c r="G584" s="69" t="s">
        <v>305</v>
      </c>
      <c r="H584" s="67">
        <v>0</v>
      </c>
      <c r="I584" s="67">
        <v>15</v>
      </c>
      <c r="J584" s="67" t="s">
        <v>507</v>
      </c>
      <c r="K584" s="67" t="s">
        <v>113</v>
      </c>
      <c r="L584" s="67" t="s">
        <v>3</v>
      </c>
      <c r="M584" s="67" t="s">
        <v>142</v>
      </c>
      <c r="N584" s="70">
        <v>1000</v>
      </c>
      <c r="O584" s="70">
        <v>1E-3</v>
      </c>
      <c r="P584" s="70"/>
      <c r="Q584" s="98">
        <v>6057</v>
      </c>
      <c r="R584" s="70">
        <v>6</v>
      </c>
      <c r="S584" s="70">
        <v>57</v>
      </c>
    </row>
    <row r="585" spans="1:19" s="56" customFormat="1">
      <c r="A585" s="67" t="s">
        <v>518</v>
      </c>
      <c r="B585" s="68" t="s">
        <v>519</v>
      </c>
      <c r="C585" s="67" t="s">
        <v>137</v>
      </c>
      <c r="D585" s="67" t="s">
        <v>138</v>
      </c>
      <c r="E585" s="67" t="s">
        <v>139</v>
      </c>
      <c r="F585" s="67" t="s">
        <v>140</v>
      </c>
      <c r="G585" s="69" t="s">
        <v>305</v>
      </c>
      <c r="H585" s="67">
        <v>0</v>
      </c>
      <c r="I585" s="67">
        <v>16</v>
      </c>
      <c r="J585" s="67" t="s">
        <v>314</v>
      </c>
      <c r="K585" s="67" t="s">
        <v>281</v>
      </c>
      <c r="L585" s="67" t="s">
        <v>3</v>
      </c>
      <c r="M585" s="67" t="s">
        <v>142</v>
      </c>
      <c r="N585" s="70">
        <v>1000</v>
      </c>
      <c r="O585" s="70">
        <v>1E-3</v>
      </c>
      <c r="P585" s="70"/>
      <c r="Q585" s="98">
        <v>180000</v>
      </c>
      <c r="R585" s="70">
        <v>180</v>
      </c>
      <c r="S585" s="70">
        <v>0</v>
      </c>
    </row>
    <row r="586" spans="1:19" s="56" customFormat="1">
      <c r="A586" s="67" t="s">
        <v>518</v>
      </c>
      <c r="B586" s="68" t="s">
        <v>519</v>
      </c>
      <c r="C586" s="67" t="s">
        <v>137</v>
      </c>
      <c r="D586" s="67" t="s">
        <v>138</v>
      </c>
      <c r="E586" s="67" t="s">
        <v>139</v>
      </c>
      <c r="F586" s="67" t="s">
        <v>140</v>
      </c>
      <c r="G586" s="69" t="s">
        <v>305</v>
      </c>
      <c r="H586" s="67">
        <v>0</v>
      </c>
      <c r="I586" s="67">
        <v>17</v>
      </c>
      <c r="J586" s="67" t="s">
        <v>345</v>
      </c>
      <c r="K586" s="67" t="s">
        <v>313</v>
      </c>
      <c r="L586" s="67" t="s">
        <v>3</v>
      </c>
      <c r="M586" s="67" t="s">
        <v>142</v>
      </c>
      <c r="N586" s="70">
        <v>1000</v>
      </c>
      <c r="O586" s="70">
        <v>1E-3</v>
      </c>
      <c r="P586" s="70"/>
      <c r="Q586" s="98">
        <v>50000</v>
      </c>
      <c r="R586" s="70">
        <v>50</v>
      </c>
      <c r="S586" s="70">
        <v>0</v>
      </c>
    </row>
    <row r="587" spans="1:19" s="56" customFormat="1">
      <c r="A587" s="67" t="s">
        <v>518</v>
      </c>
      <c r="B587" s="68" t="s">
        <v>519</v>
      </c>
      <c r="C587" s="67" t="s">
        <v>137</v>
      </c>
      <c r="D587" s="67" t="s">
        <v>138</v>
      </c>
      <c r="E587" s="67" t="s">
        <v>139</v>
      </c>
      <c r="F587" s="67" t="s">
        <v>140</v>
      </c>
      <c r="G587" s="69" t="s">
        <v>305</v>
      </c>
      <c r="H587" s="67">
        <v>0</v>
      </c>
      <c r="I587" s="67">
        <v>18</v>
      </c>
      <c r="J587" s="67" t="s">
        <v>510</v>
      </c>
      <c r="K587" s="67" t="s">
        <v>257</v>
      </c>
      <c r="L587" s="67" t="s">
        <v>3</v>
      </c>
      <c r="M587" s="67" t="s">
        <v>142</v>
      </c>
      <c r="N587" s="70">
        <v>1000</v>
      </c>
      <c r="O587" s="70">
        <v>1E-3</v>
      </c>
      <c r="P587" s="70"/>
      <c r="Q587" s="98">
        <v>10000</v>
      </c>
      <c r="R587" s="70">
        <v>10</v>
      </c>
      <c r="S587" s="70">
        <v>0</v>
      </c>
    </row>
    <row r="588" spans="1:19" s="56" customFormat="1">
      <c r="A588" s="67" t="s">
        <v>518</v>
      </c>
      <c r="B588" s="68" t="s">
        <v>519</v>
      </c>
      <c r="C588" s="67" t="s">
        <v>137</v>
      </c>
      <c r="D588" s="67" t="s">
        <v>138</v>
      </c>
      <c r="E588" s="67" t="s">
        <v>139</v>
      </c>
      <c r="F588" s="67" t="s">
        <v>156</v>
      </c>
      <c r="G588" s="69" t="s">
        <v>305</v>
      </c>
      <c r="H588" s="67">
        <v>0</v>
      </c>
      <c r="I588" s="67">
        <v>19</v>
      </c>
      <c r="J588" s="67" t="s">
        <v>157</v>
      </c>
      <c r="K588" s="67" t="s">
        <v>48</v>
      </c>
      <c r="L588" s="67" t="s">
        <v>93</v>
      </c>
      <c r="M588" s="67" t="s">
        <v>158</v>
      </c>
      <c r="N588" s="70">
        <v>1000</v>
      </c>
      <c r="O588" s="70">
        <v>1E-3</v>
      </c>
      <c r="P588" s="70"/>
      <c r="Q588" s="98">
        <v>20000</v>
      </c>
      <c r="R588" s="70">
        <v>20</v>
      </c>
      <c r="S588" s="70">
        <v>0</v>
      </c>
    </row>
    <row r="589" spans="1:19" s="56" customFormat="1">
      <c r="A589" s="67" t="s">
        <v>518</v>
      </c>
      <c r="B589" s="68" t="s">
        <v>519</v>
      </c>
      <c r="C589" s="67" t="s">
        <v>137</v>
      </c>
      <c r="D589" s="67" t="s">
        <v>138</v>
      </c>
      <c r="E589" s="67" t="s">
        <v>139</v>
      </c>
      <c r="F589" s="67" t="s">
        <v>156</v>
      </c>
      <c r="G589" s="69" t="s">
        <v>305</v>
      </c>
      <c r="H589" s="67">
        <v>0</v>
      </c>
      <c r="I589" s="67">
        <v>20</v>
      </c>
      <c r="J589" s="67" t="s">
        <v>373</v>
      </c>
      <c r="K589" s="67" t="s">
        <v>35</v>
      </c>
      <c r="L589" s="67" t="s">
        <v>3</v>
      </c>
      <c r="M589" s="67" t="s">
        <v>142</v>
      </c>
      <c r="N589" s="70">
        <v>1000</v>
      </c>
      <c r="O589" s="70">
        <v>1E-3</v>
      </c>
      <c r="P589" s="70"/>
      <c r="Q589" s="98">
        <v>5000</v>
      </c>
      <c r="R589" s="70">
        <v>5</v>
      </c>
      <c r="S589" s="70">
        <v>0</v>
      </c>
    </row>
    <row r="590" spans="1:19" s="56" customFormat="1">
      <c r="A590" s="67" t="s">
        <v>518</v>
      </c>
      <c r="B590" s="68" t="s">
        <v>519</v>
      </c>
      <c r="C590" s="67" t="s">
        <v>137</v>
      </c>
      <c r="D590" s="67" t="s">
        <v>138</v>
      </c>
      <c r="E590" s="67" t="s">
        <v>139</v>
      </c>
      <c r="F590" s="67" t="s">
        <v>156</v>
      </c>
      <c r="G590" s="69" t="s">
        <v>305</v>
      </c>
      <c r="H590" s="67">
        <v>0</v>
      </c>
      <c r="I590" s="67">
        <v>21</v>
      </c>
      <c r="J590" s="67" t="s">
        <v>374</v>
      </c>
      <c r="K590" s="67" t="s">
        <v>44</v>
      </c>
      <c r="L590" s="67" t="s">
        <v>3</v>
      </c>
      <c r="M590" s="67" t="s">
        <v>142</v>
      </c>
      <c r="N590" s="70">
        <v>1000</v>
      </c>
      <c r="O590" s="70">
        <v>1E-3</v>
      </c>
      <c r="P590" s="70"/>
      <c r="Q590" s="98">
        <v>2000</v>
      </c>
      <c r="R590" s="70">
        <v>2</v>
      </c>
      <c r="S590" s="70">
        <v>0</v>
      </c>
    </row>
    <row r="591" spans="1:19" s="56" customFormat="1">
      <c r="A591" s="67" t="s">
        <v>518</v>
      </c>
      <c r="B591" s="68" t="s">
        <v>519</v>
      </c>
      <c r="C591" s="67" t="s">
        <v>137</v>
      </c>
      <c r="D591" s="67" t="s">
        <v>138</v>
      </c>
      <c r="E591" s="67" t="s">
        <v>139</v>
      </c>
      <c r="F591" s="67" t="s">
        <v>162</v>
      </c>
      <c r="G591" s="69" t="s">
        <v>305</v>
      </c>
      <c r="H591" s="67">
        <v>0</v>
      </c>
      <c r="I591" s="67">
        <v>22</v>
      </c>
      <c r="J591" s="67" t="s">
        <v>234</v>
      </c>
      <c r="K591" s="67" t="s">
        <v>233</v>
      </c>
      <c r="L591" s="67" t="s">
        <v>3</v>
      </c>
      <c r="M591" s="67" t="s">
        <v>142</v>
      </c>
      <c r="N591" s="70">
        <v>1000</v>
      </c>
      <c r="O591" s="70">
        <v>5.6</v>
      </c>
      <c r="P591" s="70"/>
      <c r="Q591" s="98">
        <v>75000</v>
      </c>
      <c r="R591" s="70">
        <v>75</v>
      </c>
      <c r="S591" s="70">
        <v>0</v>
      </c>
    </row>
    <row r="592" spans="1:19" s="56" customFormat="1">
      <c r="A592" s="67" t="s">
        <v>518</v>
      </c>
      <c r="B592" s="68" t="s">
        <v>519</v>
      </c>
      <c r="C592" s="67" t="s">
        <v>137</v>
      </c>
      <c r="D592" s="67" t="s">
        <v>138</v>
      </c>
      <c r="E592" s="67" t="s">
        <v>139</v>
      </c>
      <c r="F592" s="67" t="s">
        <v>162</v>
      </c>
      <c r="G592" s="69" t="s">
        <v>305</v>
      </c>
      <c r="H592" s="67">
        <v>0</v>
      </c>
      <c r="I592" s="67">
        <v>24</v>
      </c>
      <c r="J592" s="67" t="s">
        <v>263</v>
      </c>
      <c r="K592" s="67" t="s">
        <v>259</v>
      </c>
      <c r="L592" s="67" t="s">
        <v>3</v>
      </c>
      <c r="M592" s="67" t="s">
        <v>142</v>
      </c>
      <c r="N592" s="70">
        <v>1000</v>
      </c>
      <c r="O592" s="70">
        <v>1E-3</v>
      </c>
      <c r="P592" s="70"/>
      <c r="Q592" s="98">
        <v>5000</v>
      </c>
      <c r="R592" s="70">
        <v>5</v>
      </c>
      <c r="S592" s="70">
        <v>0</v>
      </c>
    </row>
    <row r="593" spans="1:19" s="56" customFormat="1">
      <c r="A593" s="67" t="s">
        <v>518</v>
      </c>
      <c r="B593" s="68" t="s">
        <v>519</v>
      </c>
      <c r="C593" s="67" t="s">
        <v>137</v>
      </c>
      <c r="D593" s="67" t="s">
        <v>138</v>
      </c>
      <c r="E593" s="67" t="s">
        <v>139</v>
      </c>
      <c r="F593" s="67" t="s">
        <v>162</v>
      </c>
      <c r="G593" s="69" t="s">
        <v>305</v>
      </c>
      <c r="H593" s="67">
        <v>0</v>
      </c>
      <c r="I593" s="67">
        <v>25</v>
      </c>
      <c r="J593" s="67" t="s">
        <v>164</v>
      </c>
      <c r="K593" s="67" t="s">
        <v>74</v>
      </c>
      <c r="L593" s="67" t="s">
        <v>5</v>
      </c>
      <c r="M593" s="67" t="s">
        <v>142</v>
      </c>
      <c r="N593" s="70">
        <v>1000</v>
      </c>
      <c r="O593" s="70">
        <v>1E-3</v>
      </c>
      <c r="P593" s="70"/>
      <c r="Q593" s="98">
        <v>15000</v>
      </c>
      <c r="R593" s="70">
        <v>15</v>
      </c>
      <c r="S593" s="70">
        <v>0</v>
      </c>
    </row>
    <row r="594" spans="1:19" s="56" customFormat="1">
      <c r="A594" s="67" t="s">
        <v>518</v>
      </c>
      <c r="B594" s="68" t="s">
        <v>519</v>
      </c>
      <c r="C594" s="67" t="s">
        <v>137</v>
      </c>
      <c r="D594" s="67" t="s">
        <v>138</v>
      </c>
      <c r="E594" s="67" t="s">
        <v>139</v>
      </c>
      <c r="F594" s="67" t="s">
        <v>162</v>
      </c>
      <c r="G594" s="69" t="s">
        <v>305</v>
      </c>
      <c r="H594" s="67">
        <v>0</v>
      </c>
      <c r="I594" s="67">
        <v>26</v>
      </c>
      <c r="J594" s="67" t="s">
        <v>165</v>
      </c>
      <c r="K594" s="67" t="s">
        <v>80</v>
      </c>
      <c r="L594" s="67" t="s">
        <v>3</v>
      </c>
      <c r="M594" s="67" t="s">
        <v>142</v>
      </c>
      <c r="N594" s="70">
        <v>1000</v>
      </c>
      <c r="O594" s="70">
        <v>1E-3</v>
      </c>
      <c r="P594" s="70"/>
      <c r="Q594" s="98">
        <v>50</v>
      </c>
      <c r="R594" s="70">
        <v>0</v>
      </c>
      <c r="S594" s="70">
        <v>50</v>
      </c>
    </row>
    <row r="595" spans="1:19" s="56" customFormat="1">
      <c r="A595" s="67" t="s">
        <v>520</v>
      </c>
      <c r="B595" s="68" t="s">
        <v>521</v>
      </c>
      <c r="C595" s="67" t="s">
        <v>137</v>
      </c>
      <c r="D595" s="67" t="s">
        <v>138</v>
      </c>
      <c r="E595" s="67" t="s">
        <v>139</v>
      </c>
      <c r="F595" s="67" t="s">
        <v>140</v>
      </c>
      <c r="G595" s="69" t="s">
        <v>305</v>
      </c>
      <c r="H595" s="67">
        <v>0</v>
      </c>
      <c r="I595" s="67">
        <v>1</v>
      </c>
      <c r="J595" s="67" t="s">
        <v>141</v>
      </c>
      <c r="K595" s="67" t="s">
        <v>37</v>
      </c>
      <c r="L595" s="67" t="s">
        <v>3</v>
      </c>
      <c r="M595" s="67" t="s">
        <v>142</v>
      </c>
      <c r="N595" s="70">
        <v>1000</v>
      </c>
      <c r="O595" s="70">
        <v>200</v>
      </c>
      <c r="P595" s="70"/>
      <c r="Q595" s="98">
        <v>28575</v>
      </c>
      <c r="R595" s="70">
        <v>28</v>
      </c>
      <c r="S595" s="70">
        <v>575</v>
      </c>
    </row>
    <row r="596" spans="1:19" s="56" customFormat="1">
      <c r="A596" s="67" t="s">
        <v>520</v>
      </c>
      <c r="B596" s="68" t="s">
        <v>521</v>
      </c>
      <c r="C596" s="67" t="s">
        <v>137</v>
      </c>
      <c r="D596" s="67" t="s">
        <v>138</v>
      </c>
      <c r="E596" s="67" t="s">
        <v>139</v>
      </c>
      <c r="F596" s="67" t="s">
        <v>140</v>
      </c>
      <c r="G596" s="69" t="s">
        <v>305</v>
      </c>
      <c r="H596" s="67">
        <v>0</v>
      </c>
      <c r="I596" s="67">
        <v>2</v>
      </c>
      <c r="J596" s="67" t="s">
        <v>346</v>
      </c>
      <c r="K596" s="67" t="s">
        <v>343</v>
      </c>
      <c r="L596" s="67" t="s">
        <v>3</v>
      </c>
      <c r="M596" s="67" t="s">
        <v>142</v>
      </c>
      <c r="N596" s="70">
        <v>1000</v>
      </c>
      <c r="O596" s="70">
        <v>1E-3</v>
      </c>
      <c r="P596" s="70"/>
      <c r="Q596" s="98">
        <v>15681</v>
      </c>
      <c r="R596" s="70">
        <v>15</v>
      </c>
      <c r="S596" s="70">
        <v>681</v>
      </c>
    </row>
    <row r="597" spans="1:19" s="56" customFormat="1">
      <c r="A597" s="67" t="s">
        <v>520</v>
      </c>
      <c r="B597" s="68" t="s">
        <v>521</v>
      </c>
      <c r="C597" s="67" t="s">
        <v>137</v>
      </c>
      <c r="D597" s="67" t="s">
        <v>138</v>
      </c>
      <c r="E597" s="67" t="s">
        <v>139</v>
      </c>
      <c r="F597" s="67" t="s">
        <v>140</v>
      </c>
      <c r="G597" s="69" t="s">
        <v>305</v>
      </c>
      <c r="H597" s="67">
        <v>0</v>
      </c>
      <c r="I597" s="67">
        <v>3</v>
      </c>
      <c r="J597" s="67" t="s">
        <v>169</v>
      </c>
      <c r="K597" s="67" t="s">
        <v>64</v>
      </c>
      <c r="L597" s="67" t="s">
        <v>3</v>
      </c>
      <c r="M597" s="67" t="s">
        <v>142</v>
      </c>
      <c r="N597" s="70">
        <v>1000</v>
      </c>
      <c r="O597" s="70">
        <v>1E-3</v>
      </c>
      <c r="P597" s="70"/>
      <c r="Q597" s="98">
        <v>597</v>
      </c>
      <c r="R597" s="70">
        <v>0</v>
      </c>
      <c r="S597" s="70">
        <v>597</v>
      </c>
    </row>
    <row r="598" spans="1:19" s="56" customFormat="1">
      <c r="A598" s="67" t="s">
        <v>520</v>
      </c>
      <c r="B598" s="68" t="s">
        <v>521</v>
      </c>
      <c r="C598" s="67" t="s">
        <v>137</v>
      </c>
      <c r="D598" s="67" t="s">
        <v>138</v>
      </c>
      <c r="E598" s="67" t="s">
        <v>139</v>
      </c>
      <c r="F598" s="67" t="s">
        <v>140</v>
      </c>
      <c r="G598" s="69" t="s">
        <v>305</v>
      </c>
      <c r="H598" s="67">
        <v>0</v>
      </c>
      <c r="I598" s="67">
        <v>4</v>
      </c>
      <c r="J598" s="67" t="s">
        <v>143</v>
      </c>
      <c r="K598" s="67" t="s">
        <v>90</v>
      </c>
      <c r="L598" s="67" t="s">
        <v>3</v>
      </c>
      <c r="M598" s="67" t="s">
        <v>142</v>
      </c>
      <c r="N598" s="70">
        <v>1000</v>
      </c>
      <c r="O598" s="70">
        <v>359.59699999999998</v>
      </c>
      <c r="P598" s="70"/>
      <c r="Q598" s="98">
        <v>259</v>
      </c>
      <c r="R598" s="70">
        <v>0</v>
      </c>
      <c r="S598" s="70">
        <v>259</v>
      </c>
    </row>
    <row r="599" spans="1:19" s="56" customFormat="1">
      <c r="A599" s="67" t="s">
        <v>520</v>
      </c>
      <c r="B599" s="68" t="s">
        <v>521</v>
      </c>
      <c r="C599" s="67" t="s">
        <v>137</v>
      </c>
      <c r="D599" s="67" t="s">
        <v>138</v>
      </c>
      <c r="E599" s="67" t="s">
        <v>139</v>
      </c>
      <c r="F599" s="67" t="s">
        <v>140</v>
      </c>
      <c r="G599" s="69" t="s">
        <v>305</v>
      </c>
      <c r="H599" s="67">
        <v>0</v>
      </c>
      <c r="I599" s="67">
        <v>5</v>
      </c>
      <c r="J599" s="67" t="s">
        <v>250</v>
      </c>
      <c r="K599" s="67" t="s">
        <v>38</v>
      </c>
      <c r="L599" s="67" t="s">
        <v>3</v>
      </c>
      <c r="M599" s="67" t="s">
        <v>142</v>
      </c>
      <c r="N599" s="70">
        <v>1000</v>
      </c>
      <c r="O599" s="70">
        <v>1E-3</v>
      </c>
      <c r="P599" s="70"/>
      <c r="Q599" s="98">
        <v>20</v>
      </c>
      <c r="R599" s="70">
        <v>0</v>
      </c>
      <c r="S599" s="70">
        <v>20</v>
      </c>
    </row>
    <row r="600" spans="1:19" s="56" customFormat="1">
      <c r="A600" s="67" t="s">
        <v>520</v>
      </c>
      <c r="B600" s="68" t="s">
        <v>521</v>
      </c>
      <c r="C600" s="67" t="s">
        <v>137</v>
      </c>
      <c r="D600" s="67" t="s">
        <v>138</v>
      </c>
      <c r="E600" s="67" t="s">
        <v>139</v>
      </c>
      <c r="F600" s="67" t="s">
        <v>140</v>
      </c>
      <c r="G600" s="69" t="s">
        <v>305</v>
      </c>
      <c r="H600" s="67">
        <v>0</v>
      </c>
      <c r="I600" s="67">
        <v>6</v>
      </c>
      <c r="J600" s="67" t="s">
        <v>144</v>
      </c>
      <c r="K600" s="67" t="s">
        <v>26</v>
      </c>
      <c r="L600" s="67" t="s">
        <v>3</v>
      </c>
      <c r="M600" s="67" t="s">
        <v>142</v>
      </c>
      <c r="N600" s="70">
        <v>1000</v>
      </c>
      <c r="O600" s="70">
        <v>1E-3</v>
      </c>
      <c r="P600" s="70"/>
      <c r="Q600" s="98">
        <v>17970</v>
      </c>
      <c r="R600" s="70">
        <v>17</v>
      </c>
      <c r="S600" s="70">
        <v>970</v>
      </c>
    </row>
    <row r="601" spans="1:19" s="56" customFormat="1">
      <c r="A601" s="67" t="s">
        <v>520</v>
      </c>
      <c r="B601" s="68" t="s">
        <v>521</v>
      </c>
      <c r="C601" s="67" t="s">
        <v>137</v>
      </c>
      <c r="D601" s="67" t="s">
        <v>138</v>
      </c>
      <c r="E601" s="67" t="s">
        <v>139</v>
      </c>
      <c r="F601" s="67" t="s">
        <v>140</v>
      </c>
      <c r="G601" s="69" t="s">
        <v>305</v>
      </c>
      <c r="H601" s="67">
        <v>0</v>
      </c>
      <c r="I601" s="67">
        <v>7</v>
      </c>
      <c r="J601" s="67" t="s">
        <v>145</v>
      </c>
      <c r="K601" s="67" t="s">
        <v>27</v>
      </c>
      <c r="L601" s="67" t="s">
        <v>3</v>
      </c>
      <c r="M601" s="67" t="s">
        <v>142</v>
      </c>
      <c r="N601" s="70">
        <v>1000</v>
      </c>
      <c r="O601" s="70">
        <v>1E-3</v>
      </c>
      <c r="P601" s="70"/>
      <c r="Q601" s="98">
        <v>2820</v>
      </c>
      <c r="R601" s="70">
        <v>2</v>
      </c>
      <c r="S601" s="70">
        <v>820</v>
      </c>
    </row>
    <row r="602" spans="1:19" s="56" customFormat="1">
      <c r="A602" s="67" t="s">
        <v>520</v>
      </c>
      <c r="B602" s="68" t="s">
        <v>521</v>
      </c>
      <c r="C602" s="67" t="s">
        <v>137</v>
      </c>
      <c r="D602" s="67" t="s">
        <v>138</v>
      </c>
      <c r="E602" s="67" t="s">
        <v>139</v>
      </c>
      <c r="F602" s="67" t="s">
        <v>140</v>
      </c>
      <c r="G602" s="69" t="s">
        <v>305</v>
      </c>
      <c r="H602" s="67">
        <v>0</v>
      </c>
      <c r="I602" s="67">
        <v>8</v>
      </c>
      <c r="J602" s="67" t="s">
        <v>289</v>
      </c>
      <c r="K602" s="67" t="s">
        <v>255</v>
      </c>
      <c r="L602" s="67" t="s">
        <v>3</v>
      </c>
      <c r="M602" s="67" t="s">
        <v>142</v>
      </c>
      <c r="N602" s="70">
        <v>1000</v>
      </c>
      <c r="O602" s="70">
        <v>1E-3</v>
      </c>
      <c r="P602" s="70"/>
      <c r="Q602" s="98">
        <v>55</v>
      </c>
      <c r="R602" s="70">
        <v>0</v>
      </c>
      <c r="S602" s="70">
        <v>55</v>
      </c>
    </row>
    <row r="603" spans="1:19" s="56" customFormat="1">
      <c r="A603" s="67" t="s">
        <v>520</v>
      </c>
      <c r="B603" s="68" t="s">
        <v>521</v>
      </c>
      <c r="C603" s="67" t="s">
        <v>137</v>
      </c>
      <c r="D603" s="67" t="s">
        <v>138</v>
      </c>
      <c r="E603" s="67" t="s">
        <v>139</v>
      </c>
      <c r="F603" s="67" t="s">
        <v>140</v>
      </c>
      <c r="G603" s="69" t="s">
        <v>305</v>
      </c>
      <c r="H603" s="67">
        <v>0</v>
      </c>
      <c r="I603" s="67">
        <v>9</v>
      </c>
      <c r="J603" s="67" t="s">
        <v>171</v>
      </c>
      <c r="K603" s="67" t="s">
        <v>102</v>
      </c>
      <c r="L603" s="67" t="s">
        <v>3</v>
      </c>
      <c r="M603" s="67" t="s">
        <v>142</v>
      </c>
      <c r="N603" s="70">
        <v>1000</v>
      </c>
      <c r="O603" s="70">
        <v>1E-3</v>
      </c>
      <c r="P603" s="70"/>
      <c r="Q603" s="98">
        <v>35</v>
      </c>
      <c r="R603" s="70">
        <v>0</v>
      </c>
      <c r="S603" s="70">
        <v>35</v>
      </c>
    </row>
    <row r="604" spans="1:19" s="56" customFormat="1">
      <c r="A604" s="67" t="s">
        <v>520</v>
      </c>
      <c r="B604" s="68" t="s">
        <v>521</v>
      </c>
      <c r="C604" s="67" t="s">
        <v>137</v>
      </c>
      <c r="D604" s="67" t="s">
        <v>138</v>
      </c>
      <c r="E604" s="67" t="s">
        <v>139</v>
      </c>
      <c r="F604" s="67" t="s">
        <v>140</v>
      </c>
      <c r="G604" s="69" t="s">
        <v>305</v>
      </c>
      <c r="H604" s="67">
        <v>0</v>
      </c>
      <c r="I604" s="67">
        <v>10</v>
      </c>
      <c r="J604" s="67" t="s">
        <v>376</v>
      </c>
      <c r="K604" s="67" t="s">
        <v>11</v>
      </c>
      <c r="L604" s="67" t="s">
        <v>3</v>
      </c>
      <c r="M604" s="67" t="s">
        <v>142</v>
      </c>
      <c r="N604" s="70">
        <v>1000</v>
      </c>
      <c r="O604" s="70">
        <v>1E-3</v>
      </c>
      <c r="P604" s="70"/>
      <c r="Q604" s="98">
        <v>25</v>
      </c>
      <c r="R604" s="70">
        <v>0</v>
      </c>
      <c r="S604" s="70">
        <v>25</v>
      </c>
    </row>
    <row r="605" spans="1:19" s="56" customFormat="1">
      <c r="A605" s="67" t="s">
        <v>520</v>
      </c>
      <c r="B605" s="68" t="s">
        <v>521</v>
      </c>
      <c r="C605" s="67" t="s">
        <v>137</v>
      </c>
      <c r="D605" s="67" t="s">
        <v>138</v>
      </c>
      <c r="E605" s="67" t="s">
        <v>139</v>
      </c>
      <c r="F605" s="67" t="s">
        <v>140</v>
      </c>
      <c r="G605" s="69" t="s">
        <v>305</v>
      </c>
      <c r="H605" s="67">
        <v>0</v>
      </c>
      <c r="I605" s="67">
        <v>11</v>
      </c>
      <c r="J605" s="67" t="s">
        <v>146</v>
      </c>
      <c r="K605" s="67" t="s">
        <v>46</v>
      </c>
      <c r="L605" s="67" t="s">
        <v>3</v>
      </c>
      <c r="M605" s="67" t="s">
        <v>142</v>
      </c>
      <c r="N605" s="70">
        <v>1000</v>
      </c>
      <c r="O605" s="70">
        <v>1E-3</v>
      </c>
      <c r="P605" s="70"/>
      <c r="Q605" s="98">
        <v>686</v>
      </c>
      <c r="R605" s="70">
        <v>0</v>
      </c>
      <c r="S605" s="70">
        <v>686</v>
      </c>
    </row>
    <row r="606" spans="1:19" s="56" customFormat="1">
      <c r="A606" s="67" t="s">
        <v>520</v>
      </c>
      <c r="B606" s="68" t="s">
        <v>521</v>
      </c>
      <c r="C606" s="67" t="s">
        <v>137</v>
      </c>
      <c r="D606" s="67" t="s">
        <v>138</v>
      </c>
      <c r="E606" s="67" t="s">
        <v>139</v>
      </c>
      <c r="F606" s="67" t="s">
        <v>140</v>
      </c>
      <c r="G606" s="69" t="s">
        <v>305</v>
      </c>
      <c r="H606" s="67">
        <v>0</v>
      </c>
      <c r="I606" s="67">
        <v>12</v>
      </c>
      <c r="J606" s="67" t="s">
        <v>147</v>
      </c>
      <c r="K606" s="67" t="s">
        <v>41</v>
      </c>
      <c r="L606" s="67" t="s">
        <v>3</v>
      </c>
      <c r="M606" s="67" t="s">
        <v>142</v>
      </c>
      <c r="N606" s="70">
        <v>1000</v>
      </c>
      <c r="O606" s="70">
        <v>1E-3</v>
      </c>
      <c r="P606" s="70"/>
      <c r="Q606" s="98">
        <v>6553</v>
      </c>
      <c r="R606" s="70">
        <v>6</v>
      </c>
      <c r="S606" s="70">
        <v>553</v>
      </c>
    </row>
    <row r="607" spans="1:19" s="56" customFormat="1">
      <c r="A607" s="67" t="s">
        <v>520</v>
      </c>
      <c r="B607" s="68" t="s">
        <v>521</v>
      </c>
      <c r="C607" s="67" t="s">
        <v>137</v>
      </c>
      <c r="D607" s="67" t="s">
        <v>138</v>
      </c>
      <c r="E607" s="67" t="s">
        <v>139</v>
      </c>
      <c r="F607" s="67" t="s">
        <v>140</v>
      </c>
      <c r="G607" s="69" t="s">
        <v>305</v>
      </c>
      <c r="H607" s="67">
        <v>0</v>
      </c>
      <c r="I607" s="67">
        <v>13</v>
      </c>
      <c r="J607" s="67" t="s">
        <v>151</v>
      </c>
      <c r="K607" s="67" t="s">
        <v>28</v>
      </c>
      <c r="L607" s="67" t="s">
        <v>3</v>
      </c>
      <c r="M607" s="67" t="s">
        <v>142</v>
      </c>
      <c r="N607" s="70">
        <v>1000</v>
      </c>
      <c r="O607" s="70">
        <v>1E-3</v>
      </c>
      <c r="P607" s="70"/>
      <c r="Q607" s="98">
        <v>166</v>
      </c>
      <c r="R607" s="70">
        <v>0</v>
      </c>
      <c r="S607" s="70">
        <v>166</v>
      </c>
    </row>
    <row r="608" spans="1:19" s="56" customFormat="1">
      <c r="A608" s="67" t="s">
        <v>520</v>
      </c>
      <c r="B608" s="68" t="s">
        <v>521</v>
      </c>
      <c r="C608" s="67" t="s">
        <v>137</v>
      </c>
      <c r="D608" s="67" t="s">
        <v>138</v>
      </c>
      <c r="E608" s="67" t="s">
        <v>139</v>
      </c>
      <c r="F608" s="67" t="s">
        <v>140</v>
      </c>
      <c r="G608" s="69" t="s">
        <v>305</v>
      </c>
      <c r="H608" s="67">
        <v>0</v>
      </c>
      <c r="I608" s="67">
        <v>14</v>
      </c>
      <c r="J608" s="67" t="s">
        <v>170</v>
      </c>
      <c r="K608" s="67" t="s">
        <v>29</v>
      </c>
      <c r="L608" s="67" t="s">
        <v>3</v>
      </c>
      <c r="M608" s="67" t="s">
        <v>142</v>
      </c>
      <c r="N608" s="70">
        <v>1000</v>
      </c>
      <c r="O608" s="70">
        <v>1E-3</v>
      </c>
      <c r="P608" s="70"/>
      <c r="Q608" s="98">
        <v>14</v>
      </c>
      <c r="R608" s="70">
        <v>0</v>
      </c>
      <c r="S608" s="70">
        <v>14</v>
      </c>
    </row>
    <row r="609" spans="1:19" s="56" customFormat="1">
      <c r="A609" s="67" t="s">
        <v>520</v>
      </c>
      <c r="B609" s="68" t="s">
        <v>521</v>
      </c>
      <c r="C609" s="67" t="s">
        <v>137</v>
      </c>
      <c r="D609" s="67" t="s">
        <v>138</v>
      </c>
      <c r="E609" s="67" t="s">
        <v>139</v>
      </c>
      <c r="F609" s="67" t="s">
        <v>140</v>
      </c>
      <c r="G609" s="69" t="s">
        <v>305</v>
      </c>
      <c r="H609" s="67">
        <v>0</v>
      </c>
      <c r="I609" s="67">
        <v>15</v>
      </c>
      <c r="J609" s="67" t="s">
        <v>148</v>
      </c>
      <c r="K609" s="67" t="s">
        <v>30</v>
      </c>
      <c r="L609" s="67" t="s">
        <v>3</v>
      </c>
      <c r="M609" s="67" t="s">
        <v>142</v>
      </c>
      <c r="N609" s="70">
        <v>1000</v>
      </c>
      <c r="O609" s="70">
        <v>1E-3</v>
      </c>
      <c r="P609" s="70"/>
      <c r="Q609" s="98">
        <v>12910</v>
      </c>
      <c r="R609" s="70">
        <v>12</v>
      </c>
      <c r="S609" s="70">
        <v>910</v>
      </c>
    </row>
    <row r="610" spans="1:19" s="56" customFormat="1">
      <c r="A610" s="67" t="s">
        <v>520</v>
      </c>
      <c r="B610" s="68" t="s">
        <v>521</v>
      </c>
      <c r="C610" s="67" t="s">
        <v>137</v>
      </c>
      <c r="D610" s="67" t="s">
        <v>138</v>
      </c>
      <c r="E610" s="67" t="s">
        <v>139</v>
      </c>
      <c r="F610" s="67" t="s">
        <v>140</v>
      </c>
      <c r="G610" s="69" t="s">
        <v>305</v>
      </c>
      <c r="H610" s="67">
        <v>0</v>
      </c>
      <c r="I610" s="67">
        <v>16</v>
      </c>
      <c r="J610" s="67" t="s">
        <v>152</v>
      </c>
      <c r="K610" s="67" t="s">
        <v>57</v>
      </c>
      <c r="L610" s="67" t="s">
        <v>3</v>
      </c>
      <c r="M610" s="67" t="s">
        <v>142</v>
      </c>
      <c r="N610" s="70">
        <v>1000</v>
      </c>
      <c r="O610" s="70">
        <v>16</v>
      </c>
      <c r="P610" s="70"/>
      <c r="Q610" s="98">
        <v>50000</v>
      </c>
      <c r="R610" s="70">
        <v>50</v>
      </c>
      <c r="S610" s="70">
        <v>0</v>
      </c>
    </row>
    <row r="611" spans="1:19" s="56" customFormat="1">
      <c r="A611" s="67" t="s">
        <v>520</v>
      </c>
      <c r="B611" s="68" t="s">
        <v>521</v>
      </c>
      <c r="C611" s="67" t="s">
        <v>137</v>
      </c>
      <c r="D611" s="67" t="s">
        <v>138</v>
      </c>
      <c r="E611" s="67" t="s">
        <v>139</v>
      </c>
      <c r="F611" s="67" t="s">
        <v>140</v>
      </c>
      <c r="G611" s="69" t="s">
        <v>305</v>
      </c>
      <c r="H611" s="67">
        <v>0</v>
      </c>
      <c r="I611" s="67">
        <v>17</v>
      </c>
      <c r="J611" s="67" t="s">
        <v>150</v>
      </c>
      <c r="K611" s="67" t="s">
        <v>32</v>
      </c>
      <c r="L611" s="67" t="s">
        <v>3</v>
      </c>
      <c r="M611" s="67" t="s">
        <v>142</v>
      </c>
      <c r="N611" s="70">
        <v>1000</v>
      </c>
      <c r="O611" s="70">
        <v>2.0500000000000001E-2</v>
      </c>
      <c r="P611" s="70"/>
      <c r="Q611" s="98">
        <v>1000</v>
      </c>
      <c r="R611" s="70">
        <v>1</v>
      </c>
      <c r="S611" s="70">
        <v>0</v>
      </c>
    </row>
    <row r="612" spans="1:19" s="56" customFormat="1">
      <c r="A612" s="67" t="s">
        <v>520</v>
      </c>
      <c r="B612" s="68" t="s">
        <v>521</v>
      </c>
      <c r="C612" s="67" t="s">
        <v>137</v>
      </c>
      <c r="D612" s="67" t="s">
        <v>138</v>
      </c>
      <c r="E612" s="67" t="s">
        <v>139</v>
      </c>
      <c r="F612" s="67" t="s">
        <v>140</v>
      </c>
      <c r="G612" s="69" t="s">
        <v>305</v>
      </c>
      <c r="H612" s="67">
        <v>0</v>
      </c>
      <c r="I612" s="67">
        <v>18</v>
      </c>
      <c r="J612" s="67" t="s">
        <v>149</v>
      </c>
      <c r="K612" s="67" t="s">
        <v>24</v>
      </c>
      <c r="L612" s="67" t="s">
        <v>3</v>
      </c>
      <c r="M612" s="67" t="s">
        <v>142</v>
      </c>
      <c r="N612" s="70">
        <v>1000</v>
      </c>
      <c r="O612" s="70">
        <v>19</v>
      </c>
      <c r="P612" s="70"/>
      <c r="Q612" s="98">
        <v>4000</v>
      </c>
      <c r="R612" s="70">
        <v>4</v>
      </c>
      <c r="S612" s="70">
        <v>0</v>
      </c>
    </row>
    <row r="613" spans="1:19" s="56" customFormat="1">
      <c r="A613" s="67" t="s">
        <v>520</v>
      </c>
      <c r="B613" s="68" t="s">
        <v>521</v>
      </c>
      <c r="C613" s="67" t="s">
        <v>137</v>
      </c>
      <c r="D613" s="67" t="s">
        <v>138</v>
      </c>
      <c r="E613" s="67" t="s">
        <v>139</v>
      </c>
      <c r="F613" s="67" t="s">
        <v>153</v>
      </c>
      <c r="G613" s="69" t="s">
        <v>305</v>
      </c>
      <c r="H613" s="67">
        <v>0</v>
      </c>
      <c r="I613" s="67">
        <v>19</v>
      </c>
      <c r="J613" s="67" t="s">
        <v>154</v>
      </c>
      <c r="K613" s="67" t="s">
        <v>23</v>
      </c>
      <c r="L613" s="67" t="s">
        <v>3</v>
      </c>
      <c r="M613" s="67" t="s">
        <v>142</v>
      </c>
      <c r="N613" s="70">
        <v>1000</v>
      </c>
      <c r="O613" s="70">
        <v>32.021000000000001</v>
      </c>
      <c r="P613" s="70"/>
      <c r="Q613" s="98">
        <v>250000</v>
      </c>
      <c r="R613" s="70">
        <v>250</v>
      </c>
      <c r="S613" s="70">
        <v>0</v>
      </c>
    </row>
    <row r="614" spans="1:19" s="56" customFormat="1">
      <c r="A614" s="67" t="s">
        <v>520</v>
      </c>
      <c r="B614" s="68" t="s">
        <v>521</v>
      </c>
      <c r="C614" s="67" t="s">
        <v>137</v>
      </c>
      <c r="D614" s="67" t="s">
        <v>138</v>
      </c>
      <c r="E614" s="67" t="s">
        <v>139</v>
      </c>
      <c r="F614" s="67" t="s">
        <v>153</v>
      </c>
      <c r="G614" s="69" t="s">
        <v>305</v>
      </c>
      <c r="H614" s="67">
        <v>0</v>
      </c>
      <c r="I614" s="67">
        <v>20</v>
      </c>
      <c r="J614" s="67" t="s">
        <v>155</v>
      </c>
      <c r="K614" s="67" t="s">
        <v>33</v>
      </c>
      <c r="L614" s="67" t="s">
        <v>3</v>
      </c>
      <c r="M614" s="67" t="s">
        <v>142</v>
      </c>
      <c r="N614" s="70">
        <v>1000</v>
      </c>
      <c r="O614" s="70">
        <v>13.6</v>
      </c>
      <c r="P614" s="70"/>
      <c r="Q614" s="98">
        <v>175000</v>
      </c>
      <c r="R614" s="70">
        <v>175</v>
      </c>
      <c r="S614" s="70">
        <v>0</v>
      </c>
    </row>
    <row r="615" spans="1:19" s="56" customFormat="1">
      <c r="A615" s="67" t="s">
        <v>520</v>
      </c>
      <c r="B615" s="68" t="s">
        <v>521</v>
      </c>
      <c r="C615" s="67" t="s">
        <v>137</v>
      </c>
      <c r="D615" s="67" t="s">
        <v>138</v>
      </c>
      <c r="E615" s="67" t="s">
        <v>139</v>
      </c>
      <c r="F615" s="67" t="s">
        <v>153</v>
      </c>
      <c r="G615" s="69" t="s">
        <v>305</v>
      </c>
      <c r="H615" s="67">
        <v>0</v>
      </c>
      <c r="I615" s="67">
        <v>21</v>
      </c>
      <c r="J615" s="67" t="s">
        <v>317</v>
      </c>
      <c r="K615" s="67" t="s">
        <v>17</v>
      </c>
      <c r="L615" s="67" t="s">
        <v>3</v>
      </c>
      <c r="M615" s="67" t="s">
        <v>142</v>
      </c>
      <c r="N615" s="70">
        <v>1000</v>
      </c>
      <c r="O615" s="70">
        <v>0</v>
      </c>
      <c r="P615" s="70"/>
      <c r="Q615" s="98">
        <v>55000</v>
      </c>
      <c r="R615" s="70">
        <v>55</v>
      </c>
      <c r="S615" s="70">
        <v>0</v>
      </c>
    </row>
    <row r="616" spans="1:19" s="56" customFormat="1">
      <c r="A616" s="67" t="s">
        <v>520</v>
      </c>
      <c r="B616" s="68" t="s">
        <v>521</v>
      </c>
      <c r="C616" s="67" t="s">
        <v>137</v>
      </c>
      <c r="D616" s="67" t="s">
        <v>138</v>
      </c>
      <c r="E616" s="67" t="s">
        <v>139</v>
      </c>
      <c r="F616" s="67" t="s">
        <v>153</v>
      </c>
      <c r="G616" s="69" t="s">
        <v>305</v>
      </c>
      <c r="H616" s="67">
        <v>0</v>
      </c>
      <c r="I616" s="67">
        <v>22</v>
      </c>
      <c r="J616" s="67" t="s">
        <v>251</v>
      </c>
      <c r="K616" s="67" t="s">
        <v>249</v>
      </c>
      <c r="L616" s="67" t="s">
        <v>3</v>
      </c>
      <c r="M616" s="67" t="s">
        <v>142</v>
      </c>
      <c r="N616" s="70">
        <v>1000</v>
      </c>
      <c r="O616" s="70">
        <v>1E-3</v>
      </c>
      <c r="P616" s="70"/>
      <c r="Q616" s="98">
        <v>30000</v>
      </c>
      <c r="R616" s="70">
        <v>30</v>
      </c>
      <c r="S616" s="70">
        <v>0</v>
      </c>
    </row>
    <row r="617" spans="1:19" s="56" customFormat="1">
      <c r="A617" s="67" t="s">
        <v>520</v>
      </c>
      <c r="B617" s="68" t="s">
        <v>521</v>
      </c>
      <c r="C617" s="67" t="s">
        <v>137</v>
      </c>
      <c r="D617" s="67" t="s">
        <v>138</v>
      </c>
      <c r="E617" s="67" t="s">
        <v>139</v>
      </c>
      <c r="F617" s="67" t="s">
        <v>166</v>
      </c>
      <c r="G617" s="69" t="s">
        <v>305</v>
      </c>
      <c r="H617" s="67">
        <v>0</v>
      </c>
      <c r="I617" s="67">
        <v>23</v>
      </c>
      <c r="J617" s="67" t="s">
        <v>157</v>
      </c>
      <c r="K617" s="67" t="s">
        <v>48</v>
      </c>
      <c r="L617" s="67" t="s">
        <v>93</v>
      </c>
      <c r="M617" s="67" t="s">
        <v>158</v>
      </c>
      <c r="N617" s="70">
        <v>1000</v>
      </c>
      <c r="O617" s="70">
        <v>1E-3</v>
      </c>
      <c r="P617" s="70"/>
      <c r="Q617" s="98">
        <v>20000</v>
      </c>
      <c r="R617" s="70">
        <v>20</v>
      </c>
      <c r="S617" s="70">
        <v>0</v>
      </c>
    </row>
    <row r="618" spans="1:19" s="56" customFormat="1">
      <c r="A618" s="67" t="s">
        <v>520</v>
      </c>
      <c r="B618" s="68" t="s">
        <v>521</v>
      </c>
      <c r="C618" s="67" t="s">
        <v>137</v>
      </c>
      <c r="D618" s="67" t="s">
        <v>138</v>
      </c>
      <c r="E618" s="67" t="s">
        <v>139</v>
      </c>
      <c r="F618" s="67" t="s">
        <v>162</v>
      </c>
      <c r="G618" s="69" t="s">
        <v>305</v>
      </c>
      <c r="H618" s="67">
        <v>0</v>
      </c>
      <c r="I618" s="67">
        <v>24</v>
      </c>
      <c r="J618" s="67" t="s">
        <v>234</v>
      </c>
      <c r="K618" s="67" t="s">
        <v>233</v>
      </c>
      <c r="L618" s="67" t="s">
        <v>3</v>
      </c>
      <c r="M618" s="67" t="s">
        <v>142</v>
      </c>
      <c r="N618" s="70">
        <v>1000</v>
      </c>
      <c r="O618" s="70">
        <v>5.6</v>
      </c>
      <c r="P618" s="70"/>
      <c r="Q618" s="98">
        <v>450000</v>
      </c>
      <c r="R618" s="70">
        <v>450</v>
      </c>
      <c r="S618" s="70">
        <v>0</v>
      </c>
    </row>
    <row r="619" spans="1:19" s="56" customFormat="1">
      <c r="A619" s="67" t="s">
        <v>520</v>
      </c>
      <c r="B619" s="68" t="s">
        <v>521</v>
      </c>
      <c r="C619" s="67" t="s">
        <v>137</v>
      </c>
      <c r="D619" s="67" t="s">
        <v>138</v>
      </c>
      <c r="E619" s="67" t="s">
        <v>139</v>
      </c>
      <c r="F619" s="67" t="s">
        <v>162</v>
      </c>
      <c r="G619" s="69" t="s">
        <v>305</v>
      </c>
      <c r="H619" s="67">
        <v>0</v>
      </c>
      <c r="I619" s="67">
        <v>26</v>
      </c>
      <c r="J619" s="67" t="s">
        <v>263</v>
      </c>
      <c r="K619" s="67" t="s">
        <v>259</v>
      </c>
      <c r="L619" s="67" t="s">
        <v>3</v>
      </c>
      <c r="M619" s="67" t="s">
        <v>142</v>
      </c>
      <c r="N619" s="70">
        <v>1000</v>
      </c>
      <c r="O619" s="70">
        <v>1E-3</v>
      </c>
      <c r="P619" s="70"/>
      <c r="Q619" s="98">
        <v>12000</v>
      </c>
      <c r="R619" s="70">
        <v>12</v>
      </c>
      <c r="S619" s="70">
        <v>0</v>
      </c>
    </row>
    <row r="620" spans="1:19" s="56" customFormat="1">
      <c r="A620" s="67" t="s">
        <v>520</v>
      </c>
      <c r="B620" s="68" t="s">
        <v>521</v>
      </c>
      <c r="C620" s="67" t="s">
        <v>137</v>
      </c>
      <c r="D620" s="67" t="s">
        <v>138</v>
      </c>
      <c r="E620" s="67" t="s">
        <v>139</v>
      </c>
      <c r="F620" s="67" t="s">
        <v>162</v>
      </c>
      <c r="G620" s="69" t="s">
        <v>305</v>
      </c>
      <c r="H620" s="67">
        <v>0</v>
      </c>
      <c r="I620" s="67">
        <v>28</v>
      </c>
      <c r="J620" s="67" t="s">
        <v>240</v>
      </c>
      <c r="K620" s="67" t="s">
        <v>237</v>
      </c>
      <c r="L620" s="67" t="s">
        <v>3</v>
      </c>
      <c r="M620" s="67" t="s">
        <v>142</v>
      </c>
      <c r="N620" s="70">
        <v>1000</v>
      </c>
      <c r="O620" s="70">
        <v>1E-3</v>
      </c>
      <c r="P620" s="70"/>
      <c r="Q620" s="98">
        <v>25000</v>
      </c>
      <c r="R620" s="70">
        <v>25</v>
      </c>
      <c r="S620" s="70">
        <v>0</v>
      </c>
    </row>
    <row r="621" spans="1:19" s="56" customFormat="1">
      <c r="A621" s="67" t="s">
        <v>520</v>
      </c>
      <c r="B621" s="68" t="s">
        <v>521</v>
      </c>
      <c r="C621" s="67" t="s">
        <v>137</v>
      </c>
      <c r="D621" s="67" t="s">
        <v>138</v>
      </c>
      <c r="E621" s="67" t="s">
        <v>139</v>
      </c>
      <c r="F621" s="67" t="s">
        <v>162</v>
      </c>
      <c r="G621" s="69" t="s">
        <v>305</v>
      </c>
      <c r="H621" s="67">
        <v>0</v>
      </c>
      <c r="I621" s="67">
        <v>29</v>
      </c>
      <c r="J621" s="67" t="s">
        <v>164</v>
      </c>
      <c r="K621" s="67" t="s">
        <v>74</v>
      </c>
      <c r="L621" s="67" t="s">
        <v>5</v>
      </c>
      <c r="M621" s="67" t="s">
        <v>142</v>
      </c>
      <c r="N621" s="70">
        <v>1000</v>
      </c>
      <c r="O621" s="70">
        <v>1E-3</v>
      </c>
      <c r="P621" s="70"/>
      <c r="Q621" s="98">
        <v>15000</v>
      </c>
      <c r="R621" s="70">
        <v>15</v>
      </c>
      <c r="S621" s="70">
        <v>0</v>
      </c>
    </row>
    <row r="622" spans="1:19" s="56" customFormat="1">
      <c r="A622" s="67" t="s">
        <v>520</v>
      </c>
      <c r="B622" s="68" t="s">
        <v>521</v>
      </c>
      <c r="C622" s="67" t="s">
        <v>137</v>
      </c>
      <c r="D622" s="67" t="s">
        <v>138</v>
      </c>
      <c r="E622" s="67" t="s">
        <v>139</v>
      </c>
      <c r="F622" s="67" t="s">
        <v>162</v>
      </c>
      <c r="G622" s="69" t="s">
        <v>305</v>
      </c>
      <c r="H622" s="67">
        <v>0</v>
      </c>
      <c r="I622" s="67">
        <v>30</v>
      </c>
      <c r="J622" s="67" t="s">
        <v>165</v>
      </c>
      <c r="K622" s="67" t="s">
        <v>80</v>
      </c>
      <c r="L622" s="67" t="s">
        <v>3</v>
      </c>
      <c r="M622" s="67" t="s">
        <v>142</v>
      </c>
      <c r="N622" s="70">
        <v>1000</v>
      </c>
      <c r="O622" s="70">
        <v>1E-3</v>
      </c>
      <c r="P622" s="70"/>
      <c r="Q622" s="98">
        <v>50</v>
      </c>
      <c r="R622" s="70">
        <v>0</v>
      </c>
      <c r="S622" s="70">
        <v>50</v>
      </c>
    </row>
    <row r="623" spans="1:19" s="56" customFormat="1">
      <c r="A623" s="67" t="s">
        <v>522</v>
      </c>
      <c r="B623" s="68" t="s">
        <v>523</v>
      </c>
      <c r="C623" s="67" t="s">
        <v>137</v>
      </c>
      <c r="D623" s="67" t="s">
        <v>138</v>
      </c>
      <c r="E623" s="67" t="s">
        <v>139</v>
      </c>
      <c r="F623" s="67" t="s">
        <v>140</v>
      </c>
      <c r="G623" s="69" t="s">
        <v>305</v>
      </c>
      <c r="H623" s="67">
        <v>0</v>
      </c>
      <c r="I623" s="67">
        <v>1</v>
      </c>
      <c r="J623" s="67" t="s">
        <v>141</v>
      </c>
      <c r="K623" s="67" t="s">
        <v>37</v>
      </c>
      <c r="L623" s="67" t="s">
        <v>3</v>
      </c>
      <c r="M623" s="67" t="s">
        <v>142</v>
      </c>
      <c r="N623" s="70">
        <v>1000</v>
      </c>
      <c r="O623" s="70">
        <v>200</v>
      </c>
      <c r="P623" s="70"/>
      <c r="Q623" s="98">
        <v>1260</v>
      </c>
      <c r="R623" s="70">
        <v>1</v>
      </c>
      <c r="S623" s="70">
        <v>260</v>
      </c>
    </row>
    <row r="624" spans="1:19" s="56" customFormat="1">
      <c r="A624" s="67" t="s">
        <v>522</v>
      </c>
      <c r="B624" s="68" t="s">
        <v>523</v>
      </c>
      <c r="C624" s="67" t="s">
        <v>137</v>
      </c>
      <c r="D624" s="67" t="s">
        <v>138</v>
      </c>
      <c r="E624" s="67" t="s">
        <v>139</v>
      </c>
      <c r="F624" s="67" t="s">
        <v>140</v>
      </c>
      <c r="G624" s="69" t="s">
        <v>305</v>
      </c>
      <c r="H624" s="67">
        <v>0</v>
      </c>
      <c r="I624" s="67">
        <v>2</v>
      </c>
      <c r="J624" s="67" t="s">
        <v>346</v>
      </c>
      <c r="K624" s="67" t="s">
        <v>343</v>
      </c>
      <c r="L624" s="67" t="s">
        <v>3</v>
      </c>
      <c r="M624" s="67" t="s">
        <v>142</v>
      </c>
      <c r="N624" s="70">
        <v>1000</v>
      </c>
      <c r="O624" s="70">
        <v>1E-3</v>
      </c>
      <c r="P624" s="70"/>
      <c r="Q624" s="98">
        <v>9918</v>
      </c>
      <c r="R624" s="70">
        <v>9</v>
      </c>
      <c r="S624" s="70">
        <v>918</v>
      </c>
    </row>
    <row r="625" spans="1:19" s="56" customFormat="1">
      <c r="A625" s="67" t="s">
        <v>522</v>
      </c>
      <c r="B625" s="68" t="s">
        <v>523</v>
      </c>
      <c r="C625" s="67" t="s">
        <v>137</v>
      </c>
      <c r="D625" s="67" t="s">
        <v>138</v>
      </c>
      <c r="E625" s="67" t="s">
        <v>139</v>
      </c>
      <c r="F625" s="67" t="s">
        <v>140</v>
      </c>
      <c r="G625" s="69" t="s">
        <v>305</v>
      </c>
      <c r="H625" s="67">
        <v>0</v>
      </c>
      <c r="I625" s="67">
        <v>3</v>
      </c>
      <c r="J625" s="67" t="s">
        <v>169</v>
      </c>
      <c r="K625" s="67" t="s">
        <v>64</v>
      </c>
      <c r="L625" s="67" t="s">
        <v>3</v>
      </c>
      <c r="M625" s="67" t="s">
        <v>142</v>
      </c>
      <c r="N625" s="70">
        <v>1000</v>
      </c>
      <c r="O625" s="70">
        <v>1E-3</v>
      </c>
      <c r="P625" s="70"/>
      <c r="Q625" s="98">
        <v>185</v>
      </c>
      <c r="R625" s="70">
        <v>0</v>
      </c>
      <c r="S625" s="70">
        <v>185</v>
      </c>
    </row>
    <row r="626" spans="1:19" s="56" customFormat="1">
      <c r="A626" s="67" t="s">
        <v>522</v>
      </c>
      <c r="B626" s="68" t="s">
        <v>523</v>
      </c>
      <c r="C626" s="67" t="s">
        <v>137</v>
      </c>
      <c r="D626" s="67" t="s">
        <v>138</v>
      </c>
      <c r="E626" s="67" t="s">
        <v>139</v>
      </c>
      <c r="F626" s="67" t="s">
        <v>140</v>
      </c>
      <c r="G626" s="69" t="s">
        <v>305</v>
      </c>
      <c r="H626" s="67">
        <v>0</v>
      </c>
      <c r="I626" s="67">
        <v>4</v>
      </c>
      <c r="J626" s="67" t="s">
        <v>143</v>
      </c>
      <c r="K626" s="67" t="s">
        <v>90</v>
      </c>
      <c r="L626" s="67" t="s">
        <v>3</v>
      </c>
      <c r="M626" s="67" t="s">
        <v>142</v>
      </c>
      <c r="N626" s="70">
        <v>1000</v>
      </c>
      <c r="O626" s="70">
        <v>359.59699999999998</v>
      </c>
      <c r="P626" s="70"/>
      <c r="Q626" s="98">
        <v>2512</v>
      </c>
      <c r="R626" s="70">
        <v>2</v>
      </c>
      <c r="S626" s="70">
        <v>512</v>
      </c>
    </row>
    <row r="627" spans="1:19" s="56" customFormat="1">
      <c r="A627" s="67" t="s">
        <v>522</v>
      </c>
      <c r="B627" s="68" t="s">
        <v>523</v>
      </c>
      <c r="C627" s="67" t="s">
        <v>137</v>
      </c>
      <c r="D627" s="67" t="s">
        <v>138</v>
      </c>
      <c r="E627" s="67" t="s">
        <v>139</v>
      </c>
      <c r="F627" s="67" t="s">
        <v>140</v>
      </c>
      <c r="G627" s="69" t="s">
        <v>305</v>
      </c>
      <c r="H627" s="67">
        <v>0</v>
      </c>
      <c r="I627" s="67">
        <v>5</v>
      </c>
      <c r="J627" s="67" t="s">
        <v>250</v>
      </c>
      <c r="K627" s="67" t="s">
        <v>38</v>
      </c>
      <c r="L627" s="67" t="s">
        <v>3</v>
      </c>
      <c r="M627" s="67" t="s">
        <v>142</v>
      </c>
      <c r="N627" s="70">
        <v>1000</v>
      </c>
      <c r="O627" s="70">
        <v>1E-3</v>
      </c>
      <c r="P627" s="70"/>
      <c r="Q627" s="98">
        <v>2651</v>
      </c>
      <c r="R627" s="70">
        <v>2</v>
      </c>
      <c r="S627" s="70">
        <v>651</v>
      </c>
    </row>
    <row r="628" spans="1:19" s="56" customFormat="1">
      <c r="A628" s="67" t="s">
        <v>522</v>
      </c>
      <c r="B628" s="68" t="s">
        <v>523</v>
      </c>
      <c r="C628" s="67" t="s">
        <v>137</v>
      </c>
      <c r="D628" s="67" t="s">
        <v>138</v>
      </c>
      <c r="E628" s="67" t="s">
        <v>139</v>
      </c>
      <c r="F628" s="67" t="s">
        <v>140</v>
      </c>
      <c r="G628" s="69" t="s">
        <v>305</v>
      </c>
      <c r="H628" s="67">
        <v>0</v>
      </c>
      <c r="I628" s="67">
        <v>6</v>
      </c>
      <c r="J628" s="67" t="s">
        <v>144</v>
      </c>
      <c r="K628" s="67" t="s">
        <v>26</v>
      </c>
      <c r="L628" s="67" t="s">
        <v>3</v>
      </c>
      <c r="M628" s="67" t="s">
        <v>142</v>
      </c>
      <c r="N628" s="70">
        <v>1000</v>
      </c>
      <c r="O628" s="70">
        <v>1E-3</v>
      </c>
      <c r="P628" s="70"/>
      <c r="Q628" s="98">
        <v>2167</v>
      </c>
      <c r="R628" s="70">
        <v>2</v>
      </c>
      <c r="S628" s="70">
        <v>167</v>
      </c>
    </row>
    <row r="629" spans="1:19" s="56" customFormat="1">
      <c r="A629" s="67" t="s">
        <v>522</v>
      </c>
      <c r="B629" s="68" t="s">
        <v>523</v>
      </c>
      <c r="C629" s="67" t="s">
        <v>137</v>
      </c>
      <c r="D629" s="67" t="s">
        <v>138</v>
      </c>
      <c r="E629" s="67" t="s">
        <v>139</v>
      </c>
      <c r="F629" s="67" t="s">
        <v>140</v>
      </c>
      <c r="G629" s="69" t="s">
        <v>305</v>
      </c>
      <c r="H629" s="67">
        <v>0</v>
      </c>
      <c r="I629" s="67">
        <v>7</v>
      </c>
      <c r="J629" s="67" t="s">
        <v>145</v>
      </c>
      <c r="K629" s="67" t="s">
        <v>27</v>
      </c>
      <c r="L629" s="67" t="s">
        <v>3</v>
      </c>
      <c r="M629" s="67" t="s">
        <v>142</v>
      </c>
      <c r="N629" s="70">
        <v>1000</v>
      </c>
      <c r="O629" s="70">
        <v>1E-3</v>
      </c>
      <c r="P629" s="70"/>
      <c r="Q629" s="98">
        <v>4236</v>
      </c>
      <c r="R629" s="70">
        <v>4</v>
      </c>
      <c r="S629" s="70">
        <v>236</v>
      </c>
    </row>
    <row r="630" spans="1:19" s="56" customFormat="1">
      <c r="A630" s="67" t="s">
        <v>522</v>
      </c>
      <c r="B630" s="68" t="s">
        <v>523</v>
      </c>
      <c r="C630" s="67" t="s">
        <v>137</v>
      </c>
      <c r="D630" s="67" t="s">
        <v>138</v>
      </c>
      <c r="E630" s="67" t="s">
        <v>139</v>
      </c>
      <c r="F630" s="67" t="s">
        <v>140</v>
      </c>
      <c r="G630" s="69" t="s">
        <v>305</v>
      </c>
      <c r="H630" s="67">
        <v>0</v>
      </c>
      <c r="I630" s="67">
        <v>8</v>
      </c>
      <c r="J630" s="67" t="s">
        <v>290</v>
      </c>
      <c r="K630" s="67" t="s">
        <v>238</v>
      </c>
      <c r="L630" s="67" t="s">
        <v>3</v>
      </c>
      <c r="M630" s="67" t="s">
        <v>142</v>
      </c>
      <c r="N630" s="70">
        <v>1000</v>
      </c>
      <c r="O630" s="70">
        <v>1E-3</v>
      </c>
      <c r="P630" s="70"/>
      <c r="Q630" s="98">
        <v>223</v>
      </c>
      <c r="R630" s="70">
        <v>0</v>
      </c>
      <c r="S630" s="70">
        <v>223</v>
      </c>
    </row>
    <row r="631" spans="1:19" s="56" customFormat="1">
      <c r="A631" s="67" t="s">
        <v>522</v>
      </c>
      <c r="B631" s="68" t="s">
        <v>523</v>
      </c>
      <c r="C631" s="67" t="s">
        <v>137</v>
      </c>
      <c r="D631" s="67" t="s">
        <v>138</v>
      </c>
      <c r="E631" s="67" t="s">
        <v>139</v>
      </c>
      <c r="F631" s="67" t="s">
        <v>140</v>
      </c>
      <c r="G631" s="69" t="s">
        <v>305</v>
      </c>
      <c r="H631" s="67">
        <v>0</v>
      </c>
      <c r="I631" s="67">
        <v>9</v>
      </c>
      <c r="J631" s="67" t="s">
        <v>171</v>
      </c>
      <c r="K631" s="67" t="s">
        <v>102</v>
      </c>
      <c r="L631" s="67" t="s">
        <v>3</v>
      </c>
      <c r="M631" s="67" t="s">
        <v>142</v>
      </c>
      <c r="N631" s="70">
        <v>1000</v>
      </c>
      <c r="O631" s="70">
        <v>1E-3</v>
      </c>
      <c r="P631" s="70"/>
      <c r="Q631" s="98">
        <v>3543</v>
      </c>
      <c r="R631" s="70">
        <v>3</v>
      </c>
      <c r="S631" s="70">
        <v>543</v>
      </c>
    </row>
    <row r="632" spans="1:19" s="56" customFormat="1">
      <c r="A632" s="67" t="s">
        <v>522</v>
      </c>
      <c r="B632" s="68" t="s">
        <v>523</v>
      </c>
      <c r="C632" s="67" t="s">
        <v>137</v>
      </c>
      <c r="D632" s="67" t="s">
        <v>138</v>
      </c>
      <c r="E632" s="67" t="s">
        <v>139</v>
      </c>
      <c r="F632" s="67" t="s">
        <v>140</v>
      </c>
      <c r="G632" s="69" t="s">
        <v>305</v>
      </c>
      <c r="H632" s="67">
        <v>0</v>
      </c>
      <c r="I632" s="67">
        <v>10</v>
      </c>
      <c r="J632" s="67" t="s">
        <v>146</v>
      </c>
      <c r="K632" s="67" t="s">
        <v>46</v>
      </c>
      <c r="L632" s="67" t="s">
        <v>3</v>
      </c>
      <c r="M632" s="67" t="s">
        <v>142</v>
      </c>
      <c r="N632" s="70">
        <v>1000</v>
      </c>
      <c r="O632" s="70">
        <v>1E-3</v>
      </c>
      <c r="P632" s="70"/>
      <c r="Q632" s="98">
        <v>3043</v>
      </c>
      <c r="R632" s="70">
        <v>3</v>
      </c>
      <c r="S632" s="70">
        <v>43</v>
      </c>
    </row>
    <row r="633" spans="1:19" s="56" customFormat="1">
      <c r="A633" s="67" t="s">
        <v>522</v>
      </c>
      <c r="B633" s="68" t="s">
        <v>523</v>
      </c>
      <c r="C633" s="67" t="s">
        <v>137</v>
      </c>
      <c r="D633" s="67" t="s">
        <v>138</v>
      </c>
      <c r="E633" s="67" t="s">
        <v>139</v>
      </c>
      <c r="F633" s="67" t="s">
        <v>140</v>
      </c>
      <c r="G633" s="69" t="s">
        <v>305</v>
      </c>
      <c r="H633" s="67">
        <v>0</v>
      </c>
      <c r="I633" s="67">
        <v>11</v>
      </c>
      <c r="J633" s="67" t="s">
        <v>147</v>
      </c>
      <c r="K633" s="67" t="s">
        <v>41</v>
      </c>
      <c r="L633" s="67" t="s">
        <v>3</v>
      </c>
      <c r="M633" s="67" t="s">
        <v>142</v>
      </c>
      <c r="N633" s="70">
        <v>1000</v>
      </c>
      <c r="O633" s="70">
        <v>1E-3</v>
      </c>
      <c r="P633" s="70"/>
      <c r="Q633" s="98">
        <v>9661</v>
      </c>
      <c r="R633" s="70">
        <v>9</v>
      </c>
      <c r="S633" s="70">
        <v>661</v>
      </c>
    </row>
    <row r="634" spans="1:19" s="56" customFormat="1">
      <c r="A634" s="67" t="s">
        <v>522</v>
      </c>
      <c r="B634" s="68" t="s">
        <v>523</v>
      </c>
      <c r="C634" s="67" t="s">
        <v>137</v>
      </c>
      <c r="D634" s="67" t="s">
        <v>138</v>
      </c>
      <c r="E634" s="67" t="s">
        <v>139</v>
      </c>
      <c r="F634" s="67" t="s">
        <v>140</v>
      </c>
      <c r="G634" s="69" t="s">
        <v>305</v>
      </c>
      <c r="H634" s="67">
        <v>0</v>
      </c>
      <c r="I634" s="67">
        <v>12</v>
      </c>
      <c r="J634" s="67" t="s">
        <v>151</v>
      </c>
      <c r="K634" s="67" t="s">
        <v>28</v>
      </c>
      <c r="L634" s="67" t="s">
        <v>3</v>
      </c>
      <c r="M634" s="67" t="s">
        <v>142</v>
      </c>
      <c r="N634" s="70">
        <v>1000</v>
      </c>
      <c r="O634" s="70">
        <v>1E-3</v>
      </c>
      <c r="P634" s="70"/>
      <c r="Q634" s="98">
        <v>215</v>
      </c>
      <c r="R634" s="70">
        <v>0</v>
      </c>
      <c r="S634" s="70">
        <v>215</v>
      </c>
    </row>
    <row r="635" spans="1:19" s="56" customFormat="1">
      <c r="A635" s="67" t="s">
        <v>522</v>
      </c>
      <c r="B635" s="68" t="s">
        <v>523</v>
      </c>
      <c r="C635" s="67" t="s">
        <v>137</v>
      </c>
      <c r="D635" s="67" t="s">
        <v>138</v>
      </c>
      <c r="E635" s="67" t="s">
        <v>139</v>
      </c>
      <c r="F635" s="67" t="s">
        <v>140</v>
      </c>
      <c r="G635" s="69" t="s">
        <v>305</v>
      </c>
      <c r="H635" s="67">
        <v>0</v>
      </c>
      <c r="I635" s="67">
        <v>13</v>
      </c>
      <c r="J635" s="67" t="s">
        <v>170</v>
      </c>
      <c r="K635" s="67" t="s">
        <v>29</v>
      </c>
      <c r="L635" s="67" t="s">
        <v>3</v>
      </c>
      <c r="M635" s="67" t="s">
        <v>142</v>
      </c>
      <c r="N635" s="70">
        <v>1000</v>
      </c>
      <c r="O635" s="70">
        <v>1E-3</v>
      </c>
      <c r="P635" s="70"/>
      <c r="Q635" s="98">
        <v>3220</v>
      </c>
      <c r="R635" s="70">
        <v>3</v>
      </c>
      <c r="S635" s="70">
        <v>220</v>
      </c>
    </row>
    <row r="636" spans="1:19" s="56" customFormat="1">
      <c r="A636" s="67" t="s">
        <v>522</v>
      </c>
      <c r="B636" s="68" t="s">
        <v>523</v>
      </c>
      <c r="C636" s="67" t="s">
        <v>137</v>
      </c>
      <c r="D636" s="67" t="s">
        <v>138</v>
      </c>
      <c r="E636" s="67" t="s">
        <v>139</v>
      </c>
      <c r="F636" s="67" t="s">
        <v>140</v>
      </c>
      <c r="G636" s="69" t="s">
        <v>305</v>
      </c>
      <c r="H636" s="67">
        <v>0</v>
      </c>
      <c r="I636" s="67">
        <v>14</v>
      </c>
      <c r="J636" s="67" t="s">
        <v>148</v>
      </c>
      <c r="K636" s="67" t="s">
        <v>30</v>
      </c>
      <c r="L636" s="67" t="s">
        <v>3</v>
      </c>
      <c r="M636" s="67" t="s">
        <v>142</v>
      </c>
      <c r="N636" s="70">
        <v>1000</v>
      </c>
      <c r="O636" s="70">
        <v>1E-3</v>
      </c>
      <c r="P636" s="70"/>
      <c r="Q636" s="98">
        <v>39867</v>
      </c>
      <c r="R636" s="70">
        <v>39</v>
      </c>
      <c r="S636" s="70">
        <v>867</v>
      </c>
    </row>
    <row r="637" spans="1:19" s="56" customFormat="1">
      <c r="A637" s="67" t="s">
        <v>522</v>
      </c>
      <c r="B637" s="68" t="s">
        <v>523</v>
      </c>
      <c r="C637" s="67" t="s">
        <v>137</v>
      </c>
      <c r="D637" s="67" t="s">
        <v>138</v>
      </c>
      <c r="E637" s="67" t="s">
        <v>139</v>
      </c>
      <c r="F637" s="67" t="s">
        <v>140</v>
      </c>
      <c r="G637" s="69" t="s">
        <v>305</v>
      </c>
      <c r="H637" s="67">
        <v>0</v>
      </c>
      <c r="I637" s="67">
        <v>15</v>
      </c>
      <c r="J637" s="67" t="s">
        <v>314</v>
      </c>
      <c r="K637" s="67" t="s">
        <v>281</v>
      </c>
      <c r="L637" s="67" t="s">
        <v>3</v>
      </c>
      <c r="M637" s="67" t="s">
        <v>142</v>
      </c>
      <c r="N637" s="70">
        <v>1000</v>
      </c>
      <c r="O637" s="70">
        <v>1E-3</v>
      </c>
      <c r="P637" s="70"/>
      <c r="Q637" s="98">
        <v>300000</v>
      </c>
      <c r="R637" s="70">
        <v>300</v>
      </c>
      <c r="S637" s="70">
        <v>0</v>
      </c>
    </row>
    <row r="638" spans="1:19" s="56" customFormat="1">
      <c r="A638" s="67" t="s">
        <v>522</v>
      </c>
      <c r="B638" s="68" t="s">
        <v>523</v>
      </c>
      <c r="C638" s="67" t="s">
        <v>137</v>
      </c>
      <c r="D638" s="67" t="s">
        <v>138</v>
      </c>
      <c r="E638" s="67" t="s">
        <v>139</v>
      </c>
      <c r="F638" s="67" t="s">
        <v>140</v>
      </c>
      <c r="G638" s="69" t="s">
        <v>305</v>
      </c>
      <c r="H638" s="67">
        <v>0</v>
      </c>
      <c r="I638" s="67">
        <v>16</v>
      </c>
      <c r="J638" s="67" t="s">
        <v>500</v>
      </c>
      <c r="K638" s="67" t="s">
        <v>232</v>
      </c>
      <c r="L638" s="67" t="s">
        <v>3</v>
      </c>
      <c r="M638" s="67" t="s">
        <v>142</v>
      </c>
      <c r="N638" s="70">
        <v>1000</v>
      </c>
      <c r="O638" s="70">
        <v>1E-3</v>
      </c>
      <c r="P638" s="70"/>
      <c r="Q638" s="98">
        <v>60000</v>
      </c>
      <c r="R638" s="70">
        <v>60</v>
      </c>
      <c r="S638" s="70">
        <v>0</v>
      </c>
    </row>
    <row r="639" spans="1:19" s="56" customFormat="1">
      <c r="A639" s="67" t="s">
        <v>522</v>
      </c>
      <c r="B639" s="68" t="s">
        <v>523</v>
      </c>
      <c r="C639" s="67" t="s">
        <v>137</v>
      </c>
      <c r="D639" s="67" t="s">
        <v>138</v>
      </c>
      <c r="E639" s="67" t="s">
        <v>139</v>
      </c>
      <c r="F639" s="67" t="s">
        <v>140</v>
      </c>
      <c r="G639" s="69" t="s">
        <v>305</v>
      </c>
      <c r="H639" s="67">
        <v>0</v>
      </c>
      <c r="I639" s="67">
        <v>17</v>
      </c>
      <c r="J639" s="67" t="s">
        <v>510</v>
      </c>
      <c r="K639" s="67" t="s">
        <v>257</v>
      </c>
      <c r="L639" s="67" t="s">
        <v>3</v>
      </c>
      <c r="M639" s="67" t="s">
        <v>142</v>
      </c>
      <c r="N639" s="70">
        <v>1000</v>
      </c>
      <c r="O639" s="70">
        <v>1E-3</v>
      </c>
      <c r="P639" s="70"/>
      <c r="Q639" s="98">
        <v>20000</v>
      </c>
      <c r="R639" s="70">
        <v>20</v>
      </c>
      <c r="S639" s="70">
        <v>0</v>
      </c>
    </row>
    <row r="640" spans="1:19" s="56" customFormat="1">
      <c r="A640" s="67" t="s">
        <v>522</v>
      </c>
      <c r="B640" s="68" t="s">
        <v>523</v>
      </c>
      <c r="C640" s="67" t="s">
        <v>137</v>
      </c>
      <c r="D640" s="67" t="s">
        <v>138</v>
      </c>
      <c r="E640" s="67" t="s">
        <v>139</v>
      </c>
      <c r="F640" s="67" t="s">
        <v>153</v>
      </c>
      <c r="G640" s="69" t="s">
        <v>305</v>
      </c>
      <c r="H640" s="67">
        <v>0</v>
      </c>
      <c r="I640" s="67">
        <v>18</v>
      </c>
      <c r="J640" s="67" t="s">
        <v>155</v>
      </c>
      <c r="K640" s="67" t="s">
        <v>33</v>
      </c>
      <c r="L640" s="67" t="s">
        <v>3</v>
      </c>
      <c r="M640" s="67" t="s">
        <v>142</v>
      </c>
      <c r="N640" s="70">
        <v>1000</v>
      </c>
      <c r="O640" s="70">
        <v>13.6</v>
      </c>
      <c r="P640" s="70"/>
      <c r="Q640" s="98">
        <v>160000</v>
      </c>
      <c r="R640" s="70">
        <v>160</v>
      </c>
      <c r="S640" s="70">
        <v>0</v>
      </c>
    </row>
    <row r="641" spans="1:19" s="56" customFormat="1">
      <c r="A641" s="67" t="s">
        <v>522</v>
      </c>
      <c r="B641" s="68" t="s">
        <v>523</v>
      </c>
      <c r="C641" s="67" t="s">
        <v>137</v>
      </c>
      <c r="D641" s="67" t="s">
        <v>138</v>
      </c>
      <c r="E641" s="67" t="s">
        <v>139</v>
      </c>
      <c r="F641" s="67" t="s">
        <v>167</v>
      </c>
      <c r="G641" s="69" t="s">
        <v>305</v>
      </c>
      <c r="H641" s="67">
        <v>0</v>
      </c>
      <c r="I641" s="67">
        <v>19</v>
      </c>
      <c r="J641" s="67" t="s">
        <v>278</v>
      </c>
      <c r="K641" s="67" t="s">
        <v>81</v>
      </c>
      <c r="L641" s="67" t="s">
        <v>3</v>
      </c>
      <c r="M641" s="67" t="s">
        <v>142</v>
      </c>
      <c r="N641" s="70">
        <v>1000</v>
      </c>
      <c r="O641" s="70">
        <v>1E-3</v>
      </c>
      <c r="P641" s="70"/>
      <c r="Q641" s="98">
        <v>24000</v>
      </c>
      <c r="R641" s="70">
        <v>24</v>
      </c>
      <c r="S641" s="70">
        <v>0</v>
      </c>
    </row>
    <row r="642" spans="1:19" s="56" customFormat="1">
      <c r="A642" s="67" t="s">
        <v>522</v>
      </c>
      <c r="B642" s="68" t="s">
        <v>523</v>
      </c>
      <c r="C642" s="67" t="s">
        <v>137</v>
      </c>
      <c r="D642" s="67" t="s">
        <v>138</v>
      </c>
      <c r="E642" s="67" t="s">
        <v>139</v>
      </c>
      <c r="F642" s="67" t="s">
        <v>159</v>
      </c>
      <c r="G642" s="69" t="s">
        <v>305</v>
      </c>
      <c r="H642" s="67">
        <v>0</v>
      </c>
      <c r="I642" s="67">
        <v>21</v>
      </c>
      <c r="J642" s="67" t="s">
        <v>160</v>
      </c>
      <c r="K642" s="67" t="s">
        <v>62</v>
      </c>
      <c r="L642" s="67" t="s">
        <v>3</v>
      </c>
      <c r="M642" s="67" t="s">
        <v>142</v>
      </c>
      <c r="N642" s="70">
        <v>1000</v>
      </c>
      <c r="O642" s="70">
        <v>24</v>
      </c>
      <c r="P642" s="70"/>
      <c r="Q642" s="98">
        <v>60000</v>
      </c>
      <c r="R642" s="70">
        <v>60</v>
      </c>
      <c r="S642" s="70">
        <v>0</v>
      </c>
    </row>
    <row r="643" spans="1:19" s="56" customFormat="1">
      <c r="A643" s="67" t="s">
        <v>522</v>
      </c>
      <c r="B643" s="68" t="s">
        <v>523</v>
      </c>
      <c r="C643" s="67" t="s">
        <v>137</v>
      </c>
      <c r="D643" s="67" t="s">
        <v>138</v>
      </c>
      <c r="E643" s="67" t="s">
        <v>139</v>
      </c>
      <c r="F643" s="67" t="s">
        <v>159</v>
      </c>
      <c r="G643" s="69" t="s">
        <v>305</v>
      </c>
      <c r="H643" s="67">
        <v>0</v>
      </c>
      <c r="I643" s="67">
        <v>22</v>
      </c>
      <c r="J643" s="67" t="s">
        <v>161</v>
      </c>
      <c r="K643" s="67" t="s">
        <v>63</v>
      </c>
      <c r="L643" s="67" t="s">
        <v>3</v>
      </c>
      <c r="M643" s="67" t="s">
        <v>142</v>
      </c>
      <c r="N643" s="70">
        <v>1000</v>
      </c>
      <c r="O643" s="70">
        <v>23</v>
      </c>
      <c r="P643" s="70"/>
      <c r="Q643" s="98">
        <v>60000</v>
      </c>
      <c r="R643" s="70">
        <v>60</v>
      </c>
      <c r="S643" s="70">
        <v>0</v>
      </c>
    </row>
    <row r="644" spans="1:19" s="56" customFormat="1">
      <c r="A644" s="67" t="s">
        <v>522</v>
      </c>
      <c r="B644" s="68" t="s">
        <v>523</v>
      </c>
      <c r="C644" s="67" t="s">
        <v>137</v>
      </c>
      <c r="D644" s="67" t="s">
        <v>138</v>
      </c>
      <c r="E644" s="67" t="s">
        <v>139</v>
      </c>
      <c r="F644" s="67" t="s">
        <v>166</v>
      </c>
      <c r="G644" s="69" t="s">
        <v>305</v>
      </c>
      <c r="H644" s="67">
        <v>0</v>
      </c>
      <c r="I644" s="67">
        <v>23</v>
      </c>
      <c r="J644" s="67" t="s">
        <v>157</v>
      </c>
      <c r="K644" s="67" t="s">
        <v>48</v>
      </c>
      <c r="L644" s="67" t="s">
        <v>93</v>
      </c>
      <c r="M644" s="67" t="s">
        <v>158</v>
      </c>
      <c r="N644" s="70">
        <v>1000</v>
      </c>
      <c r="O644" s="70">
        <v>1E-3</v>
      </c>
      <c r="P644" s="70"/>
      <c r="Q644" s="98">
        <v>20000</v>
      </c>
      <c r="R644" s="70">
        <v>20</v>
      </c>
      <c r="S644" s="70">
        <v>0</v>
      </c>
    </row>
    <row r="645" spans="1:19" s="56" customFormat="1">
      <c r="A645" s="67" t="s">
        <v>522</v>
      </c>
      <c r="B645" s="68" t="s">
        <v>523</v>
      </c>
      <c r="C645" s="67" t="s">
        <v>137</v>
      </c>
      <c r="D645" s="67" t="s">
        <v>138</v>
      </c>
      <c r="E645" s="67" t="s">
        <v>139</v>
      </c>
      <c r="F645" s="67" t="s">
        <v>166</v>
      </c>
      <c r="G645" s="69" t="s">
        <v>305</v>
      </c>
      <c r="H645" s="67">
        <v>0</v>
      </c>
      <c r="I645" s="67">
        <v>24</v>
      </c>
      <c r="J645" s="67" t="s">
        <v>306</v>
      </c>
      <c r="K645" s="67" t="s">
        <v>52</v>
      </c>
      <c r="L645" s="67" t="s">
        <v>3</v>
      </c>
      <c r="M645" s="67" t="s">
        <v>142</v>
      </c>
      <c r="N645" s="70">
        <v>1000</v>
      </c>
      <c r="O645" s="70">
        <v>1E-3</v>
      </c>
      <c r="P645" s="70"/>
      <c r="Q645" s="98">
        <v>300000</v>
      </c>
      <c r="R645" s="70">
        <v>300</v>
      </c>
      <c r="S645" s="70">
        <v>0</v>
      </c>
    </row>
    <row r="646" spans="1:19" s="56" customFormat="1">
      <c r="A646" s="67" t="s">
        <v>522</v>
      </c>
      <c r="B646" s="68" t="s">
        <v>523</v>
      </c>
      <c r="C646" s="67" t="s">
        <v>137</v>
      </c>
      <c r="D646" s="67" t="s">
        <v>138</v>
      </c>
      <c r="E646" s="67" t="s">
        <v>139</v>
      </c>
      <c r="F646" s="67" t="s">
        <v>156</v>
      </c>
      <c r="G646" s="69" t="s">
        <v>305</v>
      </c>
      <c r="H646" s="67">
        <v>0</v>
      </c>
      <c r="I646" s="67">
        <v>25</v>
      </c>
      <c r="J646" s="67" t="s">
        <v>373</v>
      </c>
      <c r="K646" s="67" t="s">
        <v>35</v>
      </c>
      <c r="L646" s="67" t="s">
        <v>3</v>
      </c>
      <c r="M646" s="67" t="s">
        <v>142</v>
      </c>
      <c r="N646" s="70">
        <v>1000</v>
      </c>
      <c r="O646" s="70">
        <v>1E-3</v>
      </c>
      <c r="P646" s="70"/>
      <c r="Q646" s="98">
        <v>4000</v>
      </c>
      <c r="R646" s="70">
        <v>4</v>
      </c>
      <c r="S646" s="70">
        <v>0</v>
      </c>
    </row>
    <row r="647" spans="1:19" s="56" customFormat="1">
      <c r="A647" s="67" t="s">
        <v>522</v>
      </c>
      <c r="B647" s="68" t="s">
        <v>523</v>
      </c>
      <c r="C647" s="67" t="s">
        <v>137</v>
      </c>
      <c r="D647" s="67" t="s">
        <v>138</v>
      </c>
      <c r="E647" s="67" t="s">
        <v>139</v>
      </c>
      <c r="F647" s="67" t="s">
        <v>156</v>
      </c>
      <c r="G647" s="69" t="s">
        <v>305</v>
      </c>
      <c r="H647" s="67">
        <v>0</v>
      </c>
      <c r="I647" s="67">
        <v>26</v>
      </c>
      <c r="J647" s="67" t="s">
        <v>374</v>
      </c>
      <c r="K647" s="67" t="s">
        <v>44</v>
      </c>
      <c r="L647" s="67" t="s">
        <v>3</v>
      </c>
      <c r="M647" s="67" t="s">
        <v>142</v>
      </c>
      <c r="N647" s="70">
        <v>1000</v>
      </c>
      <c r="O647" s="70">
        <v>1E-3</v>
      </c>
      <c r="P647" s="70"/>
      <c r="Q647" s="98">
        <v>2000</v>
      </c>
      <c r="R647" s="70">
        <v>2</v>
      </c>
      <c r="S647" s="70">
        <v>0</v>
      </c>
    </row>
    <row r="648" spans="1:19" s="56" customFormat="1">
      <c r="A648" s="67" t="s">
        <v>522</v>
      </c>
      <c r="B648" s="68" t="s">
        <v>523</v>
      </c>
      <c r="C648" s="67" t="s">
        <v>137</v>
      </c>
      <c r="D648" s="67" t="s">
        <v>138</v>
      </c>
      <c r="E648" s="67" t="s">
        <v>139</v>
      </c>
      <c r="F648" s="67" t="s">
        <v>162</v>
      </c>
      <c r="G648" s="69" t="s">
        <v>305</v>
      </c>
      <c r="H648" s="67">
        <v>0</v>
      </c>
      <c r="I648" s="67">
        <v>27</v>
      </c>
      <c r="J648" s="67" t="s">
        <v>234</v>
      </c>
      <c r="K648" s="67" t="s">
        <v>233</v>
      </c>
      <c r="L648" s="67" t="s">
        <v>3</v>
      </c>
      <c r="M648" s="67" t="s">
        <v>142</v>
      </c>
      <c r="N648" s="70">
        <v>1000</v>
      </c>
      <c r="O648" s="70">
        <v>5.6</v>
      </c>
      <c r="P648" s="70"/>
      <c r="Q648" s="98">
        <v>475000</v>
      </c>
      <c r="R648" s="70">
        <v>475</v>
      </c>
      <c r="S648" s="70">
        <v>0</v>
      </c>
    </row>
    <row r="649" spans="1:19" s="56" customFormat="1">
      <c r="A649" s="67" t="s">
        <v>522</v>
      </c>
      <c r="B649" s="68" t="s">
        <v>523</v>
      </c>
      <c r="C649" s="67" t="s">
        <v>137</v>
      </c>
      <c r="D649" s="67" t="s">
        <v>138</v>
      </c>
      <c r="E649" s="67" t="s">
        <v>139</v>
      </c>
      <c r="F649" s="67" t="s">
        <v>162</v>
      </c>
      <c r="G649" s="69" t="s">
        <v>305</v>
      </c>
      <c r="H649" s="67">
        <v>0</v>
      </c>
      <c r="I649" s="67">
        <v>29</v>
      </c>
      <c r="J649" s="67" t="s">
        <v>263</v>
      </c>
      <c r="K649" s="67" t="s">
        <v>259</v>
      </c>
      <c r="L649" s="67" t="s">
        <v>3</v>
      </c>
      <c r="M649" s="67" t="s">
        <v>142</v>
      </c>
      <c r="N649" s="70">
        <v>1000</v>
      </c>
      <c r="O649" s="70">
        <v>0</v>
      </c>
      <c r="P649" s="70"/>
      <c r="Q649" s="98">
        <v>9000</v>
      </c>
      <c r="R649" s="70">
        <v>9</v>
      </c>
      <c r="S649" s="70">
        <v>0</v>
      </c>
    </row>
    <row r="650" spans="1:19" s="56" customFormat="1">
      <c r="A650" s="67" t="s">
        <v>522</v>
      </c>
      <c r="B650" s="68" t="s">
        <v>523</v>
      </c>
      <c r="C650" s="67" t="s">
        <v>137</v>
      </c>
      <c r="D650" s="67" t="s">
        <v>138</v>
      </c>
      <c r="E650" s="67" t="s">
        <v>139</v>
      </c>
      <c r="F650" s="67" t="s">
        <v>162</v>
      </c>
      <c r="G650" s="69" t="s">
        <v>305</v>
      </c>
      <c r="H650" s="67">
        <v>0</v>
      </c>
      <c r="I650" s="67">
        <v>31</v>
      </c>
      <c r="J650" s="67" t="s">
        <v>164</v>
      </c>
      <c r="K650" s="67" t="s">
        <v>74</v>
      </c>
      <c r="L650" s="67" t="s">
        <v>5</v>
      </c>
      <c r="M650" s="67" t="s">
        <v>142</v>
      </c>
      <c r="N650" s="70">
        <v>1000</v>
      </c>
      <c r="O650" s="70">
        <v>1E-3</v>
      </c>
      <c r="P650" s="70"/>
      <c r="Q650" s="98">
        <v>15000</v>
      </c>
      <c r="R650" s="70">
        <v>15</v>
      </c>
      <c r="S650" s="70">
        <v>0</v>
      </c>
    </row>
    <row r="651" spans="1:19" s="56" customFormat="1">
      <c r="A651" s="67" t="s">
        <v>522</v>
      </c>
      <c r="B651" s="68" t="s">
        <v>523</v>
      </c>
      <c r="C651" s="67" t="s">
        <v>137</v>
      </c>
      <c r="D651" s="67" t="s">
        <v>138</v>
      </c>
      <c r="E651" s="67" t="s">
        <v>139</v>
      </c>
      <c r="F651" s="67" t="s">
        <v>162</v>
      </c>
      <c r="G651" s="69" t="s">
        <v>305</v>
      </c>
      <c r="H651" s="67">
        <v>0</v>
      </c>
      <c r="I651" s="67">
        <v>32</v>
      </c>
      <c r="J651" s="67" t="s">
        <v>165</v>
      </c>
      <c r="K651" s="67" t="s">
        <v>80</v>
      </c>
      <c r="L651" s="67" t="s">
        <v>3</v>
      </c>
      <c r="M651" s="67" t="s">
        <v>142</v>
      </c>
      <c r="N651" s="70">
        <v>1000</v>
      </c>
      <c r="O651" s="70">
        <v>1E-3</v>
      </c>
      <c r="P651" s="70"/>
      <c r="Q651" s="98">
        <v>50</v>
      </c>
      <c r="R651" s="70">
        <v>0</v>
      </c>
      <c r="S651" s="70">
        <v>50</v>
      </c>
    </row>
    <row r="652" spans="1:19" s="56" customFormat="1">
      <c r="A652" s="67" t="s">
        <v>522</v>
      </c>
      <c r="B652" s="68" t="s">
        <v>523</v>
      </c>
      <c r="C652" s="67" t="s">
        <v>137</v>
      </c>
      <c r="D652" s="67" t="s">
        <v>138</v>
      </c>
      <c r="E652" s="67" t="s">
        <v>139</v>
      </c>
      <c r="F652" s="67" t="s">
        <v>159</v>
      </c>
      <c r="G652" s="69" t="s">
        <v>305</v>
      </c>
      <c r="H652" s="67">
        <v>0</v>
      </c>
      <c r="I652" s="67">
        <v>33</v>
      </c>
      <c r="J652" s="67" t="s">
        <v>261</v>
      </c>
      <c r="K652" s="67" t="s">
        <v>49</v>
      </c>
      <c r="L652" s="67" t="s">
        <v>3</v>
      </c>
      <c r="M652" s="67" t="s">
        <v>142</v>
      </c>
      <c r="N652" s="70">
        <v>1000</v>
      </c>
      <c r="O652" s="70">
        <v>1E-3</v>
      </c>
      <c r="P652" s="70"/>
      <c r="Q652" s="98">
        <v>400000</v>
      </c>
      <c r="R652" s="70">
        <v>400</v>
      </c>
      <c r="S652" s="70">
        <v>0</v>
      </c>
    </row>
    <row r="653" spans="1:19" s="56" customFormat="1">
      <c r="A653" s="67" t="s">
        <v>524</v>
      </c>
      <c r="B653" s="68" t="s">
        <v>525</v>
      </c>
      <c r="C653" s="67" t="s">
        <v>137</v>
      </c>
      <c r="D653" s="67" t="s">
        <v>138</v>
      </c>
      <c r="E653" s="67" t="s">
        <v>139</v>
      </c>
      <c r="F653" s="67" t="s">
        <v>140</v>
      </c>
      <c r="G653" s="69" t="s">
        <v>305</v>
      </c>
      <c r="H653" s="67">
        <v>0</v>
      </c>
      <c r="I653" s="67">
        <v>1</v>
      </c>
      <c r="J653" s="67" t="s">
        <v>141</v>
      </c>
      <c r="K653" s="67" t="s">
        <v>37</v>
      </c>
      <c r="L653" s="67" t="s">
        <v>3</v>
      </c>
      <c r="M653" s="67" t="s">
        <v>142</v>
      </c>
      <c r="N653" s="70">
        <v>1000</v>
      </c>
      <c r="O653" s="70">
        <v>200</v>
      </c>
      <c r="P653" s="70"/>
      <c r="Q653" s="98">
        <v>29540</v>
      </c>
      <c r="R653" s="70">
        <v>29</v>
      </c>
      <c r="S653" s="70">
        <v>540</v>
      </c>
    </row>
    <row r="654" spans="1:19" s="56" customFormat="1">
      <c r="A654" s="67" t="s">
        <v>524</v>
      </c>
      <c r="B654" s="68" t="s">
        <v>525</v>
      </c>
      <c r="C654" s="67" t="s">
        <v>137</v>
      </c>
      <c r="D654" s="67" t="s">
        <v>138</v>
      </c>
      <c r="E654" s="67" t="s">
        <v>139</v>
      </c>
      <c r="F654" s="67" t="s">
        <v>140</v>
      </c>
      <c r="G654" s="69" t="s">
        <v>305</v>
      </c>
      <c r="H654" s="67">
        <v>0</v>
      </c>
      <c r="I654" s="67">
        <v>2</v>
      </c>
      <c r="J654" s="67" t="s">
        <v>346</v>
      </c>
      <c r="K654" s="67" t="s">
        <v>343</v>
      </c>
      <c r="L654" s="67" t="s">
        <v>3</v>
      </c>
      <c r="M654" s="67" t="s">
        <v>142</v>
      </c>
      <c r="N654" s="70">
        <v>1000</v>
      </c>
      <c r="O654" s="70">
        <v>1E-3</v>
      </c>
      <c r="P654" s="70"/>
      <c r="Q654" s="98">
        <v>38226</v>
      </c>
      <c r="R654" s="70">
        <v>38</v>
      </c>
      <c r="S654" s="70">
        <v>226</v>
      </c>
    </row>
    <row r="655" spans="1:19" s="56" customFormat="1">
      <c r="A655" s="67" t="s">
        <v>524</v>
      </c>
      <c r="B655" s="68" t="s">
        <v>525</v>
      </c>
      <c r="C655" s="67" t="s">
        <v>137</v>
      </c>
      <c r="D655" s="67" t="s">
        <v>138</v>
      </c>
      <c r="E655" s="67" t="s">
        <v>139</v>
      </c>
      <c r="F655" s="67" t="s">
        <v>140</v>
      </c>
      <c r="G655" s="69" t="s">
        <v>305</v>
      </c>
      <c r="H655" s="67">
        <v>0</v>
      </c>
      <c r="I655" s="67">
        <v>3</v>
      </c>
      <c r="J655" s="67" t="s">
        <v>169</v>
      </c>
      <c r="K655" s="67" t="s">
        <v>64</v>
      </c>
      <c r="L655" s="67" t="s">
        <v>3</v>
      </c>
      <c r="M655" s="67" t="s">
        <v>142</v>
      </c>
      <c r="N655" s="70">
        <v>1000</v>
      </c>
      <c r="O655" s="70">
        <v>1E-3</v>
      </c>
      <c r="P655" s="70"/>
      <c r="Q655" s="98">
        <v>760</v>
      </c>
      <c r="R655" s="70">
        <v>0</v>
      </c>
      <c r="S655" s="70">
        <v>760</v>
      </c>
    </row>
    <row r="656" spans="1:19" s="56" customFormat="1">
      <c r="A656" s="67" t="s">
        <v>524</v>
      </c>
      <c r="B656" s="68" t="s">
        <v>525</v>
      </c>
      <c r="C656" s="67" t="s">
        <v>137</v>
      </c>
      <c r="D656" s="67" t="s">
        <v>138</v>
      </c>
      <c r="E656" s="67" t="s">
        <v>139</v>
      </c>
      <c r="F656" s="67" t="s">
        <v>140</v>
      </c>
      <c r="G656" s="69" t="s">
        <v>305</v>
      </c>
      <c r="H656" s="67">
        <v>0</v>
      </c>
      <c r="I656" s="67">
        <v>4</v>
      </c>
      <c r="J656" s="67" t="s">
        <v>143</v>
      </c>
      <c r="K656" s="67" t="s">
        <v>90</v>
      </c>
      <c r="L656" s="67" t="s">
        <v>3</v>
      </c>
      <c r="M656" s="67" t="s">
        <v>142</v>
      </c>
      <c r="N656" s="70">
        <v>1000</v>
      </c>
      <c r="O656" s="70">
        <v>359.59699999999998</v>
      </c>
      <c r="P656" s="70"/>
      <c r="Q656" s="98">
        <v>2241</v>
      </c>
      <c r="R656" s="70">
        <v>2</v>
      </c>
      <c r="S656" s="70">
        <v>241</v>
      </c>
    </row>
    <row r="657" spans="1:19" s="56" customFormat="1">
      <c r="A657" s="67" t="s">
        <v>524</v>
      </c>
      <c r="B657" s="68" t="s">
        <v>525</v>
      </c>
      <c r="C657" s="67" t="s">
        <v>137</v>
      </c>
      <c r="D657" s="67" t="s">
        <v>138</v>
      </c>
      <c r="E657" s="67" t="s">
        <v>139</v>
      </c>
      <c r="F657" s="67" t="s">
        <v>140</v>
      </c>
      <c r="G657" s="69" t="s">
        <v>305</v>
      </c>
      <c r="H657" s="67">
        <v>0</v>
      </c>
      <c r="I657" s="67">
        <v>5</v>
      </c>
      <c r="J657" s="67" t="s">
        <v>250</v>
      </c>
      <c r="K657" s="67" t="s">
        <v>38</v>
      </c>
      <c r="L657" s="67" t="s">
        <v>3</v>
      </c>
      <c r="M657" s="67" t="s">
        <v>142</v>
      </c>
      <c r="N657" s="70">
        <v>1000</v>
      </c>
      <c r="O657" s="70">
        <v>1E-3</v>
      </c>
      <c r="P657" s="70"/>
      <c r="Q657" s="98">
        <v>1106</v>
      </c>
      <c r="R657" s="70">
        <v>1</v>
      </c>
      <c r="S657" s="70">
        <v>106</v>
      </c>
    </row>
    <row r="658" spans="1:19" s="56" customFormat="1">
      <c r="A658" s="67" t="s">
        <v>524</v>
      </c>
      <c r="B658" s="68" t="s">
        <v>525</v>
      </c>
      <c r="C658" s="67" t="s">
        <v>137</v>
      </c>
      <c r="D658" s="67" t="s">
        <v>138</v>
      </c>
      <c r="E658" s="67" t="s">
        <v>139</v>
      </c>
      <c r="F658" s="67" t="s">
        <v>140</v>
      </c>
      <c r="G658" s="69" t="s">
        <v>305</v>
      </c>
      <c r="H658" s="67">
        <v>0</v>
      </c>
      <c r="I658" s="67">
        <v>6</v>
      </c>
      <c r="J658" s="67" t="s">
        <v>144</v>
      </c>
      <c r="K658" s="67" t="s">
        <v>26</v>
      </c>
      <c r="L658" s="67" t="s">
        <v>3</v>
      </c>
      <c r="M658" s="67" t="s">
        <v>142</v>
      </c>
      <c r="N658" s="70">
        <v>1000</v>
      </c>
      <c r="O658" s="70">
        <v>1E-3</v>
      </c>
      <c r="P658" s="70"/>
      <c r="Q658" s="98">
        <v>9290</v>
      </c>
      <c r="R658" s="70">
        <v>9</v>
      </c>
      <c r="S658" s="70">
        <v>290</v>
      </c>
    </row>
    <row r="659" spans="1:19" s="56" customFormat="1">
      <c r="A659" s="67" t="s">
        <v>524</v>
      </c>
      <c r="B659" s="68" t="s">
        <v>525</v>
      </c>
      <c r="C659" s="67" t="s">
        <v>137</v>
      </c>
      <c r="D659" s="67" t="s">
        <v>138</v>
      </c>
      <c r="E659" s="67" t="s">
        <v>139</v>
      </c>
      <c r="F659" s="67" t="s">
        <v>140</v>
      </c>
      <c r="G659" s="69" t="s">
        <v>305</v>
      </c>
      <c r="H659" s="67">
        <v>0</v>
      </c>
      <c r="I659" s="67">
        <v>7</v>
      </c>
      <c r="J659" s="67" t="s">
        <v>145</v>
      </c>
      <c r="K659" s="67" t="s">
        <v>27</v>
      </c>
      <c r="L659" s="67" t="s">
        <v>3</v>
      </c>
      <c r="M659" s="67" t="s">
        <v>142</v>
      </c>
      <c r="N659" s="70">
        <v>1000</v>
      </c>
      <c r="O659" s="70">
        <v>1E-3</v>
      </c>
      <c r="P659" s="70"/>
      <c r="Q659" s="98">
        <v>13917</v>
      </c>
      <c r="R659" s="70">
        <v>13</v>
      </c>
      <c r="S659" s="70">
        <v>917</v>
      </c>
    </row>
    <row r="660" spans="1:19" s="56" customFormat="1">
      <c r="A660" s="67" t="s">
        <v>524</v>
      </c>
      <c r="B660" s="68" t="s">
        <v>525</v>
      </c>
      <c r="C660" s="67" t="s">
        <v>137</v>
      </c>
      <c r="D660" s="67" t="s">
        <v>138</v>
      </c>
      <c r="E660" s="67" t="s">
        <v>139</v>
      </c>
      <c r="F660" s="67" t="s">
        <v>140</v>
      </c>
      <c r="G660" s="69" t="s">
        <v>305</v>
      </c>
      <c r="H660" s="67">
        <v>0</v>
      </c>
      <c r="I660" s="67">
        <v>8</v>
      </c>
      <c r="J660" s="67" t="s">
        <v>289</v>
      </c>
      <c r="K660" s="67" t="s">
        <v>255</v>
      </c>
      <c r="L660" s="67" t="s">
        <v>3</v>
      </c>
      <c r="M660" s="67" t="s">
        <v>142</v>
      </c>
      <c r="N660" s="70">
        <v>1000</v>
      </c>
      <c r="O660" s="70">
        <v>1E-3</v>
      </c>
      <c r="P660" s="70"/>
      <c r="Q660" s="98">
        <v>93</v>
      </c>
      <c r="R660" s="70">
        <v>0</v>
      </c>
      <c r="S660" s="70">
        <v>93</v>
      </c>
    </row>
    <row r="661" spans="1:19" s="56" customFormat="1">
      <c r="A661" s="67" t="s">
        <v>524</v>
      </c>
      <c r="B661" s="68" t="s">
        <v>525</v>
      </c>
      <c r="C661" s="67" t="s">
        <v>137</v>
      </c>
      <c r="D661" s="67" t="s">
        <v>138</v>
      </c>
      <c r="E661" s="67" t="s">
        <v>139</v>
      </c>
      <c r="F661" s="67" t="s">
        <v>140</v>
      </c>
      <c r="G661" s="69" t="s">
        <v>305</v>
      </c>
      <c r="H661" s="67">
        <v>0</v>
      </c>
      <c r="I661" s="67">
        <v>9</v>
      </c>
      <c r="J661" s="67" t="s">
        <v>290</v>
      </c>
      <c r="K661" s="67" t="s">
        <v>238</v>
      </c>
      <c r="L661" s="67" t="s">
        <v>3</v>
      </c>
      <c r="M661" s="67" t="s">
        <v>142</v>
      </c>
      <c r="N661" s="70">
        <v>1000</v>
      </c>
      <c r="O661" s="70">
        <v>1E-3</v>
      </c>
      <c r="P661" s="70"/>
      <c r="Q661" s="98">
        <v>458</v>
      </c>
      <c r="R661" s="70">
        <v>0</v>
      </c>
      <c r="S661" s="70">
        <v>458</v>
      </c>
    </row>
    <row r="662" spans="1:19" s="56" customFormat="1">
      <c r="A662" s="67" t="s">
        <v>524</v>
      </c>
      <c r="B662" s="68" t="s">
        <v>525</v>
      </c>
      <c r="C662" s="67" t="s">
        <v>137</v>
      </c>
      <c r="D662" s="67" t="s">
        <v>138</v>
      </c>
      <c r="E662" s="67" t="s">
        <v>139</v>
      </c>
      <c r="F662" s="67" t="s">
        <v>140</v>
      </c>
      <c r="G662" s="69" t="s">
        <v>305</v>
      </c>
      <c r="H662" s="67">
        <v>0</v>
      </c>
      <c r="I662" s="67">
        <v>10</v>
      </c>
      <c r="J662" s="67" t="s">
        <v>171</v>
      </c>
      <c r="K662" s="67" t="s">
        <v>102</v>
      </c>
      <c r="L662" s="67" t="s">
        <v>3</v>
      </c>
      <c r="M662" s="67" t="s">
        <v>142</v>
      </c>
      <c r="N662" s="70">
        <v>1000</v>
      </c>
      <c r="O662" s="70">
        <v>1E-3</v>
      </c>
      <c r="P662" s="70"/>
      <c r="Q662" s="98">
        <v>2333</v>
      </c>
      <c r="R662" s="70">
        <v>2</v>
      </c>
      <c r="S662" s="70">
        <v>333</v>
      </c>
    </row>
    <row r="663" spans="1:19" s="56" customFormat="1">
      <c r="A663" s="67" t="s">
        <v>524</v>
      </c>
      <c r="B663" s="68" t="s">
        <v>525</v>
      </c>
      <c r="C663" s="67" t="s">
        <v>137</v>
      </c>
      <c r="D663" s="67" t="s">
        <v>138</v>
      </c>
      <c r="E663" s="67" t="s">
        <v>139</v>
      </c>
      <c r="F663" s="67" t="s">
        <v>140</v>
      </c>
      <c r="G663" s="69" t="s">
        <v>305</v>
      </c>
      <c r="H663" s="67">
        <v>0</v>
      </c>
      <c r="I663" s="67">
        <v>11</v>
      </c>
      <c r="J663" s="67" t="s">
        <v>146</v>
      </c>
      <c r="K663" s="67" t="s">
        <v>46</v>
      </c>
      <c r="L663" s="67" t="s">
        <v>3</v>
      </c>
      <c r="M663" s="67" t="s">
        <v>142</v>
      </c>
      <c r="N663" s="70">
        <v>1000</v>
      </c>
      <c r="O663" s="70">
        <v>1E-3</v>
      </c>
      <c r="P663" s="70"/>
      <c r="Q663" s="98">
        <v>9830</v>
      </c>
      <c r="R663" s="70">
        <v>9</v>
      </c>
      <c r="S663" s="70">
        <v>830</v>
      </c>
    </row>
    <row r="664" spans="1:19" s="56" customFormat="1">
      <c r="A664" s="67" t="s">
        <v>524</v>
      </c>
      <c r="B664" s="68" t="s">
        <v>525</v>
      </c>
      <c r="C664" s="67" t="s">
        <v>137</v>
      </c>
      <c r="D664" s="67" t="s">
        <v>138</v>
      </c>
      <c r="E664" s="67" t="s">
        <v>139</v>
      </c>
      <c r="F664" s="67" t="s">
        <v>140</v>
      </c>
      <c r="G664" s="69" t="s">
        <v>305</v>
      </c>
      <c r="H664" s="67">
        <v>0</v>
      </c>
      <c r="I664" s="67">
        <v>12</v>
      </c>
      <c r="J664" s="67" t="s">
        <v>147</v>
      </c>
      <c r="K664" s="67" t="s">
        <v>41</v>
      </c>
      <c r="L664" s="67" t="s">
        <v>3</v>
      </c>
      <c r="M664" s="67" t="s">
        <v>142</v>
      </c>
      <c r="N664" s="70">
        <v>1000</v>
      </c>
      <c r="O664" s="70">
        <v>1E-3</v>
      </c>
      <c r="P664" s="70"/>
      <c r="Q664" s="98">
        <v>8019</v>
      </c>
      <c r="R664" s="70">
        <v>8</v>
      </c>
      <c r="S664" s="70">
        <v>19</v>
      </c>
    </row>
    <row r="665" spans="1:19" s="56" customFormat="1">
      <c r="A665" s="67" t="s">
        <v>524</v>
      </c>
      <c r="B665" s="68" t="s">
        <v>525</v>
      </c>
      <c r="C665" s="67" t="s">
        <v>137</v>
      </c>
      <c r="D665" s="67" t="s">
        <v>138</v>
      </c>
      <c r="E665" s="67" t="s">
        <v>139</v>
      </c>
      <c r="F665" s="67" t="s">
        <v>140</v>
      </c>
      <c r="G665" s="69" t="s">
        <v>305</v>
      </c>
      <c r="H665" s="67">
        <v>0</v>
      </c>
      <c r="I665" s="67">
        <v>13</v>
      </c>
      <c r="J665" s="67" t="s">
        <v>151</v>
      </c>
      <c r="K665" s="67" t="s">
        <v>28</v>
      </c>
      <c r="L665" s="67" t="s">
        <v>3</v>
      </c>
      <c r="M665" s="67" t="s">
        <v>142</v>
      </c>
      <c r="N665" s="70">
        <v>1000</v>
      </c>
      <c r="O665" s="70">
        <v>1E-3</v>
      </c>
      <c r="P665" s="70"/>
      <c r="Q665" s="98">
        <v>292</v>
      </c>
      <c r="R665" s="70">
        <v>0</v>
      </c>
      <c r="S665" s="70">
        <v>292</v>
      </c>
    </row>
    <row r="666" spans="1:19" s="56" customFormat="1">
      <c r="A666" s="67" t="s">
        <v>524</v>
      </c>
      <c r="B666" s="68" t="s">
        <v>525</v>
      </c>
      <c r="C666" s="67" t="s">
        <v>137</v>
      </c>
      <c r="D666" s="67" t="s">
        <v>138</v>
      </c>
      <c r="E666" s="67" t="s">
        <v>139</v>
      </c>
      <c r="F666" s="67" t="s">
        <v>140</v>
      </c>
      <c r="G666" s="69" t="s">
        <v>305</v>
      </c>
      <c r="H666" s="67">
        <v>0</v>
      </c>
      <c r="I666" s="67">
        <v>14</v>
      </c>
      <c r="J666" s="67" t="s">
        <v>170</v>
      </c>
      <c r="K666" s="67" t="s">
        <v>29</v>
      </c>
      <c r="L666" s="67" t="s">
        <v>3</v>
      </c>
      <c r="M666" s="67" t="s">
        <v>142</v>
      </c>
      <c r="N666" s="70">
        <v>1000</v>
      </c>
      <c r="O666" s="70">
        <v>1E-3</v>
      </c>
      <c r="P666" s="70"/>
      <c r="Q666" s="98">
        <v>1218</v>
      </c>
      <c r="R666" s="70">
        <v>1</v>
      </c>
      <c r="S666" s="70">
        <v>218</v>
      </c>
    </row>
    <row r="667" spans="1:19" s="56" customFormat="1">
      <c r="A667" s="67" t="s">
        <v>524</v>
      </c>
      <c r="B667" s="68" t="s">
        <v>525</v>
      </c>
      <c r="C667" s="67" t="s">
        <v>137</v>
      </c>
      <c r="D667" s="67" t="s">
        <v>138</v>
      </c>
      <c r="E667" s="67" t="s">
        <v>139</v>
      </c>
      <c r="F667" s="67" t="s">
        <v>140</v>
      </c>
      <c r="G667" s="69" t="s">
        <v>305</v>
      </c>
      <c r="H667" s="67">
        <v>0</v>
      </c>
      <c r="I667" s="67">
        <v>15</v>
      </c>
      <c r="J667" s="67" t="s">
        <v>148</v>
      </c>
      <c r="K667" s="67" t="s">
        <v>30</v>
      </c>
      <c r="L667" s="67" t="s">
        <v>3</v>
      </c>
      <c r="M667" s="67" t="s">
        <v>142</v>
      </c>
      <c r="N667" s="70">
        <v>1000</v>
      </c>
      <c r="O667" s="70">
        <v>1E-3</v>
      </c>
      <c r="P667" s="70"/>
      <c r="Q667" s="98">
        <v>13210</v>
      </c>
      <c r="R667" s="70">
        <v>13</v>
      </c>
      <c r="S667" s="70">
        <v>210</v>
      </c>
    </row>
    <row r="668" spans="1:19" s="56" customFormat="1">
      <c r="A668" s="67" t="s">
        <v>524</v>
      </c>
      <c r="B668" s="68" t="s">
        <v>525</v>
      </c>
      <c r="C668" s="67" t="s">
        <v>137</v>
      </c>
      <c r="D668" s="67" t="s">
        <v>138</v>
      </c>
      <c r="E668" s="67" t="s">
        <v>139</v>
      </c>
      <c r="F668" s="67" t="s">
        <v>140</v>
      </c>
      <c r="G668" s="69" t="s">
        <v>305</v>
      </c>
      <c r="H668" s="67">
        <v>0</v>
      </c>
      <c r="I668" s="67">
        <v>16</v>
      </c>
      <c r="J668" s="67" t="s">
        <v>314</v>
      </c>
      <c r="K668" s="67" t="s">
        <v>281</v>
      </c>
      <c r="L668" s="67" t="s">
        <v>3</v>
      </c>
      <c r="M668" s="67" t="s">
        <v>142</v>
      </c>
      <c r="N668" s="70">
        <v>1000</v>
      </c>
      <c r="O668" s="70">
        <v>1E-3</v>
      </c>
      <c r="P668" s="70"/>
      <c r="Q668" s="98">
        <v>420000</v>
      </c>
      <c r="R668" s="70">
        <v>420</v>
      </c>
      <c r="S668" s="70">
        <v>0</v>
      </c>
    </row>
    <row r="669" spans="1:19" s="56" customFormat="1">
      <c r="A669" s="67" t="s">
        <v>524</v>
      </c>
      <c r="B669" s="68" t="s">
        <v>525</v>
      </c>
      <c r="C669" s="67" t="s">
        <v>137</v>
      </c>
      <c r="D669" s="67" t="s">
        <v>138</v>
      </c>
      <c r="E669" s="67" t="s">
        <v>139</v>
      </c>
      <c r="F669" s="67" t="s">
        <v>166</v>
      </c>
      <c r="G669" s="69" t="s">
        <v>305</v>
      </c>
      <c r="H669" s="67">
        <v>0</v>
      </c>
      <c r="I669" s="67">
        <v>17</v>
      </c>
      <c r="J669" s="67" t="s">
        <v>462</v>
      </c>
      <c r="K669" s="67" t="s">
        <v>54</v>
      </c>
      <c r="L669" s="67" t="s">
        <v>3</v>
      </c>
      <c r="M669" s="67" t="s">
        <v>142</v>
      </c>
      <c r="N669" s="70">
        <v>1000</v>
      </c>
      <c r="O669" s="70">
        <v>1E-3</v>
      </c>
      <c r="P669" s="70"/>
      <c r="Q669" s="98">
        <v>105000</v>
      </c>
      <c r="R669" s="70">
        <v>105</v>
      </c>
      <c r="S669" s="70">
        <v>0</v>
      </c>
    </row>
    <row r="670" spans="1:19" s="56" customFormat="1">
      <c r="A670" s="67" t="s">
        <v>524</v>
      </c>
      <c r="B670" s="68" t="s">
        <v>525</v>
      </c>
      <c r="C670" s="67" t="s">
        <v>137</v>
      </c>
      <c r="D670" s="67" t="s">
        <v>138</v>
      </c>
      <c r="E670" s="67" t="s">
        <v>139</v>
      </c>
      <c r="F670" s="67" t="s">
        <v>166</v>
      </c>
      <c r="G670" s="69" t="s">
        <v>305</v>
      </c>
      <c r="H670" s="67">
        <v>0</v>
      </c>
      <c r="I670" s="67">
        <v>18</v>
      </c>
      <c r="J670" s="67" t="s">
        <v>319</v>
      </c>
      <c r="K670" s="67" t="s">
        <v>72</v>
      </c>
      <c r="L670" s="67" t="s">
        <v>3</v>
      </c>
      <c r="M670" s="67" t="s">
        <v>142</v>
      </c>
      <c r="N670" s="70">
        <v>1000</v>
      </c>
      <c r="O670" s="70">
        <v>1E-3</v>
      </c>
      <c r="P670" s="70"/>
      <c r="Q670" s="98">
        <v>25000</v>
      </c>
      <c r="R670" s="70">
        <v>25</v>
      </c>
      <c r="S670" s="70">
        <v>0</v>
      </c>
    </row>
    <row r="671" spans="1:19" s="56" customFormat="1">
      <c r="A671" s="67" t="s">
        <v>524</v>
      </c>
      <c r="B671" s="68" t="s">
        <v>525</v>
      </c>
      <c r="C671" s="67" t="s">
        <v>137</v>
      </c>
      <c r="D671" s="67" t="s">
        <v>138</v>
      </c>
      <c r="E671" s="67" t="s">
        <v>139</v>
      </c>
      <c r="F671" s="67" t="s">
        <v>166</v>
      </c>
      <c r="G671" s="69" t="s">
        <v>305</v>
      </c>
      <c r="H671" s="67">
        <v>0</v>
      </c>
      <c r="I671" s="67">
        <v>19</v>
      </c>
      <c r="J671" s="67" t="s">
        <v>306</v>
      </c>
      <c r="K671" s="67" t="s">
        <v>52</v>
      </c>
      <c r="L671" s="67" t="s">
        <v>3</v>
      </c>
      <c r="M671" s="67" t="s">
        <v>142</v>
      </c>
      <c r="N671" s="70">
        <v>1000</v>
      </c>
      <c r="O671" s="70">
        <v>1E-3</v>
      </c>
      <c r="P671" s="70"/>
      <c r="Q671" s="98">
        <v>600000</v>
      </c>
      <c r="R671" s="70">
        <v>600</v>
      </c>
      <c r="S671" s="70">
        <v>0</v>
      </c>
    </row>
    <row r="672" spans="1:19" s="56" customFormat="1">
      <c r="A672" s="67" t="s">
        <v>524</v>
      </c>
      <c r="B672" s="68" t="s">
        <v>525</v>
      </c>
      <c r="C672" s="67" t="s">
        <v>137</v>
      </c>
      <c r="D672" s="67" t="s">
        <v>138</v>
      </c>
      <c r="E672" s="67" t="s">
        <v>139</v>
      </c>
      <c r="F672" s="67" t="s">
        <v>162</v>
      </c>
      <c r="G672" s="69" t="s">
        <v>305</v>
      </c>
      <c r="H672" s="67">
        <v>0</v>
      </c>
      <c r="I672" s="67">
        <v>20</v>
      </c>
      <c r="J672" s="67" t="s">
        <v>234</v>
      </c>
      <c r="K672" s="67" t="s">
        <v>233</v>
      </c>
      <c r="L672" s="67" t="s">
        <v>3</v>
      </c>
      <c r="M672" s="67" t="s">
        <v>142</v>
      </c>
      <c r="N672" s="70">
        <v>1000</v>
      </c>
      <c r="O672" s="70">
        <v>5.6</v>
      </c>
      <c r="P672" s="70"/>
      <c r="Q672" s="98">
        <v>200000</v>
      </c>
      <c r="R672" s="70">
        <v>200</v>
      </c>
      <c r="S672" s="70">
        <v>0</v>
      </c>
    </row>
    <row r="673" spans="1:19" s="56" customFormat="1">
      <c r="A673" s="67" t="s">
        <v>524</v>
      </c>
      <c r="B673" s="68" t="s">
        <v>525</v>
      </c>
      <c r="C673" s="67" t="s">
        <v>137</v>
      </c>
      <c r="D673" s="67" t="s">
        <v>138</v>
      </c>
      <c r="E673" s="67" t="s">
        <v>139</v>
      </c>
      <c r="F673" s="67" t="s">
        <v>162</v>
      </c>
      <c r="G673" s="69" t="s">
        <v>305</v>
      </c>
      <c r="H673" s="67">
        <v>0</v>
      </c>
      <c r="I673" s="67">
        <v>22</v>
      </c>
      <c r="J673" s="67" t="s">
        <v>263</v>
      </c>
      <c r="K673" s="67" t="s">
        <v>259</v>
      </c>
      <c r="L673" s="67" t="s">
        <v>3</v>
      </c>
      <c r="M673" s="67" t="s">
        <v>142</v>
      </c>
      <c r="N673" s="70">
        <v>1000</v>
      </c>
      <c r="O673" s="70">
        <v>0</v>
      </c>
      <c r="P673" s="70"/>
      <c r="Q673" s="98">
        <v>12000</v>
      </c>
      <c r="R673" s="70">
        <v>12</v>
      </c>
      <c r="S673" s="70">
        <v>0</v>
      </c>
    </row>
    <row r="674" spans="1:19" s="56" customFormat="1">
      <c r="A674" s="67" t="s">
        <v>524</v>
      </c>
      <c r="B674" s="68" t="s">
        <v>525</v>
      </c>
      <c r="C674" s="67" t="s">
        <v>137</v>
      </c>
      <c r="D674" s="67" t="s">
        <v>138</v>
      </c>
      <c r="E674" s="67" t="s">
        <v>139</v>
      </c>
      <c r="F674" s="67" t="s">
        <v>162</v>
      </c>
      <c r="G674" s="69" t="s">
        <v>305</v>
      </c>
      <c r="H674" s="67">
        <v>0</v>
      </c>
      <c r="I674" s="67">
        <v>23</v>
      </c>
      <c r="J674" s="67" t="s">
        <v>164</v>
      </c>
      <c r="K674" s="67" t="s">
        <v>74</v>
      </c>
      <c r="L674" s="67" t="s">
        <v>5</v>
      </c>
      <c r="M674" s="67" t="s">
        <v>142</v>
      </c>
      <c r="N674" s="70">
        <v>1000</v>
      </c>
      <c r="O674" s="70">
        <v>0</v>
      </c>
      <c r="P674" s="70"/>
      <c r="Q674" s="98">
        <v>5000</v>
      </c>
      <c r="R674" s="70">
        <v>5</v>
      </c>
      <c r="S674" s="70">
        <v>0</v>
      </c>
    </row>
    <row r="675" spans="1:19" s="56" customFormat="1">
      <c r="A675" s="67" t="s">
        <v>526</v>
      </c>
      <c r="B675" s="68" t="s">
        <v>527</v>
      </c>
      <c r="C675" s="67" t="s">
        <v>137</v>
      </c>
      <c r="D675" s="67" t="s">
        <v>138</v>
      </c>
      <c r="E675" s="67" t="s">
        <v>139</v>
      </c>
      <c r="F675" s="67" t="s">
        <v>140</v>
      </c>
      <c r="G675" s="69" t="s">
        <v>305</v>
      </c>
      <c r="H675" s="67">
        <v>0</v>
      </c>
      <c r="I675" s="67">
        <v>1</v>
      </c>
      <c r="J675" s="67" t="s">
        <v>141</v>
      </c>
      <c r="K675" s="67" t="s">
        <v>37</v>
      </c>
      <c r="L675" s="67" t="s">
        <v>3</v>
      </c>
      <c r="M675" s="67" t="s">
        <v>142</v>
      </c>
      <c r="N675" s="70">
        <v>1000</v>
      </c>
      <c r="O675" s="70">
        <v>200</v>
      </c>
      <c r="P675" s="70"/>
      <c r="Q675" s="98">
        <v>2456</v>
      </c>
      <c r="R675" s="70">
        <v>2</v>
      </c>
      <c r="S675" s="70">
        <v>456</v>
      </c>
    </row>
    <row r="676" spans="1:19" s="56" customFormat="1">
      <c r="A676" s="67" t="s">
        <v>526</v>
      </c>
      <c r="B676" s="68" t="s">
        <v>527</v>
      </c>
      <c r="C676" s="67" t="s">
        <v>137</v>
      </c>
      <c r="D676" s="67" t="s">
        <v>138</v>
      </c>
      <c r="E676" s="67" t="s">
        <v>139</v>
      </c>
      <c r="F676" s="67" t="s">
        <v>140</v>
      </c>
      <c r="G676" s="69" t="s">
        <v>305</v>
      </c>
      <c r="H676" s="67">
        <v>0</v>
      </c>
      <c r="I676" s="67">
        <v>2</v>
      </c>
      <c r="J676" s="67" t="s">
        <v>346</v>
      </c>
      <c r="K676" s="67" t="s">
        <v>343</v>
      </c>
      <c r="L676" s="67" t="s">
        <v>3</v>
      </c>
      <c r="M676" s="67" t="s">
        <v>142</v>
      </c>
      <c r="N676" s="70">
        <v>1000</v>
      </c>
      <c r="O676" s="70">
        <v>1E-3</v>
      </c>
      <c r="P676" s="70"/>
      <c r="Q676" s="98">
        <v>7125</v>
      </c>
      <c r="R676" s="70">
        <v>7</v>
      </c>
      <c r="S676" s="70">
        <v>125</v>
      </c>
    </row>
    <row r="677" spans="1:19" s="56" customFormat="1">
      <c r="A677" s="67" t="s">
        <v>526</v>
      </c>
      <c r="B677" s="68" t="s">
        <v>527</v>
      </c>
      <c r="C677" s="67" t="s">
        <v>137</v>
      </c>
      <c r="D677" s="67" t="s">
        <v>138</v>
      </c>
      <c r="E677" s="67" t="s">
        <v>139</v>
      </c>
      <c r="F677" s="67" t="s">
        <v>140</v>
      </c>
      <c r="G677" s="69" t="s">
        <v>305</v>
      </c>
      <c r="H677" s="67">
        <v>0</v>
      </c>
      <c r="I677" s="67">
        <v>3</v>
      </c>
      <c r="J677" s="67" t="s">
        <v>169</v>
      </c>
      <c r="K677" s="67" t="s">
        <v>64</v>
      </c>
      <c r="L677" s="67" t="s">
        <v>3</v>
      </c>
      <c r="M677" s="67" t="s">
        <v>142</v>
      </c>
      <c r="N677" s="70">
        <v>1000</v>
      </c>
      <c r="O677" s="70">
        <v>1E-3</v>
      </c>
      <c r="P677" s="70"/>
      <c r="Q677" s="98">
        <v>138</v>
      </c>
      <c r="R677" s="70">
        <v>0</v>
      </c>
      <c r="S677" s="70">
        <v>138</v>
      </c>
    </row>
    <row r="678" spans="1:19" s="56" customFormat="1">
      <c r="A678" s="67" t="s">
        <v>526</v>
      </c>
      <c r="B678" s="68" t="s">
        <v>527</v>
      </c>
      <c r="C678" s="67" t="s">
        <v>137</v>
      </c>
      <c r="D678" s="67" t="s">
        <v>138</v>
      </c>
      <c r="E678" s="67" t="s">
        <v>139</v>
      </c>
      <c r="F678" s="67" t="s">
        <v>140</v>
      </c>
      <c r="G678" s="69" t="s">
        <v>305</v>
      </c>
      <c r="H678" s="67">
        <v>0</v>
      </c>
      <c r="I678" s="67">
        <v>4</v>
      </c>
      <c r="J678" s="67" t="s">
        <v>143</v>
      </c>
      <c r="K678" s="67" t="s">
        <v>90</v>
      </c>
      <c r="L678" s="67" t="s">
        <v>3</v>
      </c>
      <c r="M678" s="67" t="s">
        <v>142</v>
      </c>
      <c r="N678" s="70">
        <v>1000</v>
      </c>
      <c r="O678" s="70">
        <v>359.59699999999998</v>
      </c>
      <c r="P678" s="70"/>
      <c r="Q678" s="98">
        <v>2637</v>
      </c>
      <c r="R678" s="70">
        <v>2</v>
      </c>
      <c r="S678" s="70">
        <v>637</v>
      </c>
    </row>
    <row r="679" spans="1:19" s="56" customFormat="1">
      <c r="A679" s="67" t="s">
        <v>526</v>
      </c>
      <c r="B679" s="68" t="s">
        <v>527</v>
      </c>
      <c r="C679" s="67" t="s">
        <v>137</v>
      </c>
      <c r="D679" s="67" t="s">
        <v>138</v>
      </c>
      <c r="E679" s="67" t="s">
        <v>139</v>
      </c>
      <c r="F679" s="67" t="s">
        <v>140</v>
      </c>
      <c r="G679" s="69" t="s">
        <v>305</v>
      </c>
      <c r="H679" s="67">
        <v>0</v>
      </c>
      <c r="I679" s="67">
        <v>5</v>
      </c>
      <c r="J679" s="67" t="s">
        <v>250</v>
      </c>
      <c r="K679" s="67" t="s">
        <v>38</v>
      </c>
      <c r="L679" s="67" t="s">
        <v>3</v>
      </c>
      <c r="M679" s="67" t="s">
        <v>142</v>
      </c>
      <c r="N679" s="70">
        <v>1000</v>
      </c>
      <c r="O679" s="70">
        <v>1E-3</v>
      </c>
      <c r="P679" s="70"/>
      <c r="Q679" s="98">
        <v>3147</v>
      </c>
      <c r="R679" s="70">
        <v>3</v>
      </c>
      <c r="S679" s="70">
        <v>147</v>
      </c>
    </row>
    <row r="680" spans="1:19" s="56" customFormat="1">
      <c r="A680" s="67" t="s">
        <v>526</v>
      </c>
      <c r="B680" s="68" t="s">
        <v>527</v>
      </c>
      <c r="C680" s="67" t="s">
        <v>137</v>
      </c>
      <c r="D680" s="67" t="s">
        <v>138</v>
      </c>
      <c r="E680" s="67" t="s">
        <v>139</v>
      </c>
      <c r="F680" s="67" t="s">
        <v>140</v>
      </c>
      <c r="G680" s="69" t="s">
        <v>305</v>
      </c>
      <c r="H680" s="67">
        <v>0</v>
      </c>
      <c r="I680" s="67">
        <v>6</v>
      </c>
      <c r="J680" s="67" t="s">
        <v>144</v>
      </c>
      <c r="K680" s="67" t="s">
        <v>26</v>
      </c>
      <c r="L680" s="67" t="s">
        <v>3</v>
      </c>
      <c r="M680" s="67" t="s">
        <v>142</v>
      </c>
      <c r="N680" s="70">
        <v>1000</v>
      </c>
      <c r="O680" s="70">
        <v>1E-3</v>
      </c>
      <c r="P680" s="70"/>
      <c r="Q680" s="98">
        <v>4567</v>
      </c>
      <c r="R680" s="70">
        <v>4</v>
      </c>
      <c r="S680" s="70">
        <v>567</v>
      </c>
    </row>
    <row r="681" spans="1:19" s="56" customFormat="1">
      <c r="A681" s="67" t="s">
        <v>526</v>
      </c>
      <c r="B681" s="68" t="s">
        <v>527</v>
      </c>
      <c r="C681" s="67" t="s">
        <v>137</v>
      </c>
      <c r="D681" s="67" t="s">
        <v>138</v>
      </c>
      <c r="E681" s="67" t="s">
        <v>139</v>
      </c>
      <c r="F681" s="67" t="s">
        <v>140</v>
      </c>
      <c r="G681" s="69" t="s">
        <v>305</v>
      </c>
      <c r="H681" s="67">
        <v>0</v>
      </c>
      <c r="I681" s="67">
        <v>7</v>
      </c>
      <c r="J681" s="67" t="s">
        <v>145</v>
      </c>
      <c r="K681" s="67" t="s">
        <v>27</v>
      </c>
      <c r="L681" s="67" t="s">
        <v>3</v>
      </c>
      <c r="M681" s="67" t="s">
        <v>142</v>
      </c>
      <c r="N681" s="70">
        <v>1000</v>
      </c>
      <c r="O681" s="70">
        <v>1E-3</v>
      </c>
      <c r="P681" s="70"/>
      <c r="Q681" s="98">
        <v>2497</v>
      </c>
      <c r="R681" s="70">
        <v>2</v>
      </c>
      <c r="S681" s="70">
        <v>497</v>
      </c>
    </row>
    <row r="682" spans="1:19" s="56" customFormat="1">
      <c r="A682" s="67" t="s">
        <v>526</v>
      </c>
      <c r="B682" s="68" t="s">
        <v>527</v>
      </c>
      <c r="C682" s="67" t="s">
        <v>137</v>
      </c>
      <c r="D682" s="67" t="s">
        <v>138</v>
      </c>
      <c r="E682" s="67" t="s">
        <v>139</v>
      </c>
      <c r="F682" s="67" t="s">
        <v>140</v>
      </c>
      <c r="G682" s="69" t="s">
        <v>305</v>
      </c>
      <c r="H682" s="67">
        <v>0</v>
      </c>
      <c r="I682" s="67">
        <v>8</v>
      </c>
      <c r="J682" s="67" t="s">
        <v>146</v>
      </c>
      <c r="K682" s="67" t="s">
        <v>46</v>
      </c>
      <c r="L682" s="67" t="s">
        <v>3</v>
      </c>
      <c r="M682" s="67" t="s">
        <v>142</v>
      </c>
      <c r="N682" s="70">
        <v>1000</v>
      </c>
      <c r="O682" s="70">
        <v>1E-3</v>
      </c>
      <c r="P682" s="70"/>
      <c r="Q682" s="98">
        <v>2413</v>
      </c>
      <c r="R682" s="70">
        <v>2</v>
      </c>
      <c r="S682" s="70">
        <v>413</v>
      </c>
    </row>
    <row r="683" spans="1:19" s="56" customFormat="1">
      <c r="A683" s="67" t="s">
        <v>526</v>
      </c>
      <c r="B683" s="68" t="s">
        <v>527</v>
      </c>
      <c r="C683" s="67" t="s">
        <v>137</v>
      </c>
      <c r="D683" s="67" t="s">
        <v>138</v>
      </c>
      <c r="E683" s="67" t="s">
        <v>139</v>
      </c>
      <c r="F683" s="67" t="s">
        <v>140</v>
      </c>
      <c r="G683" s="69" t="s">
        <v>305</v>
      </c>
      <c r="H683" s="67">
        <v>0</v>
      </c>
      <c r="I683" s="67">
        <v>9</v>
      </c>
      <c r="J683" s="67" t="s">
        <v>147</v>
      </c>
      <c r="K683" s="67" t="s">
        <v>41</v>
      </c>
      <c r="L683" s="67" t="s">
        <v>3</v>
      </c>
      <c r="M683" s="67" t="s">
        <v>142</v>
      </c>
      <c r="N683" s="70">
        <v>1000</v>
      </c>
      <c r="O683" s="70">
        <v>1E-3</v>
      </c>
      <c r="P683" s="70"/>
      <c r="Q683" s="98">
        <v>3563</v>
      </c>
      <c r="R683" s="70">
        <v>3</v>
      </c>
      <c r="S683" s="70">
        <v>563</v>
      </c>
    </row>
    <row r="684" spans="1:19" s="56" customFormat="1">
      <c r="A684" s="67" t="s">
        <v>526</v>
      </c>
      <c r="B684" s="68" t="s">
        <v>527</v>
      </c>
      <c r="C684" s="67" t="s">
        <v>137</v>
      </c>
      <c r="D684" s="67" t="s">
        <v>138</v>
      </c>
      <c r="E684" s="67" t="s">
        <v>139</v>
      </c>
      <c r="F684" s="67" t="s">
        <v>140</v>
      </c>
      <c r="G684" s="69" t="s">
        <v>305</v>
      </c>
      <c r="H684" s="67">
        <v>0</v>
      </c>
      <c r="I684" s="67">
        <v>10</v>
      </c>
      <c r="J684" s="67" t="s">
        <v>151</v>
      </c>
      <c r="K684" s="67" t="s">
        <v>28</v>
      </c>
      <c r="L684" s="67" t="s">
        <v>3</v>
      </c>
      <c r="M684" s="67" t="s">
        <v>142</v>
      </c>
      <c r="N684" s="70">
        <v>1000</v>
      </c>
      <c r="O684" s="70">
        <v>1E-3</v>
      </c>
      <c r="P684" s="70"/>
      <c r="Q684" s="98">
        <v>80</v>
      </c>
      <c r="R684" s="70">
        <v>0</v>
      </c>
      <c r="S684" s="70">
        <v>80</v>
      </c>
    </row>
    <row r="685" spans="1:19" s="56" customFormat="1">
      <c r="A685" s="67" t="s">
        <v>526</v>
      </c>
      <c r="B685" s="68" t="s">
        <v>527</v>
      </c>
      <c r="C685" s="67" t="s">
        <v>137</v>
      </c>
      <c r="D685" s="67" t="s">
        <v>138</v>
      </c>
      <c r="E685" s="67" t="s">
        <v>139</v>
      </c>
      <c r="F685" s="67" t="s">
        <v>140</v>
      </c>
      <c r="G685" s="69" t="s">
        <v>305</v>
      </c>
      <c r="H685" s="67">
        <v>0</v>
      </c>
      <c r="I685" s="67">
        <v>11</v>
      </c>
      <c r="J685" s="67" t="s">
        <v>170</v>
      </c>
      <c r="K685" s="67" t="s">
        <v>29</v>
      </c>
      <c r="L685" s="67" t="s">
        <v>3</v>
      </c>
      <c r="M685" s="67" t="s">
        <v>142</v>
      </c>
      <c r="N685" s="70">
        <v>1000</v>
      </c>
      <c r="O685" s="70">
        <v>1E-3</v>
      </c>
      <c r="P685" s="70"/>
      <c r="Q685" s="98">
        <v>320</v>
      </c>
      <c r="R685" s="70">
        <v>0</v>
      </c>
      <c r="S685" s="70">
        <v>320</v>
      </c>
    </row>
    <row r="686" spans="1:19" s="56" customFormat="1">
      <c r="A686" s="67" t="s">
        <v>526</v>
      </c>
      <c r="B686" s="68" t="s">
        <v>527</v>
      </c>
      <c r="C686" s="67" t="s">
        <v>137</v>
      </c>
      <c r="D686" s="67" t="s">
        <v>138</v>
      </c>
      <c r="E686" s="67" t="s">
        <v>139</v>
      </c>
      <c r="F686" s="67" t="s">
        <v>140</v>
      </c>
      <c r="G686" s="69" t="s">
        <v>305</v>
      </c>
      <c r="H686" s="67">
        <v>0</v>
      </c>
      <c r="I686" s="67">
        <v>12</v>
      </c>
      <c r="J686" s="67" t="s">
        <v>148</v>
      </c>
      <c r="K686" s="67" t="s">
        <v>30</v>
      </c>
      <c r="L686" s="67" t="s">
        <v>3</v>
      </c>
      <c r="M686" s="67" t="s">
        <v>142</v>
      </c>
      <c r="N686" s="70">
        <v>1000</v>
      </c>
      <c r="O686" s="70">
        <v>1E-3</v>
      </c>
      <c r="P686" s="70"/>
      <c r="Q686" s="98">
        <v>13506</v>
      </c>
      <c r="R686" s="70">
        <v>13</v>
      </c>
      <c r="S686" s="70">
        <v>506</v>
      </c>
    </row>
    <row r="687" spans="1:19" s="56" customFormat="1">
      <c r="A687" s="67" t="s">
        <v>526</v>
      </c>
      <c r="B687" s="68" t="s">
        <v>527</v>
      </c>
      <c r="C687" s="67" t="s">
        <v>137</v>
      </c>
      <c r="D687" s="67" t="s">
        <v>138</v>
      </c>
      <c r="E687" s="67" t="s">
        <v>139</v>
      </c>
      <c r="F687" s="67" t="s">
        <v>140</v>
      </c>
      <c r="G687" s="69" t="s">
        <v>305</v>
      </c>
      <c r="H687" s="67">
        <v>0</v>
      </c>
      <c r="I687" s="67">
        <v>13</v>
      </c>
      <c r="J687" s="67" t="s">
        <v>314</v>
      </c>
      <c r="K687" s="67" t="s">
        <v>281</v>
      </c>
      <c r="L687" s="67" t="s">
        <v>3</v>
      </c>
      <c r="M687" s="67" t="s">
        <v>142</v>
      </c>
      <c r="N687" s="70">
        <v>1000</v>
      </c>
      <c r="O687" s="70">
        <v>1E-3</v>
      </c>
      <c r="P687" s="70"/>
      <c r="Q687" s="98">
        <v>120000</v>
      </c>
      <c r="R687" s="70">
        <v>120</v>
      </c>
      <c r="S687" s="70">
        <v>0</v>
      </c>
    </row>
    <row r="688" spans="1:19" s="56" customFormat="1">
      <c r="A688" s="67" t="s">
        <v>526</v>
      </c>
      <c r="B688" s="68" t="s">
        <v>527</v>
      </c>
      <c r="C688" s="67" t="s">
        <v>137</v>
      </c>
      <c r="D688" s="67" t="s">
        <v>138</v>
      </c>
      <c r="E688" s="67" t="s">
        <v>139</v>
      </c>
      <c r="F688" s="67" t="s">
        <v>153</v>
      </c>
      <c r="G688" s="69" t="s">
        <v>305</v>
      </c>
      <c r="H688" s="67">
        <v>0</v>
      </c>
      <c r="I688" s="67">
        <v>14</v>
      </c>
      <c r="J688" s="67" t="s">
        <v>154</v>
      </c>
      <c r="K688" s="67" t="s">
        <v>23</v>
      </c>
      <c r="L688" s="67" t="s">
        <v>3</v>
      </c>
      <c r="M688" s="67" t="s">
        <v>142</v>
      </c>
      <c r="N688" s="70">
        <v>1000</v>
      </c>
      <c r="O688" s="70">
        <v>32.021000000000001</v>
      </c>
      <c r="P688" s="70"/>
      <c r="Q688" s="98">
        <v>100000</v>
      </c>
      <c r="R688" s="70">
        <v>100</v>
      </c>
      <c r="S688" s="70">
        <v>0</v>
      </c>
    </row>
    <row r="689" spans="1:19" s="56" customFormat="1">
      <c r="A689" s="67" t="s">
        <v>526</v>
      </c>
      <c r="B689" s="68" t="s">
        <v>527</v>
      </c>
      <c r="C689" s="67" t="s">
        <v>137</v>
      </c>
      <c r="D689" s="67" t="s">
        <v>138</v>
      </c>
      <c r="E689" s="67" t="s">
        <v>139</v>
      </c>
      <c r="F689" s="67" t="s">
        <v>153</v>
      </c>
      <c r="G689" s="69" t="s">
        <v>305</v>
      </c>
      <c r="H689" s="67">
        <v>0</v>
      </c>
      <c r="I689" s="67">
        <v>15</v>
      </c>
      <c r="J689" s="67" t="s">
        <v>155</v>
      </c>
      <c r="K689" s="67" t="s">
        <v>33</v>
      </c>
      <c r="L689" s="67" t="s">
        <v>3</v>
      </c>
      <c r="M689" s="67" t="s">
        <v>142</v>
      </c>
      <c r="N689" s="70">
        <v>1000</v>
      </c>
      <c r="O689" s="70">
        <v>13.6</v>
      </c>
      <c r="P689" s="70"/>
      <c r="Q689" s="98">
        <v>75000</v>
      </c>
      <c r="R689" s="70">
        <v>75</v>
      </c>
      <c r="S689" s="70">
        <v>0</v>
      </c>
    </row>
    <row r="690" spans="1:19" s="56" customFormat="1">
      <c r="A690" s="67" t="s">
        <v>526</v>
      </c>
      <c r="B690" s="68" t="s">
        <v>527</v>
      </c>
      <c r="C690" s="67" t="s">
        <v>137</v>
      </c>
      <c r="D690" s="67" t="s">
        <v>138</v>
      </c>
      <c r="E690" s="67" t="s">
        <v>139</v>
      </c>
      <c r="F690" s="67" t="s">
        <v>153</v>
      </c>
      <c r="G690" s="69" t="s">
        <v>305</v>
      </c>
      <c r="H690" s="67">
        <v>0</v>
      </c>
      <c r="I690" s="67">
        <v>16</v>
      </c>
      <c r="J690" s="67" t="s">
        <v>317</v>
      </c>
      <c r="K690" s="67" t="s">
        <v>17</v>
      </c>
      <c r="L690" s="67" t="s">
        <v>3</v>
      </c>
      <c r="M690" s="67" t="s">
        <v>142</v>
      </c>
      <c r="N690" s="70">
        <v>1000</v>
      </c>
      <c r="O690" s="70">
        <v>1E-3</v>
      </c>
      <c r="P690" s="70"/>
      <c r="Q690" s="98">
        <v>32000</v>
      </c>
      <c r="R690" s="70">
        <v>32</v>
      </c>
      <c r="S690" s="70">
        <v>0</v>
      </c>
    </row>
    <row r="691" spans="1:19" s="56" customFormat="1">
      <c r="A691" s="67" t="s">
        <v>526</v>
      </c>
      <c r="B691" s="68" t="s">
        <v>527</v>
      </c>
      <c r="C691" s="67" t="s">
        <v>137</v>
      </c>
      <c r="D691" s="67" t="s">
        <v>138</v>
      </c>
      <c r="E691" s="67" t="s">
        <v>139</v>
      </c>
      <c r="F691" s="67" t="s">
        <v>153</v>
      </c>
      <c r="G691" s="69" t="s">
        <v>305</v>
      </c>
      <c r="H691" s="67">
        <v>0</v>
      </c>
      <c r="I691" s="67">
        <v>17</v>
      </c>
      <c r="J691" s="67" t="s">
        <v>251</v>
      </c>
      <c r="K691" s="67" t="s">
        <v>249</v>
      </c>
      <c r="L691" s="67" t="s">
        <v>3</v>
      </c>
      <c r="M691" s="67" t="s">
        <v>142</v>
      </c>
      <c r="N691" s="70">
        <v>1000</v>
      </c>
      <c r="O691" s="70">
        <v>1E-3</v>
      </c>
      <c r="P691" s="70"/>
      <c r="Q691" s="98">
        <v>20000</v>
      </c>
      <c r="R691" s="70">
        <v>20</v>
      </c>
      <c r="S691" s="70">
        <v>0</v>
      </c>
    </row>
    <row r="692" spans="1:19" s="56" customFormat="1">
      <c r="A692" s="67" t="s">
        <v>526</v>
      </c>
      <c r="B692" s="68" t="s">
        <v>527</v>
      </c>
      <c r="C692" s="67" t="s">
        <v>137</v>
      </c>
      <c r="D692" s="67" t="s">
        <v>138</v>
      </c>
      <c r="E692" s="67" t="s">
        <v>139</v>
      </c>
      <c r="F692" s="67" t="s">
        <v>153</v>
      </c>
      <c r="G692" s="69" t="s">
        <v>305</v>
      </c>
      <c r="H692" s="67">
        <v>0</v>
      </c>
      <c r="I692" s="67">
        <v>18</v>
      </c>
      <c r="J692" s="67" t="s">
        <v>168</v>
      </c>
      <c r="K692" s="67" t="s">
        <v>34</v>
      </c>
      <c r="L692" s="67" t="s">
        <v>3</v>
      </c>
      <c r="M692" s="67" t="s">
        <v>142</v>
      </c>
      <c r="N692" s="70">
        <v>1000</v>
      </c>
      <c r="O692" s="70">
        <v>1E-3</v>
      </c>
      <c r="P692" s="70"/>
      <c r="Q692" s="98">
        <v>4600</v>
      </c>
      <c r="R692" s="70">
        <v>4</v>
      </c>
      <c r="S692" s="70">
        <v>600</v>
      </c>
    </row>
    <row r="693" spans="1:19" s="56" customFormat="1">
      <c r="A693" s="67" t="s">
        <v>526</v>
      </c>
      <c r="B693" s="68" t="s">
        <v>527</v>
      </c>
      <c r="C693" s="67" t="s">
        <v>137</v>
      </c>
      <c r="D693" s="67" t="s">
        <v>138</v>
      </c>
      <c r="E693" s="67" t="s">
        <v>139</v>
      </c>
      <c r="F693" s="67" t="s">
        <v>153</v>
      </c>
      <c r="G693" s="69" t="s">
        <v>305</v>
      </c>
      <c r="H693" s="67">
        <v>0</v>
      </c>
      <c r="I693" s="67">
        <v>19</v>
      </c>
      <c r="J693" s="67" t="s">
        <v>315</v>
      </c>
      <c r="K693" s="67" t="s">
        <v>47</v>
      </c>
      <c r="L693" s="67" t="s">
        <v>3</v>
      </c>
      <c r="M693" s="67" t="s">
        <v>142</v>
      </c>
      <c r="N693" s="70">
        <v>1000</v>
      </c>
      <c r="O693" s="70">
        <v>1E-3</v>
      </c>
      <c r="P693" s="70"/>
      <c r="Q693" s="98">
        <v>4000</v>
      </c>
      <c r="R693" s="70">
        <v>4</v>
      </c>
      <c r="S693" s="70">
        <v>0</v>
      </c>
    </row>
    <row r="694" spans="1:19" s="56" customFormat="1">
      <c r="A694" s="67" t="s">
        <v>526</v>
      </c>
      <c r="B694" s="68" t="s">
        <v>527</v>
      </c>
      <c r="C694" s="67" t="s">
        <v>137</v>
      </c>
      <c r="D694" s="67" t="s">
        <v>138</v>
      </c>
      <c r="E694" s="67" t="s">
        <v>139</v>
      </c>
      <c r="F694" s="67" t="s">
        <v>153</v>
      </c>
      <c r="G694" s="69" t="s">
        <v>305</v>
      </c>
      <c r="H694" s="67">
        <v>0</v>
      </c>
      <c r="I694" s="67">
        <v>20</v>
      </c>
      <c r="J694" s="67" t="s">
        <v>172</v>
      </c>
      <c r="K694" s="67" t="s">
        <v>8</v>
      </c>
      <c r="L694" s="67" t="s">
        <v>3</v>
      </c>
      <c r="M694" s="67" t="s">
        <v>142</v>
      </c>
      <c r="N694" s="70">
        <v>1000</v>
      </c>
      <c r="O694" s="70">
        <v>1E-3</v>
      </c>
      <c r="P694" s="70"/>
      <c r="Q694" s="98">
        <v>1569</v>
      </c>
      <c r="R694" s="70">
        <v>1</v>
      </c>
      <c r="S694" s="70">
        <v>569</v>
      </c>
    </row>
    <row r="695" spans="1:19" s="56" customFormat="1">
      <c r="A695" s="67" t="s">
        <v>526</v>
      </c>
      <c r="B695" s="68" t="s">
        <v>527</v>
      </c>
      <c r="C695" s="67" t="s">
        <v>137</v>
      </c>
      <c r="D695" s="67" t="s">
        <v>138</v>
      </c>
      <c r="E695" s="67" t="s">
        <v>139</v>
      </c>
      <c r="F695" s="67" t="s">
        <v>153</v>
      </c>
      <c r="G695" s="69" t="s">
        <v>305</v>
      </c>
      <c r="H695" s="67">
        <v>0</v>
      </c>
      <c r="I695" s="67">
        <v>21</v>
      </c>
      <c r="J695" s="67" t="s">
        <v>173</v>
      </c>
      <c r="K695" s="67" t="s">
        <v>9</v>
      </c>
      <c r="L695" s="67" t="s">
        <v>3</v>
      </c>
      <c r="M695" s="67" t="s">
        <v>142</v>
      </c>
      <c r="N695" s="70">
        <v>1000</v>
      </c>
      <c r="O695" s="70">
        <v>1E-3</v>
      </c>
      <c r="P695" s="70"/>
      <c r="Q695" s="98">
        <v>1050</v>
      </c>
      <c r="R695" s="70">
        <v>1</v>
      </c>
      <c r="S695" s="70">
        <v>50</v>
      </c>
    </row>
    <row r="696" spans="1:19" s="56" customFormat="1">
      <c r="A696" s="67" t="s">
        <v>526</v>
      </c>
      <c r="B696" s="68" t="s">
        <v>527</v>
      </c>
      <c r="C696" s="67" t="s">
        <v>137</v>
      </c>
      <c r="D696" s="67" t="s">
        <v>138</v>
      </c>
      <c r="E696" s="67" t="s">
        <v>139</v>
      </c>
      <c r="F696" s="67" t="s">
        <v>153</v>
      </c>
      <c r="G696" s="69" t="s">
        <v>305</v>
      </c>
      <c r="H696" s="67">
        <v>0</v>
      </c>
      <c r="I696" s="67">
        <v>22</v>
      </c>
      <c r="J696" s="67" t="s">
        <v>174</v>
      </c>
      <c r="K696" s="67" t="s">
        <v>13</v>
      </c>
      <c r="L696" s="67" t="s">
        <v>3</v>
      </c>
      <c r="M696" s="67" t="s">
        <v>142</v>
      </c>
      <c r="N696" s="70">
        <v>1000</v>
      </c>
      <c r="O696" s="70">
        <v>1E-3</v>
      </c>
      <c r="P696" s="70"/>
      <c r="Q696" s="98">
        <v>1810</v>
      </c>
      <c r="R696" s="70">
        <v>1</v>
      </c>
      <c r="S696" s="70">
        <v>810</v>
      </c>
    </row>
    <row r="697" spans="1:19" s="56" customFormat="1">
      <c r="A697" s="67" t="s">
        <v>526</v>
      </c>
      <c r="B697" s="68" t="s">
        <v>527</v>
      </c>
      <c r="C697" s="67" t="s">
        <v>137</v>
      </c>
      <c r="D697" s="67" t="s">
        <v>138</v>
      </c>
      <c r="E697" s="67" t="s">
        <v>139</v>
      </c>
      <c r="F697" s="67" t="s">
        <v>167</v>
      </c>
      <c r="G697" s="69" t="s">
        <v>305</v>
      </c>
      <c r="H697" s="67">
        <v>0</v>
      </c>
      <c r="I697" s="67">
        <v>23</v>
      </c>
      <c r="J697" s="67" t="s">
        <v>270</v>
      </c>
      <c r="K697" s="67" t="s">
        <v>31</v>
      </c>
      <c r="L697" s="67" t="s">
        <v>3</v>
      </c>
      <c r="M697" s="67" t="s">
        <v>142</v>
      </c>
      <c r="N697" s="70">
        <v>1000</v>
      </c>
      <c r="O697" s="70">
        <v>0</v>
      </c>
      <c r="P697" s="70"/>
      <c r="Q697" s="98">
        <v>13000</v>
      </c>
      <c r="R697" s="70">
        <v>13</v>
      </c>
      <c r="S697" s="70">
        <v>0</v>
      </c>
    </row>
    <row r="698" spans="1:19" s="56" customFormat="1">
      <c r="A698" s="67" t="s">
        <v>526</v>
      </c>
      <c r="B698" s="68" t="s">
        <v>527</v>
      </c>
      <c r="C698" s="67" t="s">
        <v>137</v>
      </c>
      <c r="D698" s="67" t="s">
        <v>138</v>
      </c>
      <c r="E698" s="67" t="s">
        <v>139</v>
      </c>
      <c r="F698" s="67" t="s">
        <v>162</v>
      </c>
      <c r="G698" s="69" t="s">
        <v>305</v>
      </c>
      <c r="H698" s="67">
        <v>0</v>
      </c>
      <c r="I698" s="67">
        <v>24</v>
      </c>
      <c r="J698" s="67" t="s">
        <v>234</v>
      </c>
      <c r="K698" s="67" t="s">
        <v>233</v>
      </c>
      <c r="L698" s="67" t="s">
        <v>3</v>
      </c>
      <c r="M698" s="67" t="s">
        <v>142</v>
      </c>
      <c r="N698" s="70">
        <v>1000</v>
      </c>
      <c r="O698" s="70">
        <v>5.6</v>
      </c>
      <c r="P698" s="70"/>
      <c r="Q698" s="98">
        <v>125000</v>
      </c>
      <c r="R698" s="70">
        <v>125</v>
      </c>
      <c r="S698" s="70">
        <v>0</v>
      </c>
    </row>
    <row r="699" spans="1:19" s="56" customFormat="1">
      <c r="A699" s="67" t="s">
        <v>526</v>
      </c>
      <c r="B699" s="68" t="s">
        <v>527</v>
      </c>
      <c r="C699" s="67" t="s">
        <v>137</v>
      </c>
      <c r="D699" s="67" t="s">
        <v>138</v>
      </c>
      <c r="E699" s="67" t="s">
        <v>139</v>
      </c>
      <c r="F699" s="67" t="s">
        <v>162</v>
      </c>
      <c r="G699" s="69" t="s">
        <v>305</v>
      </c>
      <c r="H699" s="67">
        <v>0</v>
      </c>
      <c r="I699" s="67">
        <v>25</v>
      </c>
      <c r="J699" s="67" t="s">
        <v>240</v>
      </c>
      <c r="K699" s="67" t="s">
        <v>237</v>
      </c>
      <c r="L699" s="67" t="s">
        <v>3</v>
      </c>
      <c r="M699" s="67" t="s">
        <v>142</v>
      </c>
      <c r="N699" s="70">
        <v>1000</v>
      </c>
      <c r="O699" s="70">
        <v>1E-3</v>
      </c>
      <c r="P699" s="70"/>
      <c r="Q699" s="98">
        <v>20000</v>
      </c>
      <c r="R699" s="70">
        <v>20</v>
      </c>
      <c r="S699" s="70">
        <v>0</v>
      </c>
    </row>
    <row r="700" spans="1:19" s="56" customFormat="1">
      <c r="A700" s="67" t="s">
        <v>528</v>
      </c>
      <c r="B700" s="68" t="s">
        <v>529</v>
      </c>
      <c r="C700" s="67" t="s">
        <v>137</v>
      </c>
      <c r="D700" s="67" t="s">
        <v>138</v>
      </c>
      <c r="E700" s="67" t="s">
        <v>139</v>
      </c>
      <c r="F700" s="67" t="s">
        <v>153</v>
      </c>
      <c r="G700" s="69" t="s">
        <v>305</v>
      </c>
      <c r="H700" s="67">
        <v>0</v>
      </c>
      <c r="I700" s="67">
        <v>1</v>
      </c>
      <c r="J700" s="67" t="s">
        <v>315</v>
      </c>
      <c r="K700" s="67" t="s">
        <v>47</v>
      </c>
      <c r="L700" s="67" t="s">
        <v>3</v>
      </c>
      <c r="M700" s="67" t="s">
        <v>142</v>
      </c>
      <c r="N700" s="70">
        <v>1000</v>
      </c>
      <c r="O700" s="70">
        <v>1E-3</v>
      </c>
      <c r="P700" s="70"/>
      <c r="Q700" s="98">
        <v>2000</v>
      </c>
      <c r="R700" s="70">
        <v>2</v>
      </c>
      <c r="S700" s="70">
        <v>0</v>
      </c>
    </row>
    <row r="701" spans="1:19" s="56" customFormat="1">
      <c r="A701" s="67" t="s">
        <v>528</v>
      </c>
      <c r="B701" s="68" t="s">
        <v>529</v>
      </c>
      <c r="C701" s="67" t="s">
        <v>137</v>
      </c>
      <c r="D701" s="67" t="s">
        <v>138</v>
      </c>
      <c r="E701" s="67" t="s">
        <v>139</v>
      </c>
      <c r="F701" s="67" t="s">
        <v>153</v>
      </c>
      <c r="G701" s="69" t="s">
        <v>305</v>
      </c>
      <c r="H701" s="67">
        <v>0</v>
      </c>
      <c r="I701" s="67">
        <v>2</v>
      </c>
      <c r="J701" s="67" t="s">
        <v>495</v>
      </c>
      <c r="K701" s="67" t="s">
        <v>43</v>
      </c>
      <c r="L701" s="67" t="s">
        <v>3</v>
      </c>
      <c r="M701" s="67" t="s">
        <v>142</v>
      </c>
      <c r="N701" s="70">
        <v>1000</v>
      </c>
      <c r="O701" s="70">
        <v>1E-3</v>
      </c>
      <c r="P701" s="70"/>
      <c r="Q701" s="98">
        <v>12000</v>
      </c>
      <c r="R701" s="70">
        <v>12</v>
      </c>
      <c r="S701" s="70">
        <v>0</v>
      </c>
    </row>
    <row r="702" spans="1:19" s="56" customFormat="1">
      <c r="A702" s="67" t="s">
        <v>528</v>
      </c>
      <c r="B702" s="68" t="s">
        <v>529</v>
      </c>
      <c r="C702" s="67" t="s">
        <v>137</v>
      </c>
      <c r="D702" s="67" t="s">
        <v>138</v>
      </c>
      <c r="E702" s="67" t="s">
        <v>139</v>
      </c>
      <c r="F702" s="67" t="s">
        <v>153</v>
      </c>
      <c r="G702" s="69" t="s">
        <v>305</v>
      </c>
      <c r="H702" s="67">
        <v>0</v>
      </c>
      <c r="I702" s="67">
        <v>3</v>
      </c>
      <c r="J702" s="67" t="s">
        <v>530</v>
      </c>
      <c r="K702" s="67" t="s">
        <v>457</v>
      </c>
      <c r="L702" s="67" t="s">
        <v>3</v>
      </c>
      <c r="M702" s="67" t="s">
        <v>142</v>
      </c>
      <c r="N702" s="70">
        <v>1000</v>
      </c>
      <c r="O702" s="70">
        <v>1E-3</v>
      </c>
      <c r="P702" s="70"/>
      <c r="Q702" s="98">
        <v>25000</v>
      </c>
      <c r="R702" s="70">
        <v>25</v>
      </c>
      <c r="S702" s="70">
        <v>0</v>
      </c>
    </row>
    <row r="703" spans="1:19" s="56" customFormat="1">
      <c r="A703" s="67" t="s">
        <v>528</v>
      </c>
      <c r="B703" s="68" t="s">
        <v>529</v>
      </c>
      <c r="C703" s="67" t="s">
        <v>137</v>
      </c>
      <c r="D703" s="67" t="s">
        <v>138</v>
      </c>
      <c r="E703" s="67" t="s">
        <v>139</v>
      </c>
      <c r="F703" s="67" t="s">
        <v>153</v>
      </c>
      <c r="G703" s="69" t="s">
        <v>305</v>
      </c>
      <c r="H703" s="67">
        <v>0</v>
      </c>
      <c r="I703" s="67">
        <v>4</v>
      </c>
      <c r="J703" s="67" t="s">
        <v>344</v>
      </c>
      <c r="K703" s="67" t="s">
        <v>15</v>
      </c>
      <c r="L703" s="67" t="s">
        <v>3</v>
      </c>
      <c r="M703" s="67" t="s">
        <v>142</v>
      </c>
      <c r="N703" s="70">
        <v>1000</v>
      </c>
      <c r="O703" s="70">
        <v>1E-3</v>
      </c>
      <c r="P703" s="70"/>
      <c r="Q703" s="98">
        <v>2000</v>
      </c>
      <c r="R703" s="70">
        <v>2</v>
      </c>
      <c r="S703" s="70">
        <v>0</v>
      </c>
    </row>
    <row r="704" spans="1:19" s="56" customFormat="1">
      <c r="A704" s="67" t="s">
        <v>528</v>
      </c>
      <c r="B704" s="68" t="s">
        <v>529</v>
      </c>
      <c r="C704" s="67" t="s">
        <v>137</v>
      </c>
      <c r="D704" s="67" t="s">
        <v>138</v>
      </c>
      <c r="E704" s="67" t="s">
        <v>139</v>
      </c>
      <c r="F704" s="67" t="s">
        <v>140</v>
      </c>
      <c r="G704" s="69" t="s">
        <v>305</v>
      </c>
      <c r="H704" s="67">
        <v>0</v>
      </c>
      <c r="I704" s="67">
        <v>5</v>
      </c>
      <c r="J704" s="67" t="s">
        <v>150</v>
      </c>
      <c r="K704" s="67" t="s">
        <v>32</v>
      </c>
      <c r="L704" s="67" t="s">
        <v>3</v>
      </c>
      <c r="M704" s="67" t="s">
        <v>142</v>
      </c>
      <c r="N704" s="70">
        <v>1000</v>
      </c>
      <c r="O704" s="70">
        <v>20.5</v>
      </c>
      <c r="P704" s="70"/>
      <c r="Q704" s="98">
        <v>9000</v>
      </c>
      <c r="R704" s="70">
        <v>9</v>
      </c>
      <c r="S704" s="70">
        <v>0</v>
      </c>
    </row>
    <row r="705" spans="1:19" s="56" customFormat="1">
      <c r="A705" s="67" t="s">
        <v>528</v>
      </c>
      <c r="B705" s="68" t="s">
        <v>529</v>
      </c>
      <c r="C705" s="67" t="s">
        <v>137</v>
      </c>
      <c r="D705" s="67" t="s">
        <v>138</v>
      </c>
      <c r="E705" s="67" t="s">
        <v>139</v>
      </c>
      <c r="F705" s="67" t="s">
        <v>156</v>
      </c>
      <c r="G705" s="69" t="s">
        <v>305</v>
      </c>
      <c r="H705" s="67">
        <v>0</v>
      </c>
      <c r="I705" s="67">
        <v>6</v>
      </c>
      <c r="J705" s="67" t="s">
        <v>374</v>
      </c>
      <c r="K705" s="67" t="s">
        <v>44</v>
      </c>
      <c r="L705" s="67" t="s">
        <v>3</v>
      </c>
      <c r="M705" s="67" t="s">
        <v>142</v>
      </c>
      <c r="N705" s="70">
        <v>1000</v>
      </c>
      <c r="O705" s="70">
        <v>1E-3</v>
      </c>
      <c r="P705" s="70"/>
      <c r="Q705" s="98">
        <v>4000</v>
      </c>
      <c r="R705" s="70">
        <v>4</v>
      </c>
      <c r="S705" s="70">
        <v>0</v>
      </c>
    </row>
    <row r="706" spans="1:19" s="56" customFormat="1">
      <c r="A706" s="67" t="s">
        <v>528</v>
      </c>
      <c r="B706" s="68" t="s">
        <v>529</v>
      </c>
      <c r="C706" s="67" t="s">
        <v>137</v>
      </c>
      <c r="D706" s="67" t="s">
        <v>138</v>
      </c>
      <c r="E706" s="67" t="s">
        <v>139</v>
      </c>
      <c r="F706" s="67" t="s">
        <v>153</v>
      </c>
      <c r="G706" s="69" t="s">
        <v>305</v>
      </c>
      <c r="H706" s="67">
        <v>0</v>
      </c>
      <c r="I706" s="67">
        <v>7</v>
      </c>
      <c r="J706" s="67" t="s">
        <v>247</v>
      </c>
      <c r="K706" s="67" t="s">
        <v>79</v>
      </c>
      <c r="L706" s="67" t="s">
        <v>3</v>
      </c>
      <c r="M706" s="67" t="s">
        <v>142</v>
      </c>
      <c r="N706" s="70">
        <v>1000</v>
      </c>
      <c r="O706" s="70">
        <v>1E-3</v>
      </c>
      <c r="P706" s="70"/>
      <c r="Q706" s="98">
        <v>10000</v>
      </c>
      <c r="R706" s="70">
        <v>10</v>
      </c>
      <c r="S706" s="70">
        <v>0</v>
      </c>
    </row>
    <row r="707" spans="1:19" s="56" customFormat="1">
      <c r="A707" s="67" t="s">
        <v>528</v>
      </c>
      <c r="B707" s="68" t="s">
        <v>529</v>
      </c>
      <c r="C707" s="67" t="s">
        <v>137</v>
      </c>
      <c r="D707" s="67" t="s">
        <v>138</v>
      </c>
      <c r="E707" s="67" t="s">
        <v>139</v>
      </c>
      <c r="F707" s="67" t="s">
        <v>162</v>
      </c>
      <c r="G707" s="69" t="s">
        <v>305</v>
      </c>
      <c r="H707" s="67">
        <v>0</v>
      </c>
      <c r="I707" s="67">
        <v>8</v>
      </c>
      <c r="J707" s="67" t="s">
        <v>240</v>
      </c>
      <c r="K707" s="67" t="s">
        <v>237</v>
      </c>
      <c r="L707" s="67" t="s">
        <v>3</v>
      </c>
      <c r="M707" s="67" t="s">
        <v>142</v>
      </c>
      <c r="N707" s="70">
        <v>1000</v>
      </c>
      <c r="O707" s="70">
        <v>1E-3</v>
      </c>
      <c r="P707" s="70"/>
      <c r="Q707" s="98">
        <v>10000</v>
      </c>
      <c r="R707" s="70">
        <v>10</v>
      </c>
      <c r="S707" s="70">
        <v>0</v>
      </c>
    </row>
    <row r="708" spans="1:19" s="56" customFormat="1">
      <c r="A708" s="67" t="s">
        <v>528</v>
      </c>
      <c r="B708" s="68" t="s">
        <v>529</v>
      </c>
      <c r="C708" s="67" t="s">
        <v>137</v>
      </c>
      <c r="D708" s="67" t="s">
        <v>138</v>
      </c>
      <c r="E708" s="67" t="s">
        <v>139</v>
      </c>
      <c r="F708" s="67" t="s">
        <v>166</v>
      </c>
      <c r="G708" s="69" t="s">
        <v>305</v>
      </c>
      <c r="H708" s="67">
        <v>0</v>
      </c>
      <c r="I708" s="67">
        <v>9</v>
      </c>
      <c r="J708" s="67" t="s">
        <v>157</v>
      </c>
      <c r="K708" s="67" t="s">
        <v>48</v>
      </c>
      <c r="L708" s="67" t="s">
        <v>93</v>
      </c>
      <c r="M708" s="67" t="s">
        <v>158</v>
      </c>
      <c r="N708" s="70">
        <v>1000</v>
      </c>
      <c r="O708" s="70">
        <v>1E-3</v>
      </c>
      <c r="P708" s="70"/>
      <c r="Q708" s="98">
        <v>20000</v>
      </c>
      <c r="R708" s="70">
        <v>20</v>
      </c>
      <c r="S708" s="70">
        <v>0</v>
      </c>
    </row>
    <row r="709" spans="1:19" s="56" customFormat="1">
      <c r="A709" s="67" t="s">
        <v>528</v>
      </c>
      <c r="B709" s="68" t="s">
        <v>529</v>
      </c>
      <c r="C709" s="67" t="s">
        <v>137</v>
      </c>
      <c r="D709" s="67" t="s">
        <v>138</v>
      </c>
      <c r="E709" s="67" t="s">
        <v>139</v>
      </c>
      <c r="F709" s="67" t="s">
        <v>153</v>
      </c>
      <c r="G709" s="69" t="s">
        <v>305</v>
      </c>
      <c r="H709" s="67">
        <v>0</v>
      </c>
      <c r="I709" s="67">
        <v>10</v>
      </c>
      <c r="J709" s="67" t="s">
        <v>154</v>
      </c>
      <c r="K709" s="67" t="s">
        <v>23</v>
      </c>
      <c r="L709" s="67" t="s">
        <v>3</v>
      </c>
      <c r="M709" s="67" t="s">
        <v>142</v>
      </c>
      <c r="N709" s="70">
        <v>1000</v>
      </c>
      <c r="O709" s="70">
        <v>32.021000000000001</v>
      </c>
      <c r="P709" s="70"/>
      <c r="Q709" s="98">
        <v>200000</v>
      </c>
      <c r="R709" s="70">
        <v>200</v>
      </c>
      <c r="S709" s="70">
        <v>0</v>
      </c>
    </row>
    <row r="710" spans="1:19" s="56" customFormat="1">
      <c r="A710" s="67" t="s">
        <v>528</v>
      </c>
      <c r="B710" s="68" t="s">
        <v>529</v>
      </c>
      <c r="C710" s="67" t="s">
        <v>137</v>
      </c>
      <c r="D710" s="67" t="s">
        <v>138</v>
      </c>
      <c r="E710" s="67" t="s">
        <v>139</v>
      </c>
      <c r="F710" s="67" t="s">
        <v>153</v>
      </c>
      <c r="G710" s="69" t="s">
        <v>305</v>
      </c>
      <c r="H710" s="67">
        <v>0</v>
      </c>
      <c r="I710" s="67">
        <v>11</v>
      </c>
      <c r="J710" s="67" t="s">
        <v>246</v>
      </c>
      <c r="K710" s="67" t="s">
        <v>7</v>
      </c>
      <c r="L710" s="67" t="s">
        <v>3</v>
      </c>
      <c r="M710" s="67" t="s">
        <v>142</v>
      </c>
      <c r="N710" s="70">
        <v>1000</v>
      </c>
      <c r="O710" s="70">
        <v>1E-3</v>
      </c>
      <c r="P710" s="70"/>
      <c r="Q710" s="98">
        <v>13000</v>
      </c>
      <c r="R710" s="70">
        <v>13</v>
      </c>
      <c r="S710" s="70">
        <v>0</v>
      </c>
    </row>
    <row r="711" spans="1:19" s="56" customFormat="1">
      <c r="A711" s="67" t="s">
        <v>528</v>
      </c>
      <c r="B711" s="68" t="s">
        <v>529</v>
      </c>
      <c r="C711" s="67" t="s">
        <v>137</v>
      </c>
      <c r="D711" s="67" t="s">
        <v>138</v>
      </c>
      <c r="E711" s="67" t="s">
        <v>139</v>
      </c>
      <c r="F711" s="67" t="s">
        <v>153</v>
      </c>
      <c r="G711" s="69" t="s">
        <v>305</v>
      </c>
      <c r="H711" s="67">
        <v>0</v>
      </c>
      <c r="I711" s="67">
        <v>12</v>
      </c>
      <c r="J711" s="67" t="s">
        <v>155</v>
      </c>
      <c r="K711" s="67" t="s">
        <v>33</v>
      </c>
      <c r="L711" s="67" t="s">
        <v>3</v>
      </c>
      <c r="M711" s="67" t="s">
        <v>142</v>
      </c>
      <c r="N711" s="70">
        <v>1000</v>
      </c>
      <c r="O711" s="70">
        <v>13.6</v>
      </c>
      <c r="P711" s="70"/>
      <c r="Q711" s="98">
        <v>100000</v>
      </c>
      <c r="R711" s="70">
        <v>100</v>
      </c>
      <c r="S711" s="70">
        <v>0</v>
      </c>
    </row>
    <row r="712" spans="1:19" s="56" customFormat="1">
      <c r="A712" s="67" t="s">
        <v>528</v>
      </c>
      <c r="B712" s="68" t="s">
        <v>529</v>
      </c>
      <c r="C712" s="67" t="s">
        <v>137</v>
      </c>
      <c r="D712" s="67" t="s">
        <v>138</v>
      </c>
      <c r="E712" s="67" t="s">
        <v>139</v>
      </c>
      <c r="F712" s="67" t="s">
        <v>166</v>
      </c>
      <c r="G712" s="69" t="s">
        <v>305</v>
      </c>
      <c r="H712" s="67">
        <v>0</v>
      </c>
      <c r="I712" s="67">
        <v>13</v>
      </c>
      <c r="J712" s="67" t="s">
        <v>319</v>
      </c>
      <c r="K712" s="67" t="s">
        <v>72</v>
      </c>
      <c r="L712" s="67" t="s">
        <v>3</v>
      </c>
      <c r="M712" s="67" t="s">
        <v>142</v>
      </c>
      <c r="N712" s="70">
        <v>1000</v>
      </c>
      <c r="O712" s="70">
        <v>1E-3</v>
      </c>
      <c r="P712" s="70"/>
      <c r="Q712" s="98">
        <v>50000</v>
      </c>
      <c r="R712" s="70">
        <v>50</v>
      </c>
      <c r="S712" s="70">
        <v>0</v>
      </c>
    </row>
    <row r="713" spans="1:19" s="56" customFormat="1">
      <c r="A713" s="67" t="s">
        <v>528</v>
      </c>
      <c r="B713" s="68" t="s">
        <v>529</v>
      </c>
      <c r="C713" s="67" t="s">
        <v>137</v>
      </c>
      <c r="D713" s="67" t="s">
        <v>138</v>
      </c>
      <c r="E713" s="67" t="s">
        <v>139</v>
      </c>
      <c r="F713" s="67" t="s">
        <v>140</v>
      </c>
      <c r="G713" s="69" t="s">
        <v>305</v>
      </c>
      <c r="H713" s="67">
        <v>0</v>
      </c>
      <c r="I713" s="67">
        <v>14</v>
      </c>
      <c r="J713" s="67" t="s">
        <v>141</v>
      </c>
      <c r="K713" s="67" t="s">
        <v>37</v>
      </c>
      <c r="L713" s="67" t="s">
        <v>3</v>
      </c>
      <c r="M713" s="67" t="s">
        <v>142</v>
      </c>
      <c r="N713" s="70">
        <v>1000</v>
      </c>
      <c r="O713" s="70">
        <v>200</v>
      </c>
      <c r="P713" s="70"/>
      <c r="Q713" s="98">
        <v>10201</v>
      </c>
      <c r="R713" s="70">
        <v>10</v>
      </c>
      <c r="S713" s="70">
        <v>201</v>
      </c>
    </row>
    <row r="714" spans="1:19" s="56" customFormat="1">
      <c r="A714" s="67" t="s">
        <v>528</v>
      </c>
      <c r="B714" s="68" t="s">
        <v>529</v>
      </c>
      <c r="C714" s="67" t="s">
        <v>137</v>
      </c>
      <c r="D714" s="67" t="s">
        <v>138</v>
      </c>
      <c r="E714" s="67" t="s">
        <v>139</v>
      </c>
      <c r="F714" s="67" t="s">
        <v>140</v>
      </c>
      <c r="G714" s="69" t="s">
        <v>305</v>
      </c>
      <c r="H714" s="67">
        <v>0</v>
      </c>
      <c r="I714" s="67">
        <v>15</v>
      </c>
      <c r="J714" s="67" t="s">
        <v>172</v>
      </c>
      <c r="K714" s="67" t="s">
        <v>8</v>
      </c>
      <c r="L714" s="67" t="s">
        <v>3</v>
      </c>
      <c r="M714" s="67" t="s">
        <v>142</v>
      </c>
      <c r="N714" s="70">
        <v>1000</v>
      </c>
      <c r="O714" s="70">
        <v>1E-3</v>
      </c>
      <c r="P714" s="70"/>
      <c r="Q714" s="98">
        <v>2334</v>
      </c>
      <c r="R714" s="70">
        <v>2</v>
      </c>
      <c r="S714" s="70">
        <v>334</v>
      </c>
    </row>
    <row r="715" spans="1:19" s="56" customFormat="1">
      <c r="A715" s="67" t="s">
        <v>528</v>
      </c>
      <c r="B715" s="68" t="s">
        <v>529</v>
      </c>
      <c r="C715" s="67" t="s">
        <v>137</v>
      </c>
      <c r="D715" s="67" t="s">
        <v>138</v>
      </c>
      <c r="E715" s="67" t="s">
        <v>139</v>
      </c>
      <c r="F715" s="67" t="s">
        <v>140</v>
      </c>
      <c r="G715" s="69" t="s">
        <v>305</v>
      </c>
      <c r="H715" s="67">
        <v>0</v>
      </c>
      <c r="I715" s="67">
        <v>16</v>
      </c>
      <c r="J715" s="67" t="s">
        <v>143</v>
      </c>
      <c r="K715" s="67" t="s">
        <v>90</v>
      </c>
      <c r="L715" s="67" t="s">
        <v>3</v>
      </c>
      <c r="M715" s="67" t="s">
        <v>142</v>
      </c>
      <c r="N715" s="70">
        <v>1000</v>
      </c>
      <c r="O715" s="70">
        <v>359.59699999999998</v>
      </c>
      <c r="P715" s="70"/>
      <c r="Q715" s="98">
        <v>2417</v>
      </c>
      <c r="R715" s="70">
        <v>2</v>
      </c>
      <c r="S715" s="70">
        <v>417</v>
      </c>
    </row>
    <row r="716" spans="1:19" s="56" customFormat="1">
      <c r="A716" s="67" t="s">
        <v>528</v>
      </c>
      <c r="B716" s="68" t="s">
        <v>529</v>
      </c>
      <c r="C716" s="67" t="s">
        <v>137</v>
      </c>
      <c r="D716" s="67" t="s">
        <v>138</v>
      </c>
      <c r="E716" s="67" t="s">
        <v>139</v>
      </c>
      <c r="F716" s="67" t="s">
        <v>140</v>
      </c>
      <c r="G716" s="69" t="s">
        <v>305</v>
      </c>
      <c r="H716" s="67">
        <v>0</v>
      </c>
      <c r="I716" s="67">
        <v>17</v>
      </c>
      <c r="J716" s="67" t="s">
        <v>346</v>
      </c>
      <c r="K716" s="67" t="s">
        <v>343</v>
      </c>
      <c r="L716" s="67" t="s">
        <v>3</v>
      </c>
      <c r="M716" s="67" t="s">
        <v>142</v>
      </c>
      <c r="N716" s="70">
        <v>1000</v>
      </c>
      <c r="O716" s="70">
        <v>1E-3</v>
      </c>
      <c r="P716" s="70"/>
      <c r="Q716" s="98">
        <v>1958</v>
      </c>
      <c r="R716" s="70">
        <v>1</v>
      </c>
      <c r="S716" s="70">
        <v>958</v>
      </c>
    </row>
    <row r="717" spans="1:19" s="56" customFormat="1">
      <c r="A717" s="67" t="s">
        <v>528</v>
      </c>
      <c r="B717" s="68" t="s">
        <v>529</v>
      </c>
      <c r="C717" s="67" t="s">
        <v>137</v>
      </c>
      <c r="D717" s="67" t="s">
        <v>138</v>
      </c>
      <c r="E717" s="67" t="s">
        <v>139</v>
      </c>
      <c r="F717" s="67" t="s">
        <v>140</v>
      </c>
      <c r="G717" s="69" t="s">
        <v>305</v>
      </c>
      <c r="H717" s="67">
        <v>0</v>
      </c>
      <c r="I717" s="67">
        <v>18</v>
      </c>
      <c r="J717" s="67" t="s">
        <v>151</v>
      </c>
      <c r="K717" s="67" t="s">
        <v>28</v>
      </c>
      <c r="L717" s="67" t="s">
        <v>3</v>
      </c>
      <c r="M717" s="67" t="s">
        <v>142</v>
      </c>
      <c r="N717" s="70">
        <v>1000</v>
      </c>
      <c r="O717" s="70">
        <v>1E-3</v>
      </c>
      <c r="P717" s="70"/>
      <c r="Q717" s="98">
        <v>4</v>
      </c>
      <c r="R717" s="70">
        <v>0</v>
      </c>
      <c r="S717" s="70">
        <v>4</v>
      </c>
    </row>
    <row r="718" spans="1:19" s="56" customFormat="1">
      <c r="A718" s="67" t="s">
        <v>528</v>
      </c>
      <c r="B718" s="68" t="s">
        <v>529</v>
      </c>
      <c r="C718" s="67" t="s">
        <v>137</v>
      </c>
      <c r="D718" s="67" t="s">
        <v>138</v>
      </c>
      <c r="E718" s="67" t="s">
        <v>139</v>
      </c>
      <c r="F718" s="67" t="s">
        <v>140</v>
      </c>
      <c r="G718" s="69" t="s">
        <v>305</v>
      </c>
      <c r="H718" s="67">
        <v>0</v>
      </c>
      <c r="I718" s="67">
        <v>19</v>
      </c>
      <c r="J718" s="67" t="s">
        <v>169</v>
      </c>
      <c r="K718" s="67" t="s">
        <v>64</v>
      </c>
      <c r="L718" s="67" t="s">
        <v>3</v>
      </c>
      <c r="M718" s="67" t="s">
        <v>142</v>
      </c>
      <c r="N718" s="70">
        <v>1000</v>
      </c>
      <c r="O718" s="70">
        <v>1E-3</v>
      </c>
      <c r="P718" s="70"/>
      <c r="Q718" s="98">
        <v>130</v>
      </c>
      <c r="R718" s="70">
        <v>0</v>
      </c>
      <c r="S718" s="70">
        <v>130</v>
      </c>
    </row>
    <row r="719" spans="1:19" s="56" customFormat="1">
      <c r="A719" s="67" t="s">
        <v>528</v>
      </c>
      <c r="B719" s="68" t="s">
        <v>529</v>
      </c>
      <c r="C719" s="67" t="s">
        <v>137</v>
      </c>
      <c r="D719" s="67" t="s">
        <v>138</v>
      </c>
      <c r="E719" s="67" t="s">
        <v>139</v>
      </c>
      <c r="F719" s="67" t="s">
        <v>140</v>
      </c>
      <c r="G719" s="69" t="s">
        <v>305</v>
      </c>
      <c r="H719" s="67">
        <v>0</v>
      </c>
      <c r="I719" s="67">
        <v>20</v>
      </c>
      <c r="J719" s="67" t="s">
        <v>144</v>
      </c>
      <c r="K719" s="67" t="s">
        <v>26</v>
      </c>
      <c r="L719" s="67" t="s">
        <v>3</v>
      </c>
      <c r="M719" s="67" t="s">
        <v>142</v>
      </c>
      <c r="N719" s="70">
        <v>1000</v>
      </c>
      <c r="O719" s="70">
        <v>1E-3</v>
      </c>
      <c r="P719" s="70"/>
      <c r="Q719" s="98">
        <v>14140</v>
      </c>
      <c r="R719" s="70">
        <v>14</v>
      </c>
      <c r="S719" s="70">
        <v>140</v>
      </c>
    </row>
    <row r="720" spans="1:19" s="56" customFormat="1">
      <c r="A720" s="67" t="s">
        <v>528</v>
      </c>
      <c r="B720" s="68" t="s">
        <v>529</v>
      </c>
      <c r="C720" s="67" t="s">
        <v>137</v>
      </c>
      <c r="D720" s="67" t="s">
        <v>138</v>
      </c>
      <c r="E720" s="67" t="s">
        <v>139</v>
      </c>
      <c r="F720" s="67" t="s">
        <v>140</v>
      </c>
      <c r="G720" s="69" t="s">
        <v>305</v>
      </c>
      <c r="H720" s="67">
        <v>0</v>
      </c>
      <c r="I720" s="67">
        <v>21</v>
      </c>
      <c r="J720" s="67" t="s">
        <v>145</v>
      </c>
      <c r="K720" s="67" t="s">
        <v>27</v>
      </c>
      <c r="L720" s="67" t="s">
        <v>3</v>
      </c>
      <c r="M720" s="67" t="s">
        <v>142</v>
      </c>
      <c r="N720" s="70">
        <v>1000</v>
      </c>
      <c r="O720" s="70">
        <v>1E-3</v>
      </c>
      <c r="P720" s="70"/>
      <c r="Q720" s="98">
        <v>63</v>
      </c>
      <c r="R720" s="70">
        <v>0</v>
      </c>
      <c r="S720" s="70">
        <v>63</v>
      </c>
    </row>
    <row r="721" spans="1:19" s="56" customFormat="1">
      <c r="A721" s="67" t="s">
        <v>528</v>
      </c>
      <c r="B721" s="68" t="s">
        <v>529</v>
      </c>
      <c r="C721" s="67" t="s">
        <v>137</v>
      </c>
      <c r="D721" s="67" t="s">
        <v>138</v>
      </c>
      <c r="E721" s="67" t="s">
        <v>139</v>
      </c>
      <c r="F721" s="67" t="s">
        <v>140</v>
      </c>
      <c r="G721" s="69" t="s">
        <v>305</v>
      </c>
      <c r="H721" s="67">
        <v>0</v>
      </c>
      <c r="I721" s="67">
        <v>22</v>
      </c>
      <c r="J721" s="67" t="s">
        <v>289</v>
      </c>
      <c r="K721" s="67" t="s">
        <v>255</v>
      </c>
      <c r="L721" s="67" t="s">
        <v>3</v>
      </c>
      <c r="M721" s="67" t="s">
        <v>142</v>
      </c>
      <c r="N721" s="70">
        <v>1000</v>
      </c>
      <c r="O721" s="70">
        <v>1E-3</v>
      </c>
      <c r="P721" s="70"/>
      <c r="Q721" s="98">
        <v>36</v>
      </c>
      <c r="R721" s="70">
        <v>0</v>
      </c>
      <c r="S721" s="70">
        <v>36</v>
      </c>
    </row>
    <row r="722" spans="1:19" s="56" customFormat="1">
      <c r="A722" s="67" t="s">
        <v>528</v>
      </c>
      <c r="B722" s="68" t="s">
        <v>529</v>
      </c>
      <c r="C722" s="67" t="s">
        <v>137</v>
      </c>
      <c r="D722" s="67" t="s">
        <v>138</v>
      </c>
      <c r="E722" s="67" t="s">
        <v>139</v>
      </c>
      <c r="F722" s="67" t="s">
        <v>140</v>
      </c>
      <c r="G722" s="69" t="s">
        <v>305</v>
      </c>
      <c r="H722" s="67">
        <v>0</v>
      </c>
      <c r="I722" s="67">
        <v>23</v>
      </c>
      <c r="J722" s="67" t="s">
        <v>173</v>
      </c>
      <c r="K722" s="67" t="s">
        <v>9</v>
      </c>
      <c r="L722" s="67" t="s">
        <v>3</v>
      </c>
      <c r="M722" s="67" t="s">
        <v>142</v>
      </c>
      <c r="N722" s="70">
        <v>1000</v>
      </c>
      <c r="O722" s="70">
        <v>1E-3</v>
      </c>
      <c r="P722" s="70"/>
      <c r="Q722" s="98">
        <v>1097</v>
      </c>
      <c r="R722" s="70">
        <v>1</v>
      </c>
      <c r="S722" s="70">
        <v>97</v>
      </c>
    </row>
    <row r="723" spans="1:19" s="56" customFormat="1">
      <c r="A723" s="67" t="s">
        <v>528</v>
      </c>
      <c r="B723" s="68" t="s">
        <v>529</v>
      </c>
      <c r="C723" s="67" t="s">
        <v>137</v>
      </c>
      <c r="D723" s="67" t="s">
        <v>138</v>
      </c>
      <c r="E723" s="67" t="s">
        <v>139</v>
      </c>
      <c r="F723" s="67" t="s">
        <v>140</v>
      </c>
      <c r="G723" s="69" t="s">
        <v>305</v>
      </c>
      <c r="H723" s="67">
        <v>0</v>
      </c>
      <c r="I723" s="67">
        <v>24</v>
      </c>
      <c r="J723" s="67" t="s">
        <v>171</v>
      </c>
      <c r="K723" s="67" t="s">
        <v>102</v>
      </c>
      <c r="L723" s="67" t="s">
        <v>3</v>
      </c>
      <c r="M723" s="67" t="s">
        <v>142</v>
      </c>
      <c r="N723" s="70">
        <v>1000</v>
      </c>
      <c r="O723" s="70">
        <v>1E-3</v>
      </c>
      <c r="P723" s="70"/>
      <c r="Q723" s="98">
        <v>17</v>
      </c>
      <c r="R723" s="70">
        <v>0</v>
      </c>
      <c r="S723" s="70">
        <v>17</v>
      </c>
    </row>
    <row r="724" spans="1:19" s="56" customFormat="1">
      <c r="A724" s="67" t="s">
        <v>528</v>
      </c>
      <c r="B724" s="68" t="s">
        <v>529</v>
      </c>
      <c r="C724" s="67" t="s">
        <v>137</v>
      </c>
      <c r="D724" s="67" t="s">
        <v>138</v>
      </c>
      <c r="E724" s="67" t="s">
        <v>139</v>
      </c>
      <c r="F724" s="67" t="s">
        <v>140</v>
      </c>
      <c r="G724" s="69" t="s">
        <v>305</v>
      </c>
      <c r="H724" s="67">
        <v>0</v>
      </c>
      <c r="I724" s="67">
        <v>25</v>
      </c>
      <c r="J724" s="67" t="s">
        <v>146</v>
      </c>
      <c r="K724" s="67" t="s">
        <v>46</v>
      </c>
      <c r="L724" s="67" t="s">
        <v>3</v>
      </c>
      <c r="M724" s="67" t="s">
        <v>142</v>
      </c>
      <c r="N724" s="70">
        <v>1000</v>
      </c>
      <c r="O724" s="70">
        <v>1E-3</v>
      </c>
      <c r="P724" s="70"/>
      <c r="Q724" s="98">
        <v>91</v>
      </c>
      <c r="R724" s="70">
        <v>0</v>
      </c>
      <c r="S724" s="70">
        <v>91</v>
      </c>
    </row>
    <row r="725" spans="1:19" s="56" customFormat="1">
      <c r="A725" s="67" t="s">
        <v>528</v>
      </c>
      <c r="B725" s="68" t="s">
        <v>529</v>
      </c>
      <c r="C725" s="67" t="s">
        <v>137</v>
      </c>
      <c r="D725" s="67" t="s">
        <v>138</v>
      </c>
      <c r="E725" s="67" t="s">
        <v>139</v>
      </c>
      <c r="F725" s="67" t="s">
        <v>140</v>
      </c>
      <c r="G725" s="69" t="s">
        <v>305</v>
      </c>
      <c r="H725" s="67">
        <v>0</v>
      </c>
      <c r="I725" s="67">
        <v>26</v>
      </c>
      <c r="J725" s="67" t="s">
        <v>170</v>
      </c>
      <c r="K725" s="67" t="s">
        <v>29</v>
      </c>
      <c r="L725" s="67" t="s">
        <v>3</v>
      </c>
      <c r="M725" s="67" t="s">
        <v>142</v>
      </c>
      <c r="N725" s="70">
        <v>1000</v>
      </c>
      <c r="O725" s="70">
        <v>1E-3</v>
      </c>
      <c r="P725" s="70"/>
      <c r="Q725" s="98">
        <v>12</v>
      </c>
      <c r="R725" s="70">
        <v>0</v>
      </c>
      <c r="S725" s="70">
        <v>12</v>
      </c>
    </row>
    <row r="726" spans="1:19" s="56" customFormat="1">
      <c r="A726" s="67" t="s">
        <v>528</v>
      </c>
      <c r="B726" s="68" t="s">
        <v>529</v>
      </c>
      <c r="C726" s="67" t="s">
        <v>137</v>
      </c>
      <c r="D726" s="67" t="s">
        <v>138</v>
      </c>
      <c r="E726" s="67" t="s">
        <v>139</v>
      </c>
      <c r="F726" s="67" t="s">
        <v>140</v>
      </c>
      <c r="G726" s="69" t="s">
        <v>305</v>
      </c>
      <c r="H726" s="67">
        <v>0</v>
      </c>
      <c r="I726" s="67">
        <v>27</v>
      </c>
      <c r="J726" s="67" t="s">
        <v>148</v>
      </c>
      <c r="K726" s="67" t="s">
        <v>30</v>
      </c>
      <c r="L726" s="67" t="s">
        <v>3</v>
      </c>
      <c r="M726" s="67" t="s">
        <v>142</v>
      </c>
      <c r="N726" s="70">
        <v>1000</v>
      </c>
      <c r="O726" s="70">
        <v>1E-3</v>
      </c>
      <c r="P726" s="70"/>
      <c r="Q726" s="98">
        <v>8183</v>
      </c>
      <c r="R726" s="70">
        <v>8</v>
      </c>
      <c r="S726" s="70">
        <v>183</v>
      </c>
    </row>
    <row r="727" spans="1:19" s="56" customFormat="1">
      <c r="A727" s="67" t="s">
        <v>528</v>
      </c>
      <c r="B727" s="68" t="s">
        <v>529</v>
      </c>
      <c r="C727" s="67" t="s">
        <v>137</v>
      </c>
      <c r="D727" s="67" t="s">
        <v>138</v>
      </c>
      <c r="E727" s="67" t="s">
        <v>139</v>
      </c>
      <c r="F727" s="67" t="s">
        <v>153</v>
      </c>
      <c r="G727" s="69" t="s">
        <v>305</v>
      </c>
      <c r="H727" s="67">
        <v>0</v>
      </c>
      <c r="I727" s="67">
        <v>28</v>
      </c>
      <c r="J727" s="67" t="s">
        <v>174</v>
      </c>
      <c r="K727" s="67" t="s">
        <v>13</v>
      </c>
      <c r="L727" s="67" t="s">
        <v>3</v>
      </c>
      <c r="M727" s="67" t="s">
        <v>142</v>
      </c>
      <c r="N727" s="70">
        <v>1000</v>
      </c>
      <c r="O727" s="70">
        <v>1E-3</v>
      </c>
      <c r="P727" s="70"/>
      <c r="Q727" s="98">
        <v>1815</v>
      </c>
      <c r="R727" s="70">
        <v>1</v>
      </c>
      <c r="S727" s="70">
        <v>815</v>
      </c>
    </row>
    <row r="728" spans="1:19" s="56" customFormat="1">
      <c r="A728" s="67" t="s">
        <v>528</v>
      </c>
      <c r="B728" s="68" t="s">
        <v>529</v>
      </c>
      <c r="C728" s="67" t="s">
        <v>137</v>
      </c>
      <c r="D728" s="67" t="s">
        <v>138</v>
      </c>
      <c r="E728" s="67" t="s">
        <v>139</v>
      </c>
      <c r="F728" s="67" t="s">
        <v>140</v>
      </c>
      <c r="G728" s="69" t="s">
        <v>305</v>
      </c>
      <c r="H728" s="67">
        <v>0</v>
      </c>
      <c r="I728" s="67">
        <v>29</v>
      </c>
      <c r="J728" s="67" t="s">
        <v>314</v>
      </c>
      <c r="K728" s="67" t="s">
        <v>281</v>
      </c>
      <c r="L728" s="67" t="s">
        <v>3</v>
      </c>
      <c r="M728" s="67" t="s">
        <v>142</v>
      </c>
      <c r="N728" s="70">
        <v>1000</v>
      </c>
      <c r="O728" s="70">
        <v>1E-3</v>
      </c>
      <c r="P728" s="70"/>
      <c r="Q728" s="98">
        <v>240000</v>
      </c>
      <c r="R728" s="70">
        <v>240</v>
      </c>
      <c r="S728" s="70">
        <v>0</v>
      </c>
    </row>
    <row r="729" spans="1:19" s="56" customFormat="1">
      <c r="A729" s="67" t="s">
        <v>528</v>
      </c>
      <c r="B729" s="68" t="s">
        <v>529</v>
      </c>
      <c r="C729" s="67" t="s">
        <v>137</v>
      </c>
      <c r="D729" s="67" t="s">
        <v>138</v>
      </c>
      <c r="E729" s="67" t="s">
        <v>139</v>
      </c>
      <c r="F729" s="67" t="s">
        <v>156</v>
      </c>
      <c r="G729" s="69" t="s">
        <v>305</v>
      </c>
      <c r="H729" s="67">
        <v>0</v>
      </c>
      <c r="I729" s="67">
        <v>30</v>
      </c>
      <c r="J729" s="67" t="s">
        <v>373</v>
      </c>
      <c r="K729" s="67" t="s">
        <v>35</v>
      </c>
      <c r="L729" s="67" t="s">
        <v>3</v>
      </c>
      <c r="M729" s="67" t="s">
        <v>142</v>
      </c>
      <c r="N729" s="70">
        <v>1000</v>
      </c>
      <c r="O729" s="70">
        <v>1E-3</v>
      </c>
      <c r="P729" s="70"/>
      <c r="Q729" s="98">
        <v>3000</v>
      </c>
      <c r="R729" s="70">
        <v>3</v>
      </c>
      <c r="S729" s="70">
        <v>0</v>
      </c>
    </row>
    <row r="730" spans="1:19" s="56" customFormat="1">
      <c r="A730" s="67" t="s">
        <v>528</v>
      </c>
      <c r="B730" s="68" t="s">
        <v>529</v>
      </c>
      <c r="C730" s="67" t="s">
        <v>137</v>
      </c>
      <c r="D730" s="67" t="s">
        <v>138</v>
      </c>
      <c r="E730" s="67" t="s">
        <v>139</v>
      </c>
      <c r="F730" s="67" t="s">
        <v>153</v>
      </c>
      <c r="G730" s="69" t="s">
        <v>305</v>
      </c>
      <c r="H730" s="67">
        <v>0</v>
      </c>
      <c r="I730" s="67">
        <v>31</v>
      </c>
      <c r="J730" s="67" t="s">
        <v>317</v>
      </c>
      <c r="K730" s="67" t="s">
        <v>17</v>
      </c>
      <c r="L730" s="67" t="s">
        <v>3</v>
      </c>
      <c r="M730" s="67" t="s">
        <v>142</v>
      </c>
      <c r="N730" s="70">
        <v>1000</v>
      </c>
      <c r="O730" s="70">
        <v>1E-3</v>
      </c>
      <c r="P730" s="70"/>
      <c r="Q730" s="98">
        <v>28000</v>
      </c>
      <c r="R730" s="70">
        <v>28</v>
      </c>
      <c r="S730" s="70">
        <v>0</v>
      </c>
    </row>
    <row r="731" spans="1:19" s="56" customFormat="1">
      <c r="A731" s="67" t="s">
        <v>528</v>
      </c>
      <c r="B731" s="68" t="s">
        <v>529</v>
      </c>
      <c r="C731" s="67" t="s">
        <v>137</v>
      </c>
      <c r="D731" s="67" t="s">
        <v>138</v>
      </c>
      <c r="E731" s="67" t="s">
        <v>139</v>
      </c>
      <c r="F731" s="67" t="s">
        <v>140</v>
      </c>
      <c r="G731" s="69" t="s">
        <v>305</v>
      </c>
      <c r="H731" s="67">
        <v>0</v>
      </c>
      <c r="I731" s="67">
        <v>32</v>
      </c>
      <c r="J731" s="67" t="s">
        <v>152</v>
      </c>
      <c r="K731" s="67" t="s">
        <v>57</v>
      </c>
      <c r="L731" s="67" t="s">
        <v>3</v>
      </c>
      <c r="M731" s="67" t="s">
        <v>142</v>
      </c>
      <c r="N731" s="70">
        <v>1000</v>
      </c>
      <c r="O731" s="70">
        <v>16</v>
      </c>
      <c r="P731" s="70"/>
      <c r="Q731" s="98">
        <v>25000</v>
      </c>
      <c r="R731" s="70">
        <v>25</v>
      </c>
      <c r="S731" s="70">
        <v>0</v>
      </c>
    </row>
    <row r="732" spans="1:19" s="56" customFormat="1">
      <c r="A732" s="67" t="s">
        <v>528</v>
      </c>
      <c r="B732" s="68" t="s">
        <v>529</v>
      </c>
      <c r="C732" s="67" t="s">
        <v>137</v>
      </c>
      <c r="D732" s="67" t="s">
        <v>138</v>
      </c>
      <c r="E732" s="67" t="s">
        <v>139</v>
      </c>
      <c r="F732" s="67" t="s">
        <v>162</v>
      </c>
      <c r="G732" s="69" t="s">
        <v>305</v>
      </c>
      <c r="H732" s="67">
        <v>0</v>
      </c>
      <c r="I732" s="67">
        <v>33</v>
      </c>
      <c r="J732" s="67" t="s">
        <v>263</v>
      </c>
      <c r="K732" s="67" t="s">
        <v>259</v>
      </c>
      <c r="L732" s="67" t="s">
        <v>3</v>
      </c>
      <c r="M732" s="67" t="s">
        <v>142</v>
      </c>
      <c r="N732" s="70">
        <v>1000</v>
      </c>
      <c r="O732" s="70">
        <v>1E-3</v>
      </c>
      <c r="P732" s="70"/>
      <c r="Q732" s="98">
        <v>25000</v>
      </c>
      <c r="R732" s="70">
        <v>25</v>
      </c>
      <c r="S732" s="70">
        <v>0</v>
      </c>
    </row>
    <row r="733" spans="1:19" s="56" customFormat="1">
      <c r="A733" s="67" t="s">
        <v>731</v>
      </c>
      <c r="B733" s="68" t="s">
        <v>732</v>
      </c>
      <c r="C733" s="67" t="s">
        <v>137</v>
      </c>
      <c r="D733" s="67" t="s">
        <v>138</v>
      </c>
      <c r="E733" s="67" t="s">
        <v>139</v>
      </c>
      <c r="F733" s="67" t="s">
        <v>166</v>
      </c>
      <c r="G733" s="69" t="s">
        <v>305</v>
      </c>
      <c r="H733" s="67">
        <v>0</v>
      </c>
      <c r="I733" s="67">
        <v>1</v>
      </c>
      <c r="J733" s="67" t="s">
        <v>319</v>
      </c>
      <c r="K733" s="67" t="s">
        <v>72</v>
      </c>
      <c r="L733" s="67" t="s">
        <v>3</v>
      </c>
      <c r="M733" s="67" t="s">
        <v>142</v>
      </c>
      <c r="N733" s="70">
        <v>1000</v>
      </c>
      <c r="O733" s="70">
        <v>1E-3</v>
      </c>
      <c r="P733" s="70"/>
      <c r="Q733" s="98">
        <v>25000</v>
      </c>
      <c r="R733" s="70">
        <v>25</v>
      </c>
      <c r="S733" s="70">
        <v>0</v>
      </c>
    </row>
    <row r="734" spans="1:19" s="56" customFormat="1">
      <c r="A734" s="67" t="s">
        <v>731</v>
      </c>
      <c r="B734" s="68" t="s">
        <v>732</v>
      </c>
      <c r="C734" s="67" t="s">
        <v>137</v>
      </c>
      <c r="D734" s="67" t="s">
        <v>138</v>
      </c>
      <c r="E734" s="67" t="s">
        <v>139</v>
      </c>
      <c r="F734" s="67" t="s">
        <v>140</v>
      </c>
      <c r="G734" s="69" t="s">
        <v>305</v>
      </c>
      <c r="H734" s="67">
        <v>0</v>
      </c>
      <c r="I734" s="67">
        <v>2</v>
      </c>
      <c r="J734" s="67" t="s">
        <v>141</v>
      </c>
      <c r="K734" s="67" t="s">
        <v>37</v>
      </c>
      <c r="L734" s="67" t="s">
        <v>3</v>
      </c>
      <c r="M734" s="67" t="s">
        <v>142</v>
      </c>
      <c r="N734" s="70">
        <v>1000</v>
      </c>
      <c r="O734" s="70">
        <v>200</v>
      </c>
      <c r="P734" s="70"/>
      <c r="Q734" s="98">
        <v>28837</v>
      </c>
      <c r="R734" s="70">
        <v>28</v>
      </c>
      <c r="S734" s="70">
        <v>837</v>
      </c>
    </row>
    <row r="735" spans="1:19" s="56" customFormat="1">
      <c r="A735" s="67" t="s">
        <v>731</v>
      </c>
      <c r="B735" s="68" t="s">
        <v>732</v>
      </c>
      <c r="C735" s="67" t="s">
        <v>137</v>
      </c>
      <c r="D735" s="67" t="s">
        <v>138</v>
      </c>
      <c r="E735" s="67" t="s">
        <v>139</v>
      </c>
      <c r="F735" s="67" t="s">
        <v>140</v>
      </c>
      <c r="G735" s="69" t="s">
        <v>305</v>
      </c>
      <c r="H735" s="67">
        <v>0</v>
      </c>
      <c r="I735" s="67">
        <v>3</v>
      </c>
      <c r="J735" s="67" t="s">
        <v>143</v>
      </c>
      <c r="K735" s="67" t="s">
        <v>90</v>
      </c>
      <c r="L735" s="67" t="s">
        <v>3</v>
      </c>
      <c r="M735" s="67" t="s">
        <v>142</v>
      </c>
      <c r="N735" s="70">
        <v>1000</v>
      </c>
      <c r="O735" s="70">
        <v>359.59699999999998</v>
      </c>
      <c r="P735" s="70"/>
      <c r="Q735" s="98">
        <v>6880</v>
      </c>
      <c r="R735" s="70">
        <v>6</v>
      </c>
      <c r="S735" s="70">
        <v>880</v>
      </c>
    </row>
    <row r="736" spans="1:19" s="56" customFormat="1">
      <c r="A736" s="67" t="s">
        <v>731</v>
      </c>
      <c r="B736" s="68" t="s">
        <v>732</v>
      </c>
      <c r="C736" s="67" t="s">
        <v>137</v>
      </c>
      <c r="D736" s="67" t="s">
        <v>138</v>
      </c>
      <c r="E736" s="67" t="s">
        <v>139</v>
      </c>
      <c r="F736" s="67" t="s">
        <v>140</v>
      </c>
      <c r="G736" s="69" t="s">
        <v>305</v>
      </c>
      <c r="H736" s="67">
        <v>0</v>
      </c>
      <c r="I736" s="67">
        <v>4</v>
      </c>
      <c r="J736" s="67" t="s">
        <v>346</v>
      </c>
      <c r="K736" s="67" t="s">
        <v>343</v>
      </c>
      <c r="L736" s="67" t="s">
        <v>3</v>
      </c>
      <c r="M736" s="67" t="s">
        <v>142</v>
      </c>
      <c r="N736" s="70">
        <v>1000</v>
      </c>
      <c r="O736" s="70">
        <v>1E-3</v>
      </c>
      <c r="P736" s="70"/>
      <c r="Q736" s="98">
        <v>35530</v>
      </c>
      <c r="R736" s="70">
        <v>35</v>
      </c>
      <c r="S736" s="70">
        <v>530</v>
      </c>
    </row>
    <row r="737" spans="1:19" s="56" customFormat="1">
      <c r="A737" s="67" t="s">
        <v>731</v>
      </c>
      <c r="B737" s="68" t="s">
        <v>732</v>
      </c>
      <c r="C737" s="67" t="s">
        <v>137</v>
      </c>
      <c r="D737" s="67" t="s">
        <v>138</v>
      </c>
      <c r="E737" s="67" t="s">
        <v>139</v>
      </c>
      <c r="F737" s="67" t="s">
        <v>140</v>
      </c>
      <c r="G737" s="69" t="s">
        <v>305</v>
      </c>
      <c r="H737" s="67">
        <v>0</v>
      </c>
      <c r="I737" s="67">
        <v>5</v>
      </c>
      <c r="J737" s="67" t="s">
        <v>151</v>
      </c>
      <c r="K737" s="67" t="s">
        <v>28</v>
      </c>
      <c r="L737" s="67" t="s">
        <v>3</v>
      </c>
      <c r="M737" s="67" t="s">
        <v>142</v>
      </c>
      <c r="N737" s="70">
        <v>1000</v>
      </c>
      <c r="O737" s="70">
        <v>1E-3</v>
      </c>
      <c r="P737" s="70"/>
      <c r="Q737" s="98">
        <v>16</v>
      </c>
      <c r="R737" s="70">
        <v>0</v>
      </c>
      <c r="S737" s="70">
        <v>16</v>
      </c>
    </row>
    <row r="738" spans="1:19" s="56" customFormat="1">
      <c r="A738" s="67" t="s">
        <v>731</v>
      </c>
      <c r="B738" s="68" t="s">
        <v>732</v>
      </c>
      <c r="C738" s="67" t="s">
        <v>137</v>
      </c>
      <c r="D738" s="67" t="s">
        <v>138</v>
      </c>
      <c r="E738" s="67" t="s">
        <v>139</v>
      </c>
      <c r="F738" s="67" t="s">
        <v>140</v>
      </c>
      <c r="G738" s="69" t="s">
        <v>305</v>
      </c>
      <c r="H738" s="67">
        <v>0</v>
      </c>
      <c r="I738" s="67">
        <v>6</v>
      </c>
      <c r="J738" s="67" t="s">
        <v>169</v>
      </c>
      <c r="K738" s="67" t="s">
        <v>64</v>
      </c>
      <c r="L738" s="67" t="s">
        <v>3</v>
      </c>
      <c r="M738" s="67" t="s">
        <v>142</v>
      </c>
      <c r="N738" s="70">
        <v>1000</v>
      </c>
      <c r="O738" s="70">
        <v>1E-3</v>
      </c>
      <c r="P738" s="70"/>
      <c r="Q738" s="98">
        <v>1501</v>
      </c>
      <c r="R738" s="70">
        <v>1</v>
      </c>
      <c r="S738" s="70">
        <v>501</v>
      </c>
    </row>
    <row r="739" spans="1:19" s="56" customFormat="1">
      <c r="A739" s="67" t="s">
        <v>731</v>
      </c>
      <c r="B739" s="68" t="s">
        <v>732</v>
      </c>
      <c r="C739" s="67" t="s">
        <v>137</v>
      </c>
      <c r="D739" s="67" t="s">
        <v>138</v>
      </c>
      <c r="E739" s="67" t="s">
        <v>139</v>
      </c>
      <c r="F739" s="67" t="s">
        <v>140</v>
      </c>
      <c r="G739" s="69" t="s">
        <v>305</v>
      </c>
      <c r="H739" s="67">
        <v>0</v>
      </c>
      <c r="I739" s="67">
        <v>7</v>
      </c>
      <c r="J739" s="67" t="s">
        <v>250</v>
      </c>
      <c r="K739" s="67" t="s">
        <v>38</v>
      </c>
      <c r="L739" s="67" t="s">
        <v>3</v>
      </c>
      <c r="M739" s="67" t="s">
        <v>142</v>
      </c>
      <c r="N739" s="70">
        <v>1000</v>
      </c>
      <c r="O739" s="70">
        <v>1E-3</v>
      </c>
      <c r="P739" s="70"/>
      <c r="Q739" s="98">
        <v>1378</v>
      </c>
      <c r="R739" s="70">
        <v>1</v>
      </c>
      <c r="S739" s="70">
        <v>378</v>
      </c>
    </row>
    <row r="740" spans="1:19" s="56" customFormat="1">
      <c r="A740" s="67" t="s">
        <v>731</v>
      </c>
      <c r="B740" s="68" t="s">
        <v>732</v>
      </c>
      <c r="C740" s="67" t="s">
        <v>137</v>
      </c>
      <c r="D740" s="67" t="s">
        <v>138</v>
      </c>
      <c r="E740" s="67" t="s">
        <v>139</v>
      </c>
      <c r="F740" s="67" t="s">
        <v>140</v>
      </c>
      <c r="G740" s="69" t="s">
        <v>305</v>
      </c>
      <c r="H740" s="67">
        <v>0</v>
      </c>
      <c r="I740" s="67">
        <v>8</v>
      </c>
      <c r="J740" s="67" t="s">
        <v>144</v>
      </c>
      <c r="K740" s="67" t="s">
        <v>26</v>
      </c>
      <c r="L740" s="67" t="s">
        <v>3</v>
      </c>
      <c r="M740" s="67" t="s">
        <v>142</v>
      </c>
      <c r="N740" s="70">
        <v>1000</v>
      </c>
      <c r="O740" s="70">
        <v>1E-3</v>
      </c>
      <c r="P740" s="70"/>
      <c r="Q740" s="98">
        <v>7938</v>
      </c>
      <c r="R740" s="70">
        <v>7</v>
      </c>
      <c r="S740" s="70">
        <v>938</v>
      </c>
    </row>
    <row r="741" spans="1:19" s="56" customFormat="1">
      <c r="A741" s="67" t="s">
        <v>731</v>
      </c>
      <c r="B741" s="68" t="s">
        <v>732</v>
      </c>
      <c r="C741" s="67" t="s">
        <v>137</v>
      </c>
      <c r="D741" s="67" t="s">
        <v>138</v>
      </c>
      <c r="E741" s="67" t="s">
        <v>139</v>
      </c>
      <c r="F741" s="67" t="s">
        <v>140</v>
      </c>
      <c r="G741" s="69" t="s">
        <v>305</v>
      </c>
      <c r="H741" s="67">
        <v>0</v>
      </c>
      <c r="I741" s="67">
        <v>9</v>
      </c>
      <c r="J741" s="67" t="s">
        <v>145</v>
      </c>
      <c r="K741" s="67" t="s">
        <v>27</v>
      </c>
      <c r="L741" s="67" t="s">
        <v>3</v>
      </c>
      <c r="M741" s="67" t="s">
        <v>142</v>
      </c>
      <c r="N741" s="70">
        <v>1000</v>
      </c>
      <c r="O741" s="70">
        <v>1E-3</v>
      </c>
      <c r="P741" s="70"/>
      <c r="Q741" s="98">
        <v>6851</v>
      </c>
      <c r="R741" s="70">
        <v>6</v>
      </c>
      <c r="S741" s="70">
        <v>851</v>
      </c>
    </row>
    <row r="742" spans="1:19" s="56" customFormat="1">
      <c r="A742" s="67" t="s">
        <v>731</v>
      </c>
      <c r="B742" s="68" t="s">
        <v>732</v>
      </c>
      <c r="C742" s="67" t="s">
        <v>137</v>
      </c>
      <c r="D742" s="67" t="s">
        <v>138</v>
      </c>
      <c r="E742" s="67" t="s">
        <v>139</v>
      </c>
      <c r="F742" s="67" t="s">
        <v>140</v>
      </c>
      <c r="G742" s="69" t="s">
        <v>305</v>
      </c>
      <c r="H742" s="67">
        <v>0</v>
      </c>
      <c r="I742" s="67">
        <v>10</v>
      </c>
      <c r="J742" s="67" t="s">
        <v>290</v>
      </c>
      <c r="K742" s="67" t="s">
        <v>238</v>
      </c>
      <c r="L742" s="67" t="s">
        <v>3</v>
      </c>
      <c r="M742" s="67" t="s">
        <v>142</v>
      </c>
      <c r="N742" s="70">
        <v>1000</v>
      </c>
      <c r="O742" s="70">
        <v>1E-3</v>
      </c>
      <c r="P742" s="70"/>
      <c r="Q742" s="98">
        <v>3900</v>
      </c>
      <c r="R742" s="70">
        <v>3</v>
      </c>
      <c r="S742" s="70">
        <v>900</v>
      </c>
    </row>
    <row r="743" spans="1:19" s="56" customFormat="1">
      <c r="A743" s="67" t="s">
        <v>731</v>
      </c>
      <c r="B743" s="68" t="s">
        <v>732</v>
      </c>
      <c r="C743" s="67" t="s">
        <v>137</v>
      </c>
      <c r="D743" s="67" t="s">
        <v>138</v>
      </c>
      <c r="E743" s="67" t="s">
        <v>139</v>
      </c>
      <c r="F743" s="67" t="s">
        <v>140</v>
      </c>
      <c r="G743" s="69" t="s">
        <v>305</v>
      </c>
      <c r="H743" s="67">
        <v>0</v>
      </c>
      <c r="I743" s="67">
        <v>11</v>
      </c>
      <c r="J743" s="67" t="s">
        <v>289</v>
      </c>
      <c r="K743" s="67" t="s">
        <v>255</v>
      </c>
      <c r="L743" s="67" t="s">
        <v>3</v>
      </c>
      <c r="M743" s="67" t="s">
        <v>142</v>
      </c>
      <c r="N743" s="70">
        <v>1000</v>
      </c>
      <c r="O743" s="70">
        <v>1E-3</v>
      </c>
      <c r="P743" s="70"/>
      <c r="Q743" s="98">
        <v>30</v>
      </c>
      <c r="R743" s="70">
        <v>0</v>
      </c>
      <c r="S743" s="70">
        <v>30</v>
      </c>
    </row>
    <row r="744" spans="1:19" s="56" customFormat="1">
      <c r="A744" s="67" t="s">
        <v>731</v>
      </c>
      <c r="B744" s="68" t="s">
        <v>732</v>
      </c>
      <c r="C744" s="67" t="s">
        <v>137</v>
      </c>
      <c r="D744" s="67" t="s">
        <v>138</v>
      </c>
      <c r="E744" s="67" t="s">
        <v>139</v>
      </c>
      <c r="F744" s="67" t="s">
        <v>140</v>
      </c>
      <c r="G744" s="69" t="s">
        <v>305</v>
      </c>
      <c r="H744" s="67">
        <v>0</v>
      </c>
      <c r="I744" s="67">
        <v>12</v>
      </c>
      <c r="J744" s="67" t="s">
        <v>171</v>
      </c>
      <c r="K744" s="67" t="s">
        <v>102</v>
      </c>
      <c r="L744" s="67" t="s">
        <v>3</v>
      </c>
      <c r="M744" s="67" t="s">
        <v>142</v>
      </c>
      <c r="N744" s="70">
        <v>1000</v>
      </c>
      <c r="O744" s="70">
        <v>1E-3</v>
      </c>
      <c r="P744" s="70"/>
      <c r="Q744" s="98">
        <v>1854</v>
      </c>
      <c r="R744" s="70">
        <v>1</v>
      </c>
      <c r="S744" s="70">
        <v>854</v>
      </c>
    </row>
    <row r="745" spans="1:19" s="56" customFormat="1">
      <c r="A745" s="67" t="s">
        <v>731</v>
      </c>
      <c r="B745" s="68" t="s">
        <v>732</v>
      </c>
      <c r="C745" s="67" t="s">
        <v>137</v>
      </c>
      <c r="D745" s="67" t="s">
        <v>138</v>
      </c>
      <c r="E745" s="67" t="s">
        <v>139</v>
      </c>
      <c r="F745" s="67" t="s">
        <v>140</v>
      </c>
      <c r="G745" s="69" t="s">
        <v>305</v>
      </c>
      <c r="H745" s="67">
        <v>0</v>
      </c>
      <c r="I745" s="67">
        <v>13</v>
      </c>
      <c r="J745" s="67" t="s">
        <v>146</v>
      </c>
      <c r="K745" s="67" t="s">
        <v>46</v>
      </c>
      <c r="L745" s="67" t="s">
        <v>3</v>
      </c>
      <c r="M745" s="67" t="s">
        <v>142</v>
      </c>
      <c r="N745" s="70">
        <v>1000</v>
      </c>
      <c r="O745" s="70">
        <v>1E-3</v>
      </c>
      <c r="P745" s="70"/>
      <c r="Q745" s="98">
        <v>12115</v>
      </c>
      <c r="R745" s="70">
        <v>12</v>
      </c>
      <c r="S745" s="70">
        <v>115</v>
      </c>
    </row>
    <row r="746" spans="1:19" s="56" customFormat="1">
      <c r="A746" s="67" t="s">
        <v>731</v>
      </c>
      <c r="B746" s="68" t="s">
        <v>732</v>
      </c>
      <c r="C746" s="67" t="s">
        <v>137</v>
      </c>
      <c r="D746" s="67" t="s">
        <v>138</v>
      </c>
      <c r="E746" s="67" t="s">
        <v>139</v>
      </c>
      <c r="F746" s="67" t="s">
        <v>140</v>
      </c>
      <c r="G746" s="69" t="s">
        <v>305</v>
      </c>
      <c r="H746" s="67">
        <v>0</v>
      </c>
      <c r="I746" s="67">
        <v>14</v>
      </c>
      <c r="J746" s="67" t="s">
        <v>147</v>
      </c>
      <c r="K746" s="67" t="s">
        <v>41</v>
      </c>
      <c r="L746" s="67" t="s">
        <v>3</v>
      </c>
      <c r="M746" s="67" t="s">
        <v>142</v>
      </c>
      <c r="N746" s="70">
        <v>1000</v>
      </c>
      <c r="O746" s="70">
        <v>1E-3</v>
      </c>
      <c r="P746" s="70"/>
      <c r="Q746" s="98">
        <v>18104</v>
      </c>
      <c r="R746" s="70">
        <v>18</v>
      </c>
      <c r="S746" s="70">
        <v>104</v>
      </c>
    </row>
    <row r="747" spans="1:19" s="56" customFormat="1">
      <c r="A747" s="67" t="s">
        <v>731</v>
      </c>
      <c r="B747" s="68" t="s">
        <v>732</v>
      </c>
      <c r="C747" s="67" t="s">
        <v>137</v>
      </c>
      <c r="D747" s="67" t="s">
        <v>138</v>
      </c>
      <c r="E747" s="67" t="s">
        <v>139</v>
      </c>
      <c r="F747" s="67" t="s">
        <v>140</v>
      </c>
      <c r="G747" s="69" t="s">
        <v>305</v>
      </c>
      <c r="H747" s="67">
        <v>0</v>
      </c>
      <c r="I747" s="67">
        <v>15</v>
      </c>
      <c r="J747" s="67" t="s">
        <v>170</v>
      </c>
      <c r="K747" s="67" t="s">
        <v>29</v>
      </c>
      <c r="L747" s="67" t="s">
        <v>3</v>
      </c>
      <c r="M747" s="67" t="s">
        <v>142</v>
      </c>
      <c r="N747" s="70">
        <v>1000</v>
      </c>
      <c r="O747" s="70">
        <v>1E-3</v>
      </c>
      <c r="P747" s="70"/>
      <c r="Q747" s="98">
        <v>2510</v>
      </c>
      <c r="R747" s="70">
        <v>2</v>
      </c>
      <c r="S747" s="70">
        <v>510</v>
      </c>
    </row>
    <row r="748" spans="1:19" s="56" customFormat="1">
      <c r="A748" s="67" t="s">
        <v>731</v>
      </c>
      <c r="B748" s="68" t="s">
        <v>732</v>
      </c>
      <c r="C748" s="67" t="s">
        <v>137</v>
      </c>
      <c r="D748" s="67" t="s">
        <v>138</v>
      </c>
      <c r="E748" s="67" t="s">
        <v>139</v>
      </c>
      <c r="F748" s="67" t="s">
        <v>140</v>
      </c>
      <c r="G748" s="69" t="s">
        <v>305</v>
      </c>
      <c r="H748" s="67">
        <v>0</v>
      </c>
      <c r="I748" s="67">
        <v>16</v>
      </c>
      <c r="J748" s="67" t="s">
        <v>148</v>
      </c>
      <c r="K748" s="67" t="s">
        <v>30</v>
      </c>
      <c r="L748" s="67" t="s">
        <v>3</v>
      </c>
      <c r="M748" s="67" t="s">
        <v>142</v>
      </c>
      <c r="N748" s="70">
        <v>1000</v>
      </c>
      <c r="O748" s="70">
        <v>1E-3</v>
      </c>
      <c r="P748" s="70"/>
      <c r="Q748" s="98">
        <v>37626</v>
      </c>
      <c r="R748" s="70">
        <v>37</v>
      </c>
      <c r="S748" s="70">
        <v>626</v>
      </c>
    </row>
    <row r="749" spans="1:19" s="56" customFormat="1">
      <c r="A749" s="67" t="s">
        <v>731</v>
      </c>
      <c r="B749" s="68" t="s">
        <v>732</v>
      </c>
      <c r="C749" s="67" t="s">
        <v>137</v>
      </c>
      <c r="D749" s="67" t="s">
        <v>138</v>
      </c>
      <c r="E749" s="67" t="s">
        <v>139</v>
      </c>
      <c r="F749" s="67" t="s">
        <v>166</v>
      </c>
      <c r="G749" s="69" t="s">
        <v>305</v>
      </c>
      <c r="H749" s="67">
        <v>0</v>
      </c>
      <c r="I749" s="67">
        <v>17</v>
      </c>
      <c r="J749" s="67" t="s">
        <v>175</v>
      </c>
      <c r="K749" s="67" t="s">
        <v>66</v>
      </c>
      <c r="L749" s="67" t="s">
        <v>3</v>
      </c>
      <c r="M749" s="67" t="s">
        <v>142</v>
      </c>
      <c r="N749" s="70">
        <v>1000</v>
      </c>
      <c r="O749" s="70">
        <v>62</v>
      </c>
      <c r="P749" s="70"/>
      <c r="Q749" s="98">
        <v>80000</v>
      </c>
      <c r="R749" s="70">
        <v>80</v>
      </c>
      <c r="S749" s="70">
        <v>0</v>
      </c>
    </row>
    <row r="750" spans="1:19" s="56" customFormat="1">
      <c r="A750" s="67" t="s">
        <v>731</v>
      </c>
      <c r="B750" s="68" t="s">
        <v>732</v>
      </c>
      <c r="C750" s="67" t="s">
        <v>137</v>
      </c>
      <c r="D750" s="67" t="s">
        <v>138</v>
      </c>
      <c r="E750" s="67" t="s">
        <v>139</v>
      </c>
      <c r="F750" s="67" t="s">
        <v>166</v>
      </c>
      <c r="G750" s="69" t="s">
        <v>305</v>
      </c>
      <c r="H750" s="67">
        <v>0</v>
      </c>
      <c r="I750" s="67">
        <v>18</v>
      </c>
      <c r="J750" s="67" t="s">
        <v>318</v>
      </c>
      <c r="K750" s="67" t="s">
        <v>56</v>
      </c>
      <c r="L750" s="67" t="s">
        <v>3</v>
      </c>
      <c r="M750" s="67" t="s">
        <v>142</v>
      </c>
      <c r="N750" s="70">
        <v>1000</v>
      </c>
      <c r="O750" s="70">
        <v>1E-3</v>
      </c>
      <c r="P750" s="70"/>
      <c r="Q750" s="98">
        <v>50000</v>
      </c>
      <c r="R750" s="70">
        <v>50</v>
      </c>
      <c r="S750" s="70">
        <v>0</v>
      </c>
    </row>
    <row r="751" spans="1:19" s="56" customFormat="1">
      <c r="A751" s="67" t="s">
        <v>731</v>
      </c>
      <c r="B751" s="68" t="s">
        <v>732</v>
      </c>
      <c r="C751" s="67" t="s">
        <v>137</v>
      </c>
      <c r="D751" s="67" t="s">
        <v>138</v>
      </c>
      <c r="E751" s="67" t="s">
        <v>139</v>
      </c>
      <c r="F751" s="67" t="s">
        <v>140</v>
      </c>
      <c r="G751" s="69" t="s">
        <v>305</v>
      </c>
      <c r="H751" s="67">
        <v>0</v>
      </c>
      <c r="I751" s="67">
        <v>19</v>
      </c>
      <c r="J751" s="67" t="s">
        <v>502</v>
      </c>
      <c r="K751" s="67" t="s">
        <v>103</v>
      </c>
      <c r="L751" s="67" t="s">
        <v>3</v>
      </c>
      <c r="M751" s="67" t="s">
        <v>142</v>
      </c>
      <c r="N751" s="70">
        <v>1000</v>
      </c>
      <c r="O751" s="70">
        <v>1E-3</v>
      </c>
      <c r="P751" s="70"/>
      <c r="Q751" s="98">
        <v>2498</v>
      </c>
      <c r="R751" s="70">
        <v>2</v>
      </c>
      <c r="S751" s="70">
        <v>498</v>
      </c>
    </row>
    <row r="752" spans="1:19" s="56" customFormat="1">
      <c r="A752" s="67" t="s">
        <v>731</v>
      </c>
      <c r="B752" s="68" t="s">
        <v>732</v>
      </c>
      <c r="C752" s="67" t="s">
        <v>137</v>
      </c>
      <c r="D752" s="67" t="s">
        <v>138</v>
      </c>
      <c r="E752" s="67" t="s">
        <v>139</v>
      </c>
      <c r="F752" s="67" t="s">
        <v>282</v>
      </c>
      <c r="G752" s="69" t="s">
        <v>305</v>
      </c>
      <c r="H752" s="67">
        <v>0</v>
      </c>
      <c r="I752" s="67">
        <v>20</v>
      </c>
      <c r="J752" s="67" t="s">
        <v>517</v>
      </c>
      <c r="K752" s="67" t="s">
        <v>106</v>
      </c>
      <c r="L752" s="67" t="s">
        <v>3</v>
      </c>
      <c r="M752" s="67" t="s">
        <v>142</v>
      </c>
      <c r="N752" s="70">
        <v>1000</v>
      </c>
      <c r="O752" s="70">
        <v>1E-3</v>
      </c>
      <c r="P752" s="70"/>
      <c r="Q752" s="98">
        <v>3091</v>
      </c>
      <c r="R752" s="70">
        <v>3</v>
      </c>
      <c r="S752" s="70">
        <v>91</v>
      </c>
    </row>
    <row r="753" spans="1:19" s="56" customFormat="1">
      <c r="A753" s="67" t="s">
        <v>731</v>
      </c>
      <c r="B753" s="68" t="s">
        <v>732</v>
      </c>
      <c r="C753" s="67" t="s">
        <v>137</v>
      </c>
      <c r="D753" s="67" t="s">
        <v>138</v>
      </c>
      <c r="E753" s="67" t="s">
        <v>139</v>
      </c>
      <c r="F753" s="67" t="s">
        <v>282</v>
      </c>
      <c r="G753" s="69" t="s">
        <v>305</v>
      </c>
      <c r="H753" s="67">
        <v>0</v>
      </c>
      <c r="I753" s="67">
        <v>21</v>
      </c>
      <c r="J753" s="67" t="s">
        <v>733</v>
      </c>
      <c r="K753" s="67" t="s">
        <v>71</v>
      </c>
      <c r="L753" s="67" t="s">
        <v>3</v>
      </c>
      <c r="M753" s="67" t="s">
        <v>142</v>
      </c>
      <c r="N753" s="70">
        <v>1000</v>
      </c>
      <c r="O753" s="70">
        <v>1E-3</v>
      </c>
      <c r="P753" s="70"/>
      <c r="Q753" s="98">
        <v>4830</v>
      </c>
      <c r="R753" s="70">
        <v>4</v>
      </c>
      <c r="S753" s="70">
        <v>830</v>
      </c>
    </row>
    <row r="754" spans="1:19" s="56" customFormat="1">
      <c r="A754" s="67" t="s">
        <v>731</v>
      </c>
      <c r="B754" s="68" t="s">
        <v>732</v>
      </c>
      <c r="C754" s="67" t="s">
        <v>137</v>
      </c>
      <c r="D754" s="67" t="s">
        <v>138</v>
      </c>
      <c r="E754" s="67" t="s">
        <v>139</v>
      </c>
      <c r="F754" s="67" t="s">
        <v>140</v>
      </c>
      <c r="G754" s="69" t="s">
        <v>305</v>
      </c>
      <c r="H754" s="67">
        <v>0</v>
      </c>
      <c r="I754" s="67">
        <v>22</v>
      </c>
      <c r="J754" s="67" t="s">
        <v>504</v>
      </c>
      <c r="K754" s="67" t="s">
        <v>107</v>
      </c>
      <c r="L754" s="67" t="s">
        <v>3</v>
      </c>
      <c r="M754" s="67" t="s">
        <v>142</v>
      </c>
      <c r="N754" s="70">
        <v>1000</v>
      </c>
      <c r="O754" s="70">
        <v>1E-3</v>
      </c>
      <c r="P754" s="70"/>
      <c r="Q754" s="98">
        <v>183</v>
      </c>
      <c r="R754" s="70">
        <v>0</v>
      </c>
      <c r="S754" s="70">
        <v>183</v>
      </c>
    </row>
    <row r="755" spans="1:19" s="56" customFormat="1">
      <c r="A755" s="67" t="s">
        <v>731</v>
      </c>
      <c r="B755" s="68" t="s">
        <v>732</v>
      </c>
      <c r="C755" s="67" t="s">
        <v>137</v>
      </c>
      <c r="D755" s="67" t="s">
        <v>138</v>
      </c>
      <c r="E755" s="67" t="s">
        <v>139</v>
      </c>
      <c r="F755" s="67" t="s">
        <v>140</v>
      </c>
      <c r="G755" s="69" t="s">
        <v>305</v>
      </c>
      <c r="H755" s="67">
        <v>0</v>
      </c>
      <c r="I755" s="67">
        <v>23</v>
      </c>
      <c r="J755" s="67" t="s">
        <v>505</v>
      </c>
      <c r="K755" s="67" t="s">
        <v>109</v>
      </c>
      <c r="L755" s="67" t="s">
        <v>3</v>
      </c>
      <c r="M755" s="67" t="s">
        <v>142</v>
      </c>
      <c r="N755" s="70">
        <v>1000</v>
      </c>
      <c r="O755" s="70">
        <v>1E-3</v>
      </c>
      <c r="P755" s="70"/>
      <c r="Q755" s="98">
        <v>8</v>
      </c>
      <c r="R755" s="70">
        <v>0</v>
      </c>
      <c r="S755" s="70">
        <v>8</v>
      </c>
    </row>
    <row r="756" spans="1:19" s="56" customFormat="1">
      <c r="A756" s="67" t="s">
        <v>731</v>
      </c>
      <c r="B756" s="68" t="s">
        <v>732</v>
      </c>
      <c r="C756" s="67" t="s">
        <v>137</v>
      </c>
      <c r="D756" s="67" t="s">
        <v>138</v>
      </c>
      <c r="E756" s="67" t="s">
        <v>139</v>
      </c>
      <c r="F756" s="67" t="s">
        <v>140</v>
      </c>
      <c r="G756" s="69" t="s">
        <v>305</v>
      </c>
      <c r="H756" s="67">
        <v>0</v>
      </c>
      <c r="I756" s="67">
        <v>24</v>
      </c>
      <c r="J756" s="67" t="s">
        <v>506</v>
      </c>
      <c r="K756" s="67" t="s">
        <v>110</v>
      </c>
      <c r="L756" s="67" t="s">
        <v>3</v>
      </c>
      <c r="M756" s="67" t="s">
        <v>142</v>
      </c>
      <c r="N756" s="70">
        <v>1000</v>
      </c>
      <c r="O756" s="70">
        <v>1E-3</v>
      </c>
      <c r="P756" s="70"/>
      <c r="Q756" s="98">
        <v>2375</v>
      </c>
      <c r="R756" s="70">
        <v>2</v>
      </c>
      <c r="S756" s="70">
        <v>375</v>
      </c>
    </row>
    <row r="757" spans="1:19" s="56" customFormat="1">
      <c r="A757" s="67" t="s">
        <v>731</v>
      </c>
      <c r="B757" s="68" t="s">
        <v>732</v>
      </c>
      <c r="C757" s="67" t="s">
        <v>137</v>
      </c>
      <c r="D757" s="67" t="s">
        <v>138</v>
      </c>
      <c r="E757" s="67" t="s">
        <v>139</v>
      </c>
      <c r="F757" s="67" t="s">
        <v>140</v>
      </c>
      <c r="G757" s="69" t="s">
        <v>305</v>
      </c>
      <c r="H757" s="67">
        <v>0</v>
      </c>
      <c r="I757" s="67">
        <v>25</v>
      </c>
      <c r="J757" s="67" t="s">
        <v>734</v>
      </c>
      <c r="K757" s="67" t="s">
        <v>112</v>
      </c>
      <c r="L757" s="67" t="s">
        <v>3</v>
      </c>
      <c r="M757" s="67" t="s">
        <v>142</v>
      </c>
      <c r="N757" s="70">
        <v>1000</v>
      </c>
      <c r="O757" s="70">
        <v>1E-3</v>
      </c>
      <c r="P757" s="70"/>
      <c r="Q757" s="98">
        <v>1500</v>
      </c>
      <c r="R757" s="70">
        <v>1</v>
      </c>
      <c r="S757" s="70">
        <v>500</v>
      </c>
    </row>
    <row r="758" spans="1:19" s="56" customFormat="1">
      <c r="A758" s="67" t="s">
        <v>731</v>
      </c>
      <c r="B758" s="68" t="s">
        <v>732</v>
      </c>
      <c r="C758" s="67" t="s">
        <v>137</v>
      </c>
      <c r="D758" s="67" t="s">
        <v>138</v>
      </c>
      <c r="E758" s="67" t="s">
        <v>139</v>
      </c>
      <c r="F758" s="67" t="s">
        <v>140</v>
      </c>
      <c r="G758" s="69" t="s">
        <v>305</v>
      </c>
      <c r="H758" s="67">
        <v>0</v>
      </c>
      <c r="I758" s="67">
        <v>26</v>
      </c>
      <c r="J758" s="67" t="s">
        <v>507</v>
      </c>
      <c r="K758" s="67" t="s">
        <v>113</v>
      </c>
      <c r="L758" s="67" t="s">
        <v>3</v>
      </c>
      <c r="M758" s="67" t="s">
        <v>142</v>
      </c>
      <c r="N758" s="70">
        <v>1000</v>
      </c>
      <c r="O758" s="70">
        <v>1E-3</v>
      </c>
      <c r="P758" s="70"/>
      <c r="Q758" s="98">
        <v>3020</v>
      </c>
      <c r="R758" s="70">
        <v>3</v>
      </c>
      <c r="S758" s="70">
        <v>20</v>
      </c>
    </row>
    <row r="759" spans="1:19" s="56" customFormat="1">
      <c r="A759" s="67" t="s">
        <v>531</v>
      </c>
      <c r="B759" s="68" t="s">
        <v>460</v>
      </c>
      <c r="C759" s="67" t="s">
        <v>184</v>
      </c>
      <c r="D759" s="67" t="s">
        <v>138</v>
      </c>
      <c r="E759" s="67" t="s">
        <v>139</v>
      </c>
      <c r="F759" s="67" t="s">
        <v>186</v>
      </c>
      <c r="G759" s="69" t="s">
        <v>184</v>
      </c>
      <c r="H759" s="67">
        <v>0</v>
      </c>
      <c r="I759" s="67">
        <v>1</v>
      </c>
      <c r="J759" s="67" t="s">
        <v>323</v>
      </c>
      <c r="K759" s="67" t="s">
        <v>324</v>
      </c>
      <c r="L759" s="67" t="s">
        <v>88</v>
      </c>
      <c r="M759" s="67" t="s">
        <v>88</v>
      </c>
      <c r="N759" s="70">
        <v>1</v>
      </c>
      <c r="O759" s="70">
        <v>55000</v>
      </c>
      <c r="P759" s="70"/>
      <c r="Q759" s="98">
        <v>14</v>
      </c>
      <c r="R759" s="70">
        <v>14</v>
      </c>
      <c r="S759" s="70">
        <v>0</v>
      </c>
    </row>
    <row r="760" spans="1:19" s="56" customFormat="1">
      <c r="A760" s="67" t="s">
        <v>531</v>
      </c>
      <c r="B760" s="68" t="s">
        <v>460</v>
      </c>
      <c r="C760" s="67" t="s">
        <v>184</v>
      </c>
      <c r="D760" s="67" t="s">
        <v>138</v>
      </c>
      <c r="E760" s="67" t="s">
        <v>139</v>
      </c>
      <c r="F760" s="67" t="s">
        <v>186</v>
      </c>
      <c r="G760" s="69" t="s">
        <v>184</v>
      </c>
      <c r="H760" s="67">
        <v>0</v>
      </c>
      <c r="I760" s="67">
        <v>2</v>
      </c>
      <c r="J760" s="67" t="s">
        <v>242</v>
      </c>
      <c r="K760" s="67" t="s">
        <v>243</v>
      </c>
      <c r="L760" s="67" t="s">
        <v>87</v>
      </c>
      <c r="M760" s="67" t="s">
        <v>87</v>
      </c>
      <c r="N760" s="70">
        <v>1</v>
      </c>
      <c r="O760" s="70">
        <v>1</v>
      </c>
      <c r="P760" s="70"/>
      <c r="Q760" s="98">
        <v>6</v>
      </c>
      <c r="R760" s="70">
        <v>6</v>
      </c>
      <c r="S760" s="70">
        <v>0</v>
      </c>
    </row>
    <row r="761" spans="1:19" s="56" customFormat="1">
      <c r="A761" s="67" t="s">
        <v>531</v>
      </c>
      <c r="B761" s="68" t="s">
        <v>460</v>
      </c>
      <c r="C761" s="67" t="s">
        <v>184</v>
      </c>
      <c r="D761" s="67" t="s">
        <v>138</v>
      </c>
      <c r="E761" s="67" t="s">
        <v>139</v>
      </c>
      <c r="F761" s="67" t="s">
        <v>186</v>
      </c>
      <c r="G761" s="69" t="s">
        <v>184</v>
      </c>
      <c r="H761" s="67">
        <v>0</v>
      </c>
      <c r="I761" s="67">
        <v>3</v>
      </c>
      <c r="J761" s="67" t="s">
        <v>532</v>
      </c>
      <c r="K761" s="67" t="s">
        <v>533</v>
      </c>
      <c r="L761" s="67" t="s">
        <v>87</v>
      </c>
      <c r="M761" s="67" t="s">
        <v>87</v>
      </c>
      <c r="N761" s="70">
        <v>1</v>
      </c>
      <c r="O761" s="70">
        <v>50000</v>
      </c>
      <c r="P761" s="70"/>
      <c r="Q761" s="98">
        <v>4</v>
      </c>
      <c r="R761" s="70">
        <v>4</v>
      </c>
      <c r="S761" s="70">
        <v>0</v>
      </c>
    </row>
    <row r="762" spans="1:19" s="56" customFormat="1">
      <c r="A762" s="67" t="s">
        <v>531</v>
      </c>
      <c r="B762" s="68" t="s">
        <v>460</v>
      </c>
      <c r="C762" s="67" t="s">
        <v>184</v>
      </c>
      <c r="D762" s="67" t="s">
        <v>138</v>
      </c>
      <c r="E762" s="67" t="s">
        <v>139</v>
      </c>
      <c r="F762" s="67" t="s">
        <v>186</v>
      </c>
      <c r="G762" s="69" t="s">
        <v>184</v>
      </c>
      <c r="H762" s="67">
        <v>0</v>
      </c>
      <c r="I762" s="67">
        <v>4</v>
      </c>
      <c r="J762" s="67" t="s">
        <v>274</v>
      </c>
      <c r="K762" s="67" t="s">
        <v>275</v>
      </c>
      <c r="L762" s="67" t="s">
        <v>87</v>
      </c>
      <c r="M762" s="67" t="s">
        <v>87</v>
      </c>
      <c r="N762" s="70">
        <v>1</v>
      </c>
      <c r="O762" s="70">
        <v>1</v>
      </c>
      <c r="P762" s="70"/>
      <c r="Q762" s="98">
        <v>2</v>
      </c>
      <c r="R762" s="70">
        <v>2</v>
      </c>
      <c r="S762" s="70">
        <v>0</v>
      </c>
    </row>
    <row r="763" spans="1:19" s="56" customFormat="1">
      <c r="A763" s="67" t="s">
        <v>531</v>
      </c>
      <c r="B763" s="68" t="s">
        <v>460</v>
      </c>
      <c r="C763" s="67" t="s">
        <v>184</v>
      </c>
      <c r="D763" s="67" t="s">
        <v>138</v>
      </c>
      <c r="E763" s="67" t="s">
        <v>139</v>
      </c>
      <c r="F763" s="67" t="s">
        <v>186</v>
      </c>
      <c r="G763" s="69" t="s">
        <v>184</v>
      </c>
      <c r="H763" s="67">
        <v>0</v>
      </c>
      <c r="I763" s="67">
        <v>5</v>
      </c>
      <c r="J763" s="67" t="s">
        <v>534</v>
      </c>
      <c r="K763" s="67" t="s">
        <v>535</v>
      </c>
      <c r="L763" s="67" t="s">
        <v>87</v>
      </c>
      <c r="M763" s="67" t="s">
        <v>87</v>
      </c>
      <c r="N763" s="70">
        <v>1</v>
      </c>
      <c r="O763" s="70">
        <v>1</v>
      </c>
      <c r="P763" s="70"/>
      <c r="Q763" s="98">
        <v>2</v>
      </c>
      <c r="R763" s="70">
        <v>2</v>
      </c>
      <c r="S763" s="70">
        <v>0</v>
      </c>
    </row>
    <row r="764" spans="1:19" s="56" customFormat="1">
      <c r="A764" s="67" t="s">
        <v>531</v>
      </c>
      <c r="B764" s="68" t="s">
        <v>460</v>
      </c>
      <c r="C764" s="67" t="s">
        <v>184</v>
      </c>
      <c r="D764" s="67" t="s">
        <v>138</v>
      </c>
      <c r="E764" s="67" t="s">
        <v>139</v>
      </c>
      <c r="F764" s="67" t="s">
        <v>186</v>
      </c>
      <c r="G764" s="69" t="s">
        <v>184</v>
      </c>
      <c r="H764" s="67">
        <v>0</v>
      </c>
      <c r="I764" s="67">
        <v>6</v>
      </c>
      <c r="J764" s="67" t="s">
        <v>536</v>
      </c>
      <c r="K764" s="67" t="s">
        <v>537</v>
      </c>
      <c r="L764" s="67" t="s">
        <v>87</v>
      </c>
      <c r="M764" s="67" t="s">
        <v>87</v>
      </c>
      <c r="N764" s="70">
        <v>1</v>
      </c>
      <c r="O764" s="70">
        <v>1</v>
      </c>
      <c r="P764" s="70"/>
      <c r="Q764" s="98">
        <v>1</v>
      </c>
      <c r="R764" s="70">
        <v>1</v>
      </c>
      <c r="S764" s="70">
        <v>0</v>
      </c>
    </row>
    <row r="765" spans="1:19" s="56" customFormat="1">
      <c r="A765" s="67" t="s">
        <v>531</v>
      </c>
      <c r="B765" s="68" t="s">
        <v>460</v>
      </c>
      <c r="C765" s="67" t="s">
        <v>184</v>
      </c>
      <c r="D765" s="67" t="s">
        <v>138</v>
      </c>
      <c r="E765" s="67" t="s">
        <v>139</v>
      </c>
      <c r="F765" s="67" t="s">
        <v>186</v>
      </c>
      <c r="G765" s="69" t="s">
        <v>184</v>
      </c>
      <c r="H765" s="67">
        <v>0</v>
      </c>
      <c r="I765" s="67">
        <v>7</v>
      </c>
      <c r="J765" s="67" t="s">
        <v>333</v>
      </c>
      <c r="K765" s="67" t="s">
        <v>334</v>
      </c>
      <c r="L765" s="67" t="s">
        <v>88</v>
      </c>
      <c r="M765" s="67" t="s">
        <v>88</v>
      </c>
      <c r="N765" s="70">
        <v>1</v>
      </c>
      <c r="O765" s="70">
        <v>1</v>
      </c>
      <c r="P765" s="70"/>
      <c r="Q765" s="98">
        <v>3</v>
      </c>
      <c r="R765" s="70">
        <v>3</v>
      </c>
      <c r="S765" s="70">
        <v>0</v>
      </c>
    </row>
    <row r="766" spans="1:19" s="56" customFormat="1">
      <c r="A766" s="67" t="s">
        <v>531</v>
      </c>
      <c r="B766" s="68" t="s">
        <v>460</v>
      </c>
      <c r="C766" s="67" t="s">
        <v>184</v>
      </c>
      <c r="D766" s="67" t="s">
        <v>138</v>
      </c>
      <c r="E766" s="67" t="s">
        <v>139</v>
      </c>
      <c r="F766" s="67" t="s">
        <v>186</v>
      </c>
      <c r="G766" s="69" t="s">
        <v>184</v>
      </c>
      <c r="H766" s="67">
        <v>0</v>
      </c>
      <c r="I766" s="67">
        <v>8</v>
      </c>
      <c r="J766" s="67" t="s">
        <v>399</v>
      </c>
      <c r="K766" s="67" t="s">
        <v>400</v>
      </c>
      <c r="L766" s="67" t="s">
        <v>87</v>
      </c>
      <c r="M766" s="67" t="s">
        <v>87</v>
      </c>
      <c r="N766" s="70">
        <v>1</v>
      </c>
      <c r="O766" s="70">
        <v>1</v>
      </c>
      <c r="P766" s="70"/>
      <c r="Q766" s="98">
        <v>3</v>
      </c>
      <c r="R766" s="70">
        <v>3</v>
      </c>
      <c r="S766" s="70">
        <v>0</v>
      </c>
    </row>
    <row r="767" spans="1:19" s="56" customFormat="1">
      <c r="A767" s="67" t="s">
        <v>531</v>
      </c>
      <c r="B767" s="68" t="s">
        <v>460</v>
      </c>
      <c r="C767" s="67" t="s">
        <v>184</v>
      </c>
      <c r="D767" s="67" t="s">
        <v>138</v>
      </c>
      <c r="E767" s="67" t="s">
        <v>139</v>
      </c>
      <c r="F767" s="67" t="s">
        <v>186</v>
      </c>
      <c r="G767" s="69" t="s">
        <v>184</v>
      </c>
      <c r="H767" s="67">
        <v>0</v>
      </c>
      <c r="I767" s="67">
        <v>9</v>
      </c>
      <c r="J767" s="67" t="s">
        <v>347</v>
      </c>
      <c r="K767" s="67" t="s">
        <v>348</v>
      </c>
      <c r="L767" s="67" t="s">
        <v>87</v>
      </c>
      <c r="M767" s="67" t="s">
        <v>87</v>
      </c>
      <c r="N767" s="70">
        <v>1</v>
      </c>
      <c r="O767" s="70">
        <v>1</v>
      </c>
      <c r="P767" s="70"/>
      <c r="Q767" s="98">
        <v>1</v>
      </c>
      <c r="R767" s="70">
        <v>1</v>
      </c>
      <c r="S767" s="70">
        <v>0</v>
      </c>
    </row>
    <row r="768" spans="1:19" s="56" customFormat="1">
      <c r="A768" s="67" t="s">
        <v>531</v>
      </c>
      <c r="B768" s="68" t="s">
        <v>460</v>
      </c>
      <c r="C768" s="67" t="s">
        <v>184</v>
      </c>
      <c r="D768" s="67" t="s">
        <v>138</v>
      </c>
      <c r="E768" s="67" t="s">
        <v>139</v>
      </c>
      <c r="F768" s="67" t="s">
        <v>186</v>
      </c>
      <c r="G768" s="69" t="s">
        <v>184</v>
      </c>
      <c r="H768" s="67">
        <v>0</v>
      </c>
      <c r="I768" s="67">
        <v>10</v>
      </c>
      <c r="J768" s="67" t="s">
        <v>538</v>
      </c>
      <c r="K768" s="67" t="s">
        <v>539</v>
      </c>
      <c r="L768" s="67" t="s">
        <v>87</v>
      </c>
      <c r="M768" s="67" t="s">
        <v>87</v>
      </c>
      <c r="N768" s="70">
        <v>1</v>
      </c>
      <c r="O768" s="70">
        <v>1</v>
      </c>
      <c r="P768" s="70"/>
      <c r="Q768" s="98">
        <v>1</v>
      </c>
      <c r="R768" s="70">
        <v>1</v>
      </c>
      <c r="S768" s="70">
        <v>0</v>
      </c>
    </row>
    <row r="769" spans="1:19" s="56" customFormat="1">
      <c r="A769" s="67" t="s">
        <v>531</v>
      </c>
      <c r="B769" s="68" t="s">
        <v>460</v>
      </c>
      <c r="C769" s="67" t="s">
        <v>184</v>
      </c>
      <c r="D769" s="67" t="s">
        <v>138</v>
      </c>
      <c r="E769" s="67" t="s">
        <v>139</v>
      </c>
      <c r="F769" s="67" t="s">
        <v>186</v>
      </c>
      <c r="G769" s="69" t="s">
        <v>184</v>
      </c>
      <c r="H769" s="67">
        <v>0</v>
      </c>
      <c r="I769" s="67">
        <v>11</v>
      </c>
      <c r="J769" s="67" t="s">
        <v>253</v>
      </c>
      <c r="K769" s="67" t="s">
        <v>254</v>
      </c>
      <c r="L769" s="67" t="s">
        <v>195</v>
      </c>
      <c r="M769" s="67" t="s">
        <v>195</v>
      </c>
      <c r="N769" s="70">
        <v>1</v>
      </c>
      <c r="O769" s="70">
        <v>1</v>
      </c>
      <c r="P769" s="70"/>
      <c r="Q769" s="98">
        <v>3</v>
      </c>
      <c r="R769" s="70">
        <v>3</v>
      </c>
      <c r="S769" s="70">
        <v>0</v>
      </c>
    </row>
    <row r="770" spans="1:19" s="56" customFormat="1">
      <c r="A770" s="67" t="s">
        <v>531</v>
      </c>
      <c r="B770" s="68" t="s">
        <v>460</v>
      </c>
      <c r="C770" s="67" t="s">
        <v>184</v>
      </c>
      <c r="D770" s="67" t="s">
        <v>138</v>
      </c>
      <c r="E770" s="67" t="s">
        <v>139</v>
      </c>
      <c r="F770" s="67" t="s">
        <v>166</v>
      </c>
      <c r="G770" s="69" t="s">
        <v>184</v>
      </c>
      <c r="H770" s="67">
        <v>0</v>
      </c>
      <c r="I770" s="67">
        <v>12</v>
      </c>
      <c r="J770" s="67" t="s">
        <v>285</v>
      </c>
      <c r="K770" s="67" t="s">
        <v>286</v>
      </c>
      <c r="L770" s="67" t="s">
        <v>195</v>
      </c>
      <c r="M770" s="67" t="s">
        <v>195</v>
      </c>
      <c r="N770" s="70">
        <v>1</v>
      </c>
      <c r="O770" s="70">
        <v>1</v>
      </c>
      <c r="P770" s="70"/>
      <c r="Q770" s="98">
        <v>1</v>
      </c>
      <c r="R770" s="70">
        <v>1</v>
      </c>
      <c r="S770" s="70">
        <v>0</v>
      </c>
    </row>
    <row r="771" spans="1:19" s="56" customFormat="1">
      <c r="A771" s="67" t="s">
        <v>531</v>
      </c>
      <c r="B771" s="68" t="s">
        <v>460</v>
      </c>
      <c r="C771" s="67" t="s">
        <v>184</v>
      </c>
      <c r="D771" s="67" t="s">
        <v>138</v>
      </c>
      <c r="E771" s="67" t="s">
        <v>139</v>
      </c>
      <c r="F771" s="67" t="s">
        <v>186</v>
      </c>
      <c r="G771" s="69" t="s">
        <v>184</v>
      </c>
      <c r="H771" s="67">
        <v>0</v>
      </c>
      <c r="I771" s="67">
        <v>13</v>
      </c>
      <c r="J771" s="67" t="s">
        <v>540</v>
      </c>
      <c r="K771" s="67" t="s">
        <v>541</v>
      </c>
      <c r="L771" s="67" t="s">
        <v>542</v>
      </c>
      <c r="M771" s="67" t="s">
        <v>543</v>
      </c>
      <c r="N771" s="70">
        <v>100</v>
      </c>
      <c r="O771" s="70">
        <v>0.01</v>
      </c>
      <c r="P771" s="70"/>
      <c r="Q771" s="98">
        <v>500</v>
      </c>
      <c r="R771" s="70">
        <v>5</v>
      </c>
      <c r="S771" s="70">
        <v>0</v>
      </c>
    </row>
    <row r="772" spans="1:19" s="56" customFormat="1">
      <c r="A772" s="67" t="s">
        <v>544</v>
      </c>
      <c r="B772" s="68" t="s">
        <v>469</v>
      </c>
      <c r="C772" s="67" t="s">
        <v>184</v>
      </c>
      <c r="D772" s="67" t="s">
        <v>138</v>
      </c>
      <c r="E772" s="67" t="s">
        <v>139</v>
      </c>
      <c r="F772" s="67" t="s">
        <v>166</v>
      </c>
      <c r="G772" s="69" t="s">
        <v>184</v>
      </c>
      <c r="H772" s="67">
        <v>0</v>
      </c>
      <c r="I772" s="67">
        <v>1</v>
      </c>
      <c r="J772" s="67" t="s">
        <v>426</v>
      </c>
      <c r="K772" s="67" t="s">
        <v>427</v>
      </c>
      <c r="L772" s="67" t="s">
        <v>293</v>
      </c>
      <c r="M772" s="67" t="s">
        <v>293</v>
      </c>
      <c r="N772" s="70">
        <v>1</v>
      </c>
      <c r="O772" s="70">
        <v>1</v>
      </c>
      <c r="P772" s="70"/>
      <c r="Q772" s="98">
        <v>1</v>
      </c>
      <c r="R772" s="70">
        <v>1</v>
      </c>
      <c r="S772" s="70">
        <v>0</v>
      </c>
    </row>
    <row r="773" spans="1:19" s="56" customFormat="1">
      <c r="A773" s="67" t="s">
        <v>544</v>
      </c>
      <c r="B773" s="68" t="s">
        <v>469</v>
      </c>
      <c r="C773" s="67" t="s">
        <v>184</v>
      </c>
      <c r="D773" s="67" t="s">
        <v>138</v>
      </c>
      <c r="E773" s="67" t="s">
        <v>139</v>
      </c>
      <c r="F773" s="67" t="s">
        <v>186</v>
      </c>
      <c r="G773" s="69" t="s">
        <v>184</v>
      </c>
      <c r="H773" s="67">
        <v>0</v>
      </c>
      <c r="I773" s="67">
        <v>2</v>
      </c>
      <c r="J773" s="67" t="s">
        <v>188</v>
      </c>
      <c r="K773" s="67" t="s">
        <v>89</v>
      </c>
      <c r="L773" s="67" t="s">
        <v>87</v>
      </c>
      <c r="M773" s="67" t="s">
        <v>87</v>
      </c>
      <c r="N773" s="70">
        <v>1</v>
      </c>
      <c r="O773" s="70">
        <v>1</v>
      </c>
      <c r="P773" s="70"/>
      <c r="Q773" s="98">
        <v>7</v>
      </c>
      <c r="R773" s="70">
        <v>7</v>
      </c>
      <c r="S773" s="70">
        <v>0</v>
      </c>
    </row>
    <row r="774" spans="1:19" s="56" customFormat="1">
      <c r="A774" s="67" t="s">
        <v>544</v>
      </c>
      <c r="B774" s="68" t="s">
        <v>469</v>
      </c>
      <c r="C774" s="67" t="s">
        <v>184</v>
      </c>
      <c r="D774" s="67" t="s">
        <v>138</v>
      </c>
      <c r="E774" s="67" t="s">
        <v>139</v>
      </c>
      <c r="F774" s="67" t="s">
        <v>186</v>
      </c>
      <c r="G774" s="69" t="s">
        <v>184</v>
      </c>
      <c r="H774" s="67">
        <v>0</v>
      </c>
      <c r="I774" s="67">
        <v>3</v>
      </c>
      <c r="J774" s="67" t="s">
        <v>191</v>
      </c>
      <c r="K774" s="67" t="s">
        <v>192</v>
      </c>
      <c r="L774" s="67" t="s">
        <v>87</v>
      </c>
      <c r="M774" s="67" t="s">
        <v>87</v>
      </c>
      <c r="N774" s="70">
        <v>1</v>
      </c>
      <c r="O774" s="70">
        <v>1</v>
      </c>
      <c r="P774" s="70"/>
      <c r="Q774" s="98">
        <v>2</v>
      </c>
      <c r="R774" s="70">
        <v>2</v>
      </c>
      <c r="S774" s="70">
        <v>0</v>
      </c>
    </row>
    <row r="775" spans="1:19" s="56" customFormat="1">
      <c r="A775" s="67" t="s">
        <v>544</v>
      </c>
      <c r="B775" s="68" t="s">
        <v>469</v>
      </c>
      <c r="C775" s="67" t="s">
        <v>184</v>
      </c>
      <c r="D775" s="67" t="s">
        <v>138</v>
      </c>
      <c r="E775" s="67" t="s">
        <v>139</v>
      </c>
      <c r="F775" s="67" t="s">
        <v>186</v>
      </c>
      <c r="G775" s="69" t="s">
        <v>184</v>
      </c>
      <c r="H775" s="67">
        <v>0</v>
      </c>
      <c r="I775" s="67">
        <v>4</v>
      </c>
      <c r="J775" s="67" t="s">
        <v>291</v>
      </c>
      <c r="K775" s="67" t="s">
        <v>292</v>
      </c>
      <c r="L775" s="67" t="s">
        <v>87</v>
      </c>
      <c r="M775" s="67" t="s">
        <v>87</v>
      </c>
      <c r="N775" s="70">
        <v>1</v>
      </c>
      <c r="O775" s="70">
        <v>1</v>
      </c>
      <c r="P775" s="70"/>
      <c r="Q775" s="98">
        <v>2</v>
      </c>
      <c r="R775" s="70">
        <v>2</v>
      </c>
      <c r="S775" s="70">
        <v>0</v>
      </c>
    </row>
    <row r="776" spans="1:19" s="56" customFormat="1">
      <c r="A776" s="67" t="s">
        <v>544</v>
      </c>
      <c r="B776" s="68" t="s">
        <v>469</v>
      </c>
      <c r="C776" s="67" t="s">
        <v>184</v>
      </c>
      <c r="D776" s="67" t="s">
        <v>138</v>
      </c>
      <c r="E776" s="67" t="s">
        <v>139</v>
      </c>
      <c r="F776" s="67" t="s">
        <v>167</v>
      </c>
      <c r="G776" s="69" t="s">
        <v>184</v>
      </c>
      <c r="H776" s="67">
        <v>0</v>
      </c>
      <c r="I776" s="67">
        <v>5</v>
      </c>
      <c r="J776" s="67" t="s">
        <v>264</v>
      </c>
      <c r="K776" s="67" t="s">
        <v>265</v>
      </c>
      <c r="L776" s="67" t="s">
        <v>93</v>
      </c>
      <c r="M776" s="67" t="s">
        <v>158</v>
      </c>
      <c r="N776" s="70">
        <v>1000</v>
      </c>
      <c r="O776" s="70">
        <v>1E-3</v>
      </c>
      <c r="P776" s="70"/>
      <c r="Q776" s="98">
        <v>20000</v>
      </c>
      <c r="R776" s="70">
        <v>20</v>
      </c>
      <c r="S776" s="70">
        <v>0</v>
      </c>
    </row>
    <row r="777" spans="1:19" s="56" customFormat="1">
      <c r="A777" s="67" t="s">
        <v>544</v>
      </c>
      <c r="B777" s="68" t="s">
        <v>469</v>
      </c>
      <c r="C777" s="67" t="s">
        <v>184</v>
      </c>
      <c r="D777" s="67" t="s">
        <v>138</v>
      </c>
      <c r="E777" s="67" t="s">
        <v>139</v>
      </c>
      <c r="F777" s="67" t="s">
        <v>187</v>
      </c>
      <c r="G777" s="69" t="s">
        <v>184</v>
      </c>
      <c r="H777" s="67">
        <v>0</v>
      </c>
      <c r="I777" s="67">
        <v>6</v>
      </c>
      <c r="J777" s="67" t="s">
        <v>545</v>
      </c>
      <c r="K777" s="67" t="s">
        <v>546</v>
      </c>
      <c r="L777" s="67" t="s">
        <v>87</v>
      </c>
      <c r="M777" s="67" t="s">
        <v>87</v>
      </c>
      <c r="N777" s="70">
        <v>1</v>
      </c>
      <c r="O777" s="70">
        <v>1</v>
      </c>
      <c r="P777" s="70"/>
      <c r="Q777" s="98">
        <v>1</v>
      </c>
      <c r="R777" s="70">
        <v>1</v>
      </c>
      <c r="S777" s="70">
        <v>0</v>
      </c>
    </row>
    <row r="778" spans="1:19" s="56" customFormat="1">
      <c r="A778" s="67" t="s">
        <v>544</v>
      </c>
      <c r="B778" s="68" t="s">
        <v>469</v>
      </c>
      <c r="C778" s="67" t="s">
        <v>184</v>
      </c>
      <c r="D778" s="67" t="s">
        <v>138</v>
      </c>
      <c r="E778" s="67" t="s">
        <v>139</v>
      </c>
      <c r="F778" s="67" t="s">
        <v>187</v>
      </c>
      <c r="G778" s="69" t="s">
        <v>184</v>
      </c>
      <c r="H778" s="67">
        <v>0</v>
      </c>
      <c r="I778" s="67">
        <v>8</v>
      </c>
      <c r="J778" s="67" t="s">
        <v>200</v>
      </c>
      <c r="K778" s="67" t="s">
        <v>201</v>
      </c>
      <c r="L778" s="67" t="s">
        <v>3</v>
      </c>
      <c r="M778" s="67" t="s">
        <v>142</v>
      </c>
      <c r="N778" s="70">
        <v>1000</v>
      </c>
      <c r="O778" s="70">
        <v>26.5</v>
      </c>
      <c r="P778" s="70"/>
      <c r="Q778" s="98">
        <v>28300</v>
      </c>
      <c r="R778" s="70">
        <v>28</v>
      </c>
      <c r="S778" s="70">
        <v>300</v>
      </c>
    </row>
    <row r="779" spans="1:19" s="56" customFormat="1">
      <c r="A779" s="67" t="s">
        <v>544</v>
      </c>
      <c r="B779" s="68" t="s">
        <v>469</v>
      </c>
      <c r="C779" s="67" t="s">
        <v>184</v>
      </c>
      <c r="D779" s="67" t="s">
        <v>138</v>
      </c>
      <c r="E779" s="67" t="s">
        <v>139</v>
      </c>
      <c r="F779" s="67" t="s">
        <v>186</v>
      </c>
      <c r="G779" s="69" t="s">
        <v>184</v>
      </c>
      <c r="H779" s="67">
        <v>0</v>
      </c>
      <c r="I779" s="67">
        <v>9</v>
      </c>
      <c r="J779" s="67" t="s">
        <v>323</v>
      </c>
      <c r="K779" s="67" t="s">
        <v>324</v>
      </c>
      <c r="L779" s="67" t="s">
        <v>88</v>
      </c>
      <c r="M779" s="67" t="s">
        <v>88</v>
      </c>
      <c r="N779" s="70">
        <v>1</v>
      </c>
      <c r="O779" s="70">
        <v>55000</v>
      </c>
      <c r="P779" s="70"/>
      <c r="Q779" s="98">
        <v>6</v>
      </c>
      <c r="R779" s="70">
        <v>6</v>
      </c>
      <c r="S779" s="70">
        <v>0</v>
      </c>
    </row>
    <row r="780" spans="1:19" s="56" customFormat="1">
      <c r="A780" s="67" t="s">
        <v>547</v>
      </c>
      <c r="B780" s="68" t="s">
        <v>471</v>
      </c>
      <c r="C780" s="67" t="s">
        <v>184</v>
      </c>
      <c r="D780" s="67" t="s">
        <v>138</v>
      </c>
      <c r="E780" s="67" t="s">
        <v>139</v>
      </c>
      <c r="F780" s="67" t="s">
        <v>186</v>
      </c>
      <c r="G780" s="69" t="s">
        <v>184</v>
      </c>
      <c r="H780" s="67">
        <v>0</v>
      </c>
      <c r="I780" s="67">
        <v>1</v>
      </c>
      <c r="J780" s="67" t="s">
        <v>548</v>
      </c>
      <c r="K780" s="67" t="s">
        <v>549</v>
      </c>
      <c r="L780" s="67" t="s">
        <v>88</v>
      </c>
      <c r="M780" s="67" t="s">
        <v>88</v>
      </c>
      <c r="N780" s="70">
        <v>1</v>
      </c>
      <c r="O780" s="70">
        <v>1</v>
      </c>
      <c r="P780" s="70"/>
      <c r="Q780" s="98">
        <v>1</v>
      </c>
      <c r="R780" s="70">
        <v>1</v>
      </c>
      <c r="S780" s="70">
        <v>0</v>
      </c>
    </row>
    <row r="781" spans="1:19" s="56" customFormat="1">
      <c r="A781" s="67" t="s">
        <v>547</v>
      </c>
      <c r="B781" s="68" t="s">
        <v>471</v>
      </c>
      <c r="C781" s="67" t="s">
        <v>184</v>
      </c>
      <c r="D781" s="67" t="s">
        <v>138</v>
      </c>
      <c r="E781" s="67" t="s">
        <v>139</v>
      </c>
      <c r="F781" s="67" t="s">
        <v>186</v>
      </c>
      <c r="G781" s="69" t="s">
        <v>184</v>
      </c>
      <c r="H781" s="67">
        <v>0</v>
      </c>
      <c r="I781" s="67">
        <v>2</v>
      </c>
      <c r="J781" s="67" t="s">
        <v>188</v>
      </c>
      <c r="K781" s="67" t="s">
        <v>89</v>
      </c>
      <c r="L781" s="67" t="s">
        <v>87</v>
      </c>
      <c r="M781" s="67" t="s">
        <v>87</v>
      </c>
      <c r="N781" s="70">
        <v>1</v>
      </c>
      <c r="O781" s="70">
        <v>1</v>
      </c>
      <c r="P781" s="70"/>
      <c r="Q781" s="98">
        <v>6</v>
      </c>
      <c r="R781" s="70">
        <v>6</v>
      </c>
      <c r="S781" s="70">
        <v>0</v>
      </c>
    </row>
    <row r="782" spans="1:19" s="56" customFormat="1">
      <c r="A782" s="67" t="s">
        <v>547</v>
      </c>
      <c r="B782" s="68" t="s">
        <v>471</v>
      </c>
      <c r="C782" s="67" t="s">
        <v>184</v>
      </c>
      <c r="D782" s="67" t="s">
        <v>138</v>
      </c>
      <c r="E782" s="67" t="s">
        <v>139</v>
      </c>
      <c r="F782" s="67" t="s">
        <v>167</v>
      </c>
      <c r="G782" s="69" t="s">
        <v>184</v>
      </c>
      <c r="H782" s="67">
        <v>0</v>
      </c>
      <c r="I782" s="67">
        <v>3</v>
      </c>
      <c r="J782" s="67" t="s">
        <v>185</v>
      </c>
      <c r="K782" s="67" t="s">
        <v>92</v>
      </c>
      <c r="L782" s="67" t="s">
        <v>88</v>
      </c>
      <c r="M782" s="67" t="s">
        <v>88</v>
      </c>
      <c r="N782" s="70">
        <v>1</v>
      </c>
      <c r="O782" s="70">
        <v>12500</v>
      </c>
      <c r="P782" s="70"/>
      <c r="Q782" s="98">
        <v>6</v>
      </c>
      <c r="R782" s="70">
        <v>6</v>
      </c>
      <c r="S782" s="70">
        <v>0</v>
      </c>
    </row>
    <row r="783" spans="1:19" s="56" customFormat="1">
      <c r="A783" s="67" t="s">
        <v>547</v>
      </c>
      <c r="B783" s="68" t="s">
        <v>471</v>
      </c>
      <c r="C783" s="67" t="s">
        <v>184</v>
      </c>
      <c r="D783" s="67" t="s">
        <v>138</v>
      </c>
      <c r="E783" s="67" t="s">
        <v>139</v>
      </c>
      <c r="F783" s="67" t="s">
        <v>186</v>
      </c>
      <c r="G783" s="69" t="s">
        <v>184</v>
      </c>
      <c r="H783" s="67">
        <v>0</v>
      </c>
      <c r="I783" s="67">
        <v>4</v>
      </c>
      <c r="J783" s="67" t="s">
        <v>253</v>
      </c>
      <c r="K783" s="67" t="s">
        <v>254</v>
      </c>
      <c r="L783" s="67" t="s">
        <v>195</v>
      </c>
      <c r="M783" s="67" t="s">
        <v>195</v>
      </c>
      <c r="N783" s="70">
        <v>1</v>
      </c>
      <c r="O783" s="70">
        <v>1</v>
      </c>
      <c r="P783" s="70"/>
      <c r="Q783" s="98">
        <v>4</v>
      </c>
      <c r="R783" s="70">
        <v>4</v>
      </c>
      <c r="S783" s="70">
        <v>0</v>
      </c>
    </row>
    <row r="784" spans="1:19" s="56" customFormat="1">
      <c r="A784" s="67" t="s">
        <v>547</v>
      </c>
      <c r="B784" s="68" t="s">
        <v>471</v>
      </c>
      <c r="C784" s="67" t="s">
        <v>184</v>
      </c>
      <c r="D784" s="67" t="s">
        <v>138</v>
      </c>
      <c r="E784" s="67" t="s">
        <v>139</v>
      </c>
      <c r="F784" s="67" t="s">
        <v>186</v>
      </c>
      <c r="G784" s="69" t="s">
        <v>184</v>
      </c>
      <c r="H784" s="67">
        <v>0</v>
      </c>
      <c r="I784" s="67">
        <v>5</v>
      </c>
      <c r="J784" s="67" t="s">
        <v>550</v>
      </c>
      <c r="K784" s="67" t="s">
        <v>551</v>
      </c>
      <c r="L784" s="67" t="s">
        <v>3</v>
      </c>
      <c r="M784" s="67" t="s">
        <v>142</v>
      </c>
      <c r="N784" s="70">
        <v>1000</v>
      </c>
      <c r="O784" s="70">
        <v>1E-3</v>
      </c>
      <c r="P784" s="70"/>
      <c r="Q784" s="98">
        <v>5000</v>
      </c>
      <c r="R784" s="70">
        <v>5</v>
      </c>
      <c r="S784" s="70">
        <v>0</v>
      </c>
    </row>
    <row r="785" spans="1:19" s="56" customFormat="1">
      <c r="A785" s="67" t="s">
        <v>547</v>
      </c>
      <c r="B785" s="68" t="s">
        <v>471</v>
      </c>
      <c r="C785" s="67" t="s">
        <v>184</v>
      </c>
      <c r="D785" s="67" t="s">
        <v>138</v>
      </c>
      <c r="E785" s="67" t="s">
        <v>139</v>
      </c>
      <c r="F785" s="67" t="s">
        <v>186</v>
      </c>
      <c r="G785" s="69" t="s">
        <v>184</v>
      </c>
      <c r="H785" s="67">
        <v>0</v>
      </c>
      <c r="I785" s="67">
        <v>6</v>
      </c>
      <c r="J785" s="67" t="s">
        <v>451</v>
      </c>
      <c r="K785" s="67" t="s">
        <v>452</v>
      </c>
      <c r="L785" s="67" t="s">
        <v>279</v>
      </c>
      <c r="M785" s="67" t="s">
        <v>279</v>
      </c>
      <c r="N785" s="70">
        <v>1</v>
      </c>
      <c r="O785" s="70">
        <v>1</v>
      </c>
      <c r="P785" s="70"/>
      <c r="Q785" s="98">
        <v>1</v>
      </c>
      <c r="R785" s="70">
        <v>1</v>
      </c>
      <c r="S785" s="70">
        <v>0</v>
      </c>
    </row>
    <row r="786" spans="1:19" s="56" customFormat="1">
      <c r="A786" s="67" t="s">
        <v>547</v>
      </c>
      <c r="B786" s="68" t="s">
        <v>471</v>
      </c>
      <c r="C786" s="67" t="s">
        <v>184</v>
      </c>
      <c r="D786" s="67" t="s">
        <v>138</v>
      </c>
      <c r="E786" s="67" t="s">
        <v>139</v>
      </c>
      <c r="F786" s="67" t="s">
        <v>166</v>
      </c>
      <c r="G786" s="69" t="s">
        <v>184</v>
      </c>
      <c r="H786" s="67">
        <v>0</v>
      </c>
      <c r="I786" s="67">
        <v>7</v>
      </c>
      <c r="J786" s="67" t="s">
        <v>274</v>
      </c>
      <c r="K786" s="67" t="s">
        <v>275</v>
      </c>
      <c r="L786" s="67" t="s">
        <v>87</v>
      </c>
      <c r="M786" s="67" t="s">
        <v>87</v>
      </c>
      <c r="N786" s="70">
        <v>1</v>
      </c>
      <c r="O786" s="70">
        <v>1</v>
      </c>
      <c r="P786" s="70"/>
      <c r="Q786" s="98">
        <v>1</v>
      </c>
      <c r="R786" s="70">
        <v>1</v>
      </c>
      <c r="S786" s="70">
        <v>0</v>
      </c>
    </row>
    <row r="787" spans="1:19" s="56" customFormat="1">
      <c r="A787" s="67" t="s">
        <v>547</v>
      </c>
      <c r="B787" s="68" t="s">
        <v>471</v>
      </c>
      <c r="C787" s="67" t="s">
        <v>184</v>
      </c>
      <c r="D787" s="67" t="s">
        <v>138</v>
      </c>
      <c r="E787" s="67" t="s">
        <v>139</v>
      </c>
      <c r="F787" s="67" t="s">
        <v>202</v>
      </c>
      <c r="G787" s="69" t="s">
        <v>184</v>
      </c>
      <c r="H787" s="67">
        <v>0</v>
      </c>
      <c r="I787" s="67">
        <v>9</v>
      </c>
      <c r="J787" s="67" t="s">
        <v>432</v>
      </c>
      <c r="K787" s="67" t="s">
        <v>433</v>
      </c>
      <c r="L787" s="67" t="s">
        <v>87</v>
      </c>
      <c r="M787" s="67" t="s">
        <v>87</v>
      </c>
      <c r="N787" s="70">
        <v>1</v>
      </c>
      <c r="O787" s="70">
        <v>1</v>
      </c>
      <c r="P787" s="70"/>
      <c r="Q787" s="98">
        <v>2</v>
      </c>
      <c r="R787" s="70">
        <v>2</v>
      </c>
      <c r="S787" s="70">
        <v>0</v>
      </c>
    </row>
    <row r="788" spans="1:19" s="56" customFormat="1">
      <c r="A788" s="67" t="s">
        <v>547</v>
      </c>
      <c r="B788" s="68" t="s">
        <v>471</v>
      </c>
      <c r="C788" s="67" t="s">
        <v>184</v>
      </c>
      <c r="D788" s="67" t="s">
        <v>138</v>
      </c>
      <c r="E788" s="67" t="s">
        <v>139</v>
      </c>
      <c r="F788" s="67" t="s">
        <v>202</v>
      </c>
      <c r="G788" s="69" t="s">
        <v>184</v>
      </c>
      <c r="H788" s="67">
        <v>0</v>
      </c>
      <c r="I788" s="67">
        <v>10</v>
      </c>
      <c r="J788" s="67" t="s">
        <v>283</v>
      </c>
      <c r="K788" s="67" t="s">
        <v>284</v>
      </c>
      <c r="L788" s="67" t="s">
        <v>88</v>
      </c>
      <c r="M788" s="67" t="s">
        <v>88</v>
      </c>
      <c r="N788" s="70">
        <v>1</v>
      </c>
      <c r="O788" s="70">
        <v>1</v>
      </c>
      <c r="P788" s="70"/>
      <c r="Q788" s="98">
        <v>1</v>
      </c>
      <c r="R788" s="70">
        <v>1</v>
      </c>
      <c r="S788" s="70">
        <v>0</v>
      </c>
    </row>
    <row r="789" spans="1:19" s="56" customFormat="1">
      <c r="A789" s="67" t="s">
        <v>547</v>
      </c>
      <c r="B789" s="68" t="s">
        <v>471</v>
      </c>
      <c r="C789" s="67" t="s">
        <v>184</v>
      </c>
      <c r="D789" s="67" t="s">
        <v>138</v>
      </c>
      <c r="E789" s="67" t="s">
        <v>139</v>
      </c>
      <c r="F789" s="67" t="s">
        <v>187</v>
      </c>
      <c r="G789" s="69" t="s">
        <v>184</v>
      </c>
      <c r="H789" s="67">
        <v>0</v>
      </c>
      <c r="I789" s="67">
        <v>11</v>
      </c>
      <c r="J789" s="67" t="s">
        <v>200</v>
      </c>
      <c r="K789" s="67" t="s">
        <v>201</v>
      </c>
      <c r="L789" s="67" t="s">
        <v>3</v>
      </c>
      <c r="M789" s="67" t="s">
        <v>142</v>
      </c>
      <c r="N789" s="70">
        <v>1000</v>
      </c>
      <c r="O789" s="70">
        <v>26.5</v>
      </c>
      <c r="P789" s="70"/>
      <c r="Q789" s="98">
        <v>24800</v>
      </c>
      <c r="R789" s="70">
        <v>24</v>
      </c>
      <c r="S789" s="70">
        <v>800</v>
      </c>
    </row>
    <row r="790" spans="1:19" s="56" customFormat="1">
      <c r="A790" s="67" t="s">
        <v>552</v>
      </c>
      <c r="B790" s="68" t="s">
        <v>474</v>
      </c>
      <c r="C790" s="67" t="s">
        <v>184</v>
      </c>
      <c r="D790" s="67" t="s">
        <v>138</v>
      </c>
      <c r="E790" s="67" t="s">
        <v>139</v>
      </c>
      <c r="F790" s="67" t="s">
        <v>186</v>
      </c>
      <c r="G790" s="69" t="s">
        <v>184</v>
      </c>
      <c r="H790" s="67">
        <v>0</v>
      </c>
      <c r="I790" s="67">
        <v>1</v>
      </c>
      <c r="J790" s="67" t="s">
        <v>553</v>
      </c>
      <c r="K790" s="67" t="s">
        <v>554</v>
      </c>
      <c r="L790" s="67" t="s">
        <v>293</v>
      </c>
      <c r="M790" s="67" t="s">
        <v>293</v>
      </c>
      <c r="N790" s="70">
        <v>1</v>
      </c>
      <c r="O790" s="70">
        <v>1</v>
      </c>
      <c r="P790" s="70"/>
      <c r="Q790" s="98">
        <v>2</v>
      </c>
      <c r="R790" s="70">
        <v>2</v>
      </c>
      <c r="S790" s="70">
        <v>0</v>
      </c>
    </row>
    <row r="791" spans="1:19" s="56" customFormat="1">
      <c r="A791" s="67" t="s">
        <v>552</v>
      </c>
      <c r="B791" s="68" t="s">
        <v>474</v>
      </c>
      <c r="C791" s="67" t="s">
        <v>184</v>
      </c>
      <c r="D791" s="67" t="s">
        <v>138</v>
      </c>
      <c r="E791" s="67" t="s">
        <v>139</v>
      </c>
      <c r="F791" s="67" t="s">
        <v>167</v>
      </c>
      <c r="G791" s="69" t="s">
        <v>184</v>
      </c>
      <c r="H791" s="67">
        <v>0</v>
      </c>
      <c r="I791" s="67">
        <v>2</v>
      </c>
      <c r="J791" s="67" t="s">
        <v>555</v>
      </c>
      <c r="K791" s="67" t="s">
        <v>556</v>
      </c>
      <c r="L791" s="67" t="s">
        <v>95</v>
      </c>
      <c r="M791" s="67" t="s">
        <v>95</v>
      </c>
      <c r="N791" s="70">
        <v>1000</v>
      </c>
      <c r="O791" s="70">
        <v>1E-3</v>
      </c>
      <c r="P791" s="70"/>
      <c r="Q791" s="98">
        <v>1000</v>
      </c>
      <c r="R791" s="70">
        <v>1</v>
      </c>
      <c r="S791" s="70">
        <v>0</v>
      </c>
    </row>
    <row r="792" spans="1:19" s="56" customFormat="1">
      <c r="A792" s="67" t="s">
        <v>552</v>
      </c>
      <c r="B792" s="68" t="s">
        <v>474</v>
      </c>
      <c r="C792" s="67" t="s">
        <v>184</v>
      </c>
      <c r="D792" s="67" t="s">
        <v>138</v>
      </c>
      <c r="E792" s="67" t="s">
        <v>139</v>
      </c>
      <c r="F792" s="67" t="s">
        <v>159</v>
      </c>
      <c r="G792" s="69" t="s">
        <v>184</v>
      </c>
      <c r="H792" s="67">
        <v>0</v>
      </c>
      <c r="I792" s="67">
        <v>3</v>
      </c>
      <c r="J792" s="67" t="s">
        <v>276</v>
      </c>
      <c r="K792" s="67" t="s">
        <v>277</v>
      </c>
      <c r="L792" s="67" t="s">
        <v>87</v>
      </c>
      <c r="M792" s="67" t="s">
        <v>87</v>
      </c>
      <c r="N792" s="70">
        <v>1</v>
      </c>
      <c r="O792" s="70">
        <v>1</v>
      </c>
      <c r="P792" s="70"/>
      <c r="Q792" s="98">
        <v>8</v>
      </c>
      <c r="R792" s="70">
        <v>8</v>
      </c>
      <c r="S792" s="70">
        <v>0</v>
      </c>
    </row>
    <row r="793" spans="1:19" s="56" customFormat="1">
      <c r="A793" s="67" t="s">
        <v>552</v>
      </c>
      <c r="B793" s="68" t="s">
        <v>474</v>
      </c>
      <c r="C793" s="67" t="s">
        <v>184</v>
      </c>
      <c r="D793" s="67" t="s">
        <v>138</v>
      </c>
      <c r="E793" s="67" t="s">
        <v>139</v>
      </c>
      <c r="F793" s="67" t="s">
        <v>186</v>
      </c>
      <c r="G793" s="69" t="s">
        <v>184</v>
      </c>
      <c r="H793" s="67">
        <v>0</v>
      </c>
      <c r="I793" s="67">
        <v>4</v>
      </c>
      <c r="J793" s="67" t="s">
        <v>188</v>
      </c>
      <c r="K793" s="67" t="s">
        <v>89</v>
      </c>
      <c r="L793" s="67" t="s">
        <v>87</v>
      </c>
      <c r="M793" s="67" t="s">
        <v>87</v>
      </c>
      <c r="N793" s="70">
        <v>1</v>
      </c>
      <c r="O793" s="70">
        <v>1</v>
      </c>
      <c r="P793" s="70"/>
      <c r="Q793" s="98">
        <v>6</v>
      </c>
      <c r="R793" s="70">
        <v>6</v>
      </c>
      <c r="S793" s="70">
        <v>0</v>
      </c>
    </row>
    <row r="794" spans="1:19" s="56" customFormat="1">
      <c r="A794" s="67" t="s">
        <v>552</v>
      </c>
      <c r="B794" s="68" t="s">
        <v>474</v>
      </c>
      <c r="C794" s="67" t="s">
        <v>184</v>
      </c>
      <c r="D794" s="67" t="s">
        <v>138</v>
      </c>
      <c r="E794" s="67" t="s">
        <v>139</v>
      </c>
      <c r="F794" s="67" t="s">
        <v>186</v>
      </c>
      <c r="G794" s="69" t="s">
        <v>184</v>
      </c>
      <c r="H794" s="67">
        <v>0</v>
      </c>
      <c r="I794" s="67">
        <v>5</v>
      </c>
      <c r="J794" s="67" t="s">
        <v>273</v>
      </c>
      <c r="K794" s="67" t="s">
        <v>269</v>
      </c>
      <c r="L794" s="67" t="s">
        <v>95</v>
      </c>
      <c r="M794" s="67" t="s">
        <v>95</v>
      </c>
      <c r="N794" s="70">
        <v>1</v>
      </c>
      <c r="O794" s="70">
        <v>1</v>
      </c>
      <c r="P794" s="70"/>
      <c r="Q794" s="98">
        <v>2</v>
      </c>
      <c r="R794" s="70">
        <v>2</v>
      </c>
      <c r="S794" s="70">
        <v>0</v>
      </c>
    </row>
    <row r="795" spans="1:19" s="56" customFormat="1">
      <c r="A795" s="67" t="s">
        <v>552</v>
      </c>
      <c r="B795" s="68" t="s">
        <v>474</v>
      </c>
      <c r="C795" s="67" t="s">
        <v>184</v>
      </c>
      <c r="D795" s="67" t="s">
        <v>138</v>
      </c>
      <c r="E795" s="67" t="s">
        <v>139</v>
      </c>
      <c r="F795" s="67" t="s">
        <v>159</v>
      </c>
      <c r="G795" s="69" t="s">
        <v>184</v>
      </c>
      <c r="H795" s="67">
        <v>0</v>
      </c>
      <c r="I795" s="67">
        <v>6</v>
      </c>
      <c r="J795" s="67" t="s">
        <v>189</v>
      </c>
      <c r="K795" s="67" t="s">
        <v>190</v>
      </c>
      <c r="L795" s="67" t="s">
        <v>91</v>
      </c>
      <c r="M795" s="67" t="s">
        <v>91</v>
      </c>
      <c r="N795" s="70">
        <v>1</v>
      </c>
      <c r="O795" s="70">
        <v>1</v>
      </c>
      <c r="P795" s="70"/>
      <c r="Q795" s="98">
        <v>3</v>
      </c>
      <c r="R795" s="70">
        <v>3</v>
      </c>
      <c r="S795" s="70">
        <v>0</v>
      </c>
    </row>
    <row r="796" spans="1:19" s="56" customFormat="1">
      <c r="A796" s="67" t="s">
        <v>552</v>
      </c>
      <c r="B796" s="68" t="s">
        <v>474</v>
      </c>
      <c r="C796" s="67" t="s">
        <v>184</v>
      </c>
      <c r="D796" s="67" t="s">
        <v>138</v>
      </c>
      <c r="E796" s="67" t="s">
        <v>139</v>
      </c>
      <c r="F796" s="67" t="s">
        <v>167</v>
      </c>
      <c r="G796" s="69" t="s">
        <v>184</v>
      </c>
      <c r="H796" s="67">
        <v>0</v>
      </c>
      <c r="I796" s="67">
        <v>7</v>
      </c>
      <c r="J796" s="67" t="s">
        <v>185</v>
      </c>
      <c r="K796" s="67" t="s">
        <v>92</v>
      </c>
      <c r="L796" s="67" t="s">
        <v>88</v>
      </c>
      <c r="M796" s="67" t="s">
        <v>88</v>
      </c>
      <c r="N796" s="70">
        <v>1</v>
      </c>
      <c r="O796" s="70">
        <v>12500</v>
      </c>
      <c r="P796" s="70"/>
      <c r="Q796" s="98">
        <v>10</v>
      </c>
      <c r="R796" s="70">
        <v>10</v>
      </c>
      <c r="S796" s="70">
        <v>0</v>
      </c>
    </row>
    <row r="797" spans="1:19" s="56" customFormat="1">
      <c r="A797" s="67" t="s">
        <v>552</v>
      </c>
      <c r="B797" s="68" t="s">
        <v>474</v>
      </c>
      <c r="C797" s="67" t="s">
        <v>184</v>
      </c>
      <c r="D797" s="67" t="s">
        <v>138</v>
      </c>
      <c r="E797" s="67" t="s">
        <v>139</v>
      </c>
      <c r="F797" s="67" t="s">
        <v>186</v>
      </c>
      <c r="G797" s="69" t="s">
        <v>184</v>
      </c>
      <c r="H797" s="67">
        <v>0</v>
      </c>
      <c r="I797" s="67">
        <v>8</v>
      </c>
      <c r="J797" s="67" t="s">
        <v>557</v>
      </c>
      <c r="K797" s="67" t="s">
        <v>558</v>
      </c>
      <c r="L797" s="67" t="s">
        <v>87</v>
      </c>
      <c r="M797" s="67" t="s">
        <v>87</v>
      </c>
      <c r="N797" s="70">
        <v>1</v>
      </c>
      <c r="O797" s="70">
        <v>1</v>
      </c>
      <c r="P797" s="70"/>
      <c r="Q797" s="98">
        <v>2</v>
      </c>
      <c r="R797" s="70">
        <v>2</v>
      </c>
      <c r="S797" s="70">
        <v>0</v>
      </c>
    </row>
    <row r="798" spans="1:19" s="56" customFormat="1">
      <c r="A798" s="67" t="s">
        <v>552</v>
      </c>
      <c r="B798" s="68" t="s">
        <v>474</v>
      </c>
      <c r="C798" s="67" t="s">
        <v>184</v>
      </c>
      <c r="D798" s="67" t="s">
        <v>138</v>
      </c>
      <c r="E798" s="67" t="s">
        <v>139</v>
      </c>
      <c r="F798" s="67" t="s">
        <v>186</v>
      </c>
      <c r="G798" s="69" t="s">
        <v>184</v>
      </c>
      <c r="H798" s="67">
        <v>0</v>
      </c>
      <c r="I798" s="67">
        <v>9</v>
      </c>
      <c r="J798" s="67" t="s">
        <v>453</v>
      </c>
      <c r="K798" s="67" t="s">
        <v>454</v>
      </c>
      <c r="L798" s="67" t="s">
        <v>87</v>
      </c>
      <c r="M798" s="67" t="s">
        <v>87</v>
      </c>
      <c r="N798" s="70">
        <v>1</v>
      </c>
      <c r="O798" s="70">
        <v>1</v>
      </c>
      <c r="P798" s="70"/>
      <c r="Q798" s="98">
        <v>1</v>
      </c>
      <c r="R798" s="70">
        <v>1</v>
      </c>
      <c r="S798" s="70">
        <v>0</v>
      </c>
    </row>
    <row r="799" spans="1:19" s="56" customFormat="1">
      <c r="A799" s="67" t="s">
        <v>552</v>
      </c>
      <c r="B799" s="68" t="s">
        <v>474</v>
      </c>
      <c r="C799" s="67" t="s">
        <v>184</v>
      </c>
      <c r="D799" s="67" t="s">
        <v>138</v>
      </c>
      <c r="E799" s="67" t="s">
        <v>139</v>
      </c>
      <c r="F799" s="67" t="s">
        <v>186</v>
      </c>
      <c r="G799" s="69" t="s">
        <v>184</v>
      </c>
      <c r="H799" s="67">
        <v>0</v>
      </c>
      <c r="I799" s="67">
        <v>10</v>
      </c>
      <c r="J799" s="67" t="s">
        <v>559</v>
      </c>
      <c r="K799" s="67" t="s">
        <v>560</v>
      </c>
      <c r="L799" s="67" t="s">
        <v>87</v>
      </c>
      <c r="M799" s="67" t="s">
        <v>87</v>
      </c>
      <c r="N799" s="70">
        <v>1</v>
      </c>
      <c r="O799" s="70">
        <v>1</v>
      </c>
      <c r="P799" s="70"/>
      <c r="Q799" s="98">
        <v>1</v>
      </c>
      <c r="R799" s="70">
        <v>1</v>
      </c>
      <c r="S799" s="70">
        <v>0</v>
      </c>
    </row>
    <row r="800" spans="1:19" s="56" customFormat="1">
      <c r="A800" s="67" t="s">
        <v>561</v>
      </c>
      <c r="B800" s="68" t="s">
        <v>476</v>
      </c>
      <c r="C800" s="67" t="s">
        <v>184</v>
      </c>
      <c r="D800" s="67" t="s">
        <v>138</v>
      </c>
      <c r="E800" s="67" t="s">
        <v>139</v>
      </c>
      <c r="F800" s="67" t="s">
        <v>186</v>
      </c>
      <c r="G800" s="69" t="s">
        <v>184</v>
      </c>
      <c r="H800" s="67">
        <v>0</v>
      </c>
      <c r="I800" s="67">
        <v>1</v>
      </c>
      <c r="J800" s="67" t="s">
        <v>387</v>
      </c>
      <c r="K800" s="67" t="s">
        <v>388</v>
      </c>
      <c r="L800" s="67" t="s">
        <v>88</v>
      </c>
      <c r="M800" s="67" t="s">
        <v>88</v>
      </c>
      <c r="N800" s="70">
        <v>1</v>
      </c>
      <c r="O800" s="70">
        <v>1</v>
      </c>
      <c r="P800" s="70"/>
      <c r="Q800" s="98">
        <v>16</v>
      </c>
      <c r="R800" s="70">
        <v>16</v>
      </c>
      <c r="S800" s="70">
        <v>0</v>
      </c>
    </row>
    <row r="801" spans="1:19" s="56" customFormat="1">
      <c r="A801" s="67" t="s">
        <v>561</v>
      </c>
      <c r="B801" s="68" t="s">
        <v>476</v>
      </c>
      <c r="C801" s="67" t="s">
        <v>184</v>
      </c>
      <c r="D801" s="67" t="s">
        <v>138</v>
      </c>
      <c r="E801" s="67" t="s">
        <v>139</v>
      </c>
      <c r="F801" s="67" t="s">
        <v>186</v>
      </c>
      <c r="G801" s="69" t="s">
        <v>184</v>
      </c>
      <c r="H801" s="67">
        <v>0</v>
      </c>
      <c r="I801" s="67">
        <v>2</v>
      </c>
      <c r="J801" s="67" t="s">
        <v>562</v>
      </c>
      <c r="K801" s="67" t="s">
        <v>563</v>
      </c>
      <c r="L801" s="67" t="s">
        <v>87</v>
      </c>
      <c r="M801" s="67" t="s">
        <v>87</v>
      </c>
      <c r="N801" s="70">
        <v>1</v>
      </c>
      <c r="O801" s="70">
        <v>1</v>
      </c>
      <c r="P801" s="70"/>
      <c r="Q801" s="98">
        <v>1</v>
      </c>
      <c r="R801" s="70">
        <v>1</v>
      </c>
      <c r="S801" s="70">
        <v>0</v>
      </c>
    </row>
    <row r="802" spans="1:19" s="56" customFormat="1">
      <c r="A802" s="67" t="s">
        <v>561</v>
      </c>
      <c r="B802" s="68" t="s">
        <v>476</v>
      </c>
      <c r="C802" s="67" t="s">
        <v>184</v>
      </c>
      <c r="D802" s="67" t="s">
        <v>138</v>
      </c>
      <c r="E802" s="67" t="s">
        <v>139</v>
      </c>
      <c r="F802" s="67" t="s">
        <v>186</v>
      </c>
      <c r="G802" s="69" t="s">
        <v>184</v>
      </c>
      <c r="H802" s="67">
        <v>0</v>
      </c>
      <c r="I802" s="67">
        <v>3</v>
      </c>
      <c r="J802" s="67" t="s">
        <v>322</v>
      </c>
      <c r="K802" s="67" t="s">
        <v>312</v>
      </c>
      <c r="L802" s="67" t="s">
        <v>87</v>
      </c>
      <c r="M802" s="67" t="s">
        <v>87</v>
      </c>
      <c r="N802" s="70">
        <v>1</v>
      </c>
      <c r="O802" s="70">
        <v>1</v>
      </c>
      <c r="P802" s="70"/>
      <c r="Q802" s="98">
        <v>32</v>
      </c>
      <c r="R802" s="70">
        <v>32</v>
      </c>
      <c r="S802" s="70">
        <v>0</v>
      </c>
    </row>
    <row r="803" spans="1:19" s="56" customFormat="1">
      <c r="A803" s="67" t="s">
        <v>561</v>
      </c>
      <c r="B803" s="68" t="s">
        <v>476</v>
      </c>
      <c r="C803" s="67" t="s">
        <v>184</v>
      </c>
      <c r="D803" s="67" t="s">
        <v>138</v>
      </c>
      <c r="E803" s="67" t="s">
        <v>139</v>
      </c>
      <c r="F803" s="67" t="s">
        <v>186</v>
      </c>
      <c r="G803" s="69" t="s">
        <v>184</v>
      </c>
      <c r="H803" s="67">
        <v>0</v>
      </c>
      <c r="I803" s="67">
        <v>4</v>
      </c>
      <c r="J803" s="67" t="s">
        <v>333</v>
      </c>
      <c r="K803" s="67" t="s">
        <v>334</v>
      </c>
      <c r="L803" s="67" t="s">
        <v>88</v>
      </c>
      <c r="M803" s="67" t="s">
        <v>88</v>
      </c>
      <c r="N803" s="70">
        <v>1</v>
      </c>
      <c r="O803" s="70">
        <v>1</v>
      </c>
      <c r="P803" s="70"/>
      <c r="Q803" s="98">
        <v>2</v>
      </c>
      <c r="R803" s="70">
        <v>2</v>
      </c>
      <c r="S803" s="70">
        <v>0</v>
      </c>
    </row>
    <row r="804" spans="1:19" s="56" customFormat="1">
      <c r="A804" s="67" t="s">
        <v>561</v>
      </c>
      <c r="B804" s="68" t="s">
        <v>476</v>
      </c>
      <c r="C804" s="67" t="s">
        <v>184</v>
      </c>
      <c r="D804" s="67" t="s">
        <v>138</v>
      </c>
      <c r="E804" s="67" t="s">
        <v>139</v>
      </c>
      <c r="F804" s="67" t="s">
        <v>166</v>
      </c>
      <c r="G804" s="69" t="s">
        <v>184</v>
      </c>
      <c r="H804" s="67">
        <v>0</v>
      </c>
      <c r="I804" s="67">
        <v>5</v>
      </c>
      <c r="J804" s="67" t="s">
        <v>274</v>
      </c>
      <c r="K804" s="67" t="s">
        <v>275</v>
      </c>
      <c r="L804" s="67" t="s">
        <v>87</v>
      </c>
      <c r="M804" s="67" t="s">
        <v>87</v>
      </c>
      <c r="N804" s="70">
        <v>1</v>
      </c>
      <c r="O804" s="70">
        <v>1</v>
      </c>
      <c r="P804" s="70"/>
      <c r="Q804" s="98">
        <v>1</v>
      </c>
      <c r="R804" s="70">
        <v>1</v>
      </c>
      <c r="S804" s="70">
        <v>0</v>
      </c>
    </row>
    <row r="805" spans="1:19" s="56" customFormat="1">
      <c r="A805" s="67" t="s">
        <v>561</v>
      </c>
      <c r="B805" s="68" t="s">
        <v>476</v>
      </c>
      <c r="C805" s="67" t="s">
        <v>184</v>
      </c>
      <c r="D805" s="67" t="s">
        <v>138</v>
      </c>
      <c r="E805" s="67" t="s">
        <v>139</v>
      </c>
      <c r="F805" s="67" t="s">
        <v>186</v>
      </c>
      <c r="G805" s="69" t="s">
        <v>184</v>
      </c>
      <c r="H805" s="67">
        <v>0</v>
      </c>
      <c r="I805" s="67">
        <v>6</v>
      </c>
      <c r="J805" s="67" t="s">
        <v>399</v>
      </c>
      <c r="K805" s="67" t="s">
        <v>400</v>
      </c>
      <c r="L805" s="67" t="s">
        <v>87</v>
      </c>
      <c r="M805" s="67" t="s">
        <v>87</v>
      </c>
      <c r="N805" s="70">
        <v>1</v>
      </c>
      <c r="O805" s="70">
        <v>1</v>
      </c>
      <c r="P805" s="70"/>
      <c r="Q805" s="98">
        <v>4</v>
      </c>
      <c r="R805" s="70">
        <v>4</v>
      </c>
      <c r="S805" s="70">
        <v>0</v>
      </c>
    </row>
    <row r="806" spans="1:19" s="56" customFormat="1">
      <c r="A806" s="67" t="s">
        <v>561</v>
      </c>
      <c r="B806" s="68" t="s">
        <v>476</v>
      </c>
      <c r="C806" s="67" t="s">
        <v>184</v>
      </c>
      <c r="D806" s="67" t="s">
        <v>138</v>
      </c>
      <c r="E806" s="67" t="s">
        <v>139</v>
      </c>
      <c r="F806" s="67" t="s">
        <v>186</v>
      </c>
      <c r="G806" s="69" t="s">
        <v>184</v>
      </c>
      <c r="H806" s="67">
        <v>0</v>
      </c>
      <c r="I806" s="67">
        <v>7</v>
      </c>
      <c r="J806" s="67" t="s">
        <v>437</v>
      </c>
      <c r="K806" s="67" t="s">
        <v>438</v>
      </c>
      <c r="L806" s="67" t="s">
        <v>439</v>
      </c>
      <c r="M806" s="67" t="s">
        <v>439</v>
      </c>
      <c r="N806" s="70">
        <v>1</v>
      </c>
      <c r="O806" s="70">
        <v>1</v>
      </c>
      <c r="P806" s="70"/>
      <c r="Q806" s="98">
        <v>1</v>
      </c>
      <c r="R806" s="70">
        <v>1</v>
      </c>
      <c r="S806" s="70">
        <v>0</v>
      </c>
    </row>
    <row r="807" spans="1:19" s="56" customFormat="1">
      <c r="A807" s="67" t="s">
        <v>561</v>
      </c>
      <c r="B807" s="68" t="s">
        <v>476</v>
      </c>
      <c r="C807" s="67" t="s">
        <v>184</v>
      </c>
      <c r="D807" s="67" t="s">
        <v>138</v>
      </c>
      <c r="E807" s="67" t="s">
        <v>139</v>
      </c>
      <c r="F807" s="67" t="s">
        <v>186</v>
      </c>
      <c r="G807" s="69" t="s">
        <v>184</v>
      </c>
      <c r="H807" s="67">
        <v>0</v>
      </c>
      <c r="I807" s="67">
        <v>8</v>
      </c>
      <c r="J807" s="67" t="s">
        <v>564</v>
      </c>
      <c r="K807" s="67" t="s">
        <v>565</v>
      </c>
      <c r="L807" s="67" t="s">
        <v>87</v>
      </c>
      <c r="M807" s="67" t="s">
        <v>87</v>
      </c>
      <c r="N807" s="70">
        <v>1</v>
      </c>
      <c r="O807" s="70">
        <v>1</v>
      </c>
      <c r="P807" s="70"/>
      <c r="Q807" s="98">
        <v>1</v>
      </c>
      <c r="R807" s="70">
        <v>1</v>
      </c>
      <c r="S807" s="70">
        <v>0</v>
      </c>
    </row>
    <row r="808" spans="1:19" s="56" customFormat="1">
      <c r="A808" s="67" t="s">
        <v>561</v>
      </c>
      <c r="B808" s="68" t="s">
        <v>476</v>
      </c>
      <c r="C808" s="67" t="s">
        <v>184</v>
      </c>
      <c r="D808" s="67" t="s">
        <v>138</v>
      </c>
      <c r="E808" s="67" t="s">
        <v>139</v>
      </c>
      <c r="F808" s="67" t="s">
        <v>187</v>
      </c>
      <c r="G808" s="69" t="s">
        <v>184</v>
      </c>
      <c r="H808" s="67">
        <v>0</v>
      </c>
      <c r="I808" s="67">
        <v>10</v>
      </c>
      <c r="J808" s="67" t="s">
        <v>200</v>
      </c>
      <c r="K808" s="67" t="s">
        <v>201</v>
      </c>
      <c r="L808" s="67" t="s">
        <v>3</v>
      </c>
      <c r="M808" s="67" t="s">
        <v>142</v>
      </c>
      <c r="N808" s="70">
        <v>1000</v>
      </c>
      <c r="O808" s="70">
        <v>26.5</v>
      </c>
      <c r="P808" s="70"/>
      <c r="Q808" s="98">
        <v>27100</v>
      </c>
      <c r="R808" s="70">
        <v>27</v>
      </c>
      <c r="S808" s="70">
        <v>100</v>
      </c>
    </row>
    <row r="809" spans="1:19" s="56" customFormat="1">
      <c r="A809" s="67" t="s">
        <v>566</v>
      </c>
      <c r="B809" s="68" t="s">
        <v>478</v>
      </c>
      <c r="C809" s="67" t="s">
        <v>184</v>
      </c>
      <c r="D809" s="67" t="s">
        <v>138</v>
      </c>
      <c r="E809" s="67" t="s">
        <v>139</v>
      </c>
      <c r="F809" s="67" t="s">
        <v>167</v>
      </c>
      <c r="G809" s="69" t="s">
        <v>184</v>
      </c>
      <c r="H809" s="67">
        <v>0</v>
      </c>
      <c r="I809" s="67">
        <v>1</v>
      </c>
      <c r="J809" s="67" t="s">
        <v>185</v>
      </c>
      <c r="K809" s="67" t="s">
        <v>92</v>
      </c>
      <c r="L809" s="67" t="s">
        <v>88</v>
      </c>
      <c r="M809" s="67" t="s">
        <v>88</v>
      </c>
      <c r="N809" s="70">
        <v>1</v>
      </c>
      <c r="O809" s="70">
        <v>12500</v>
      </c>
      <c r="P809" s="70"/>
      <c r="Q809" s="98">
        <v>4</v>
      </c>
      <c r="R809" s="70">
        <v>4</v>
      </c>
      <c r="S809" s="70">
        <v>0</v>
      </c>
    </row>
    <row r="810" spans="1:19" s="56" customFormat="1">
      <c r="A810" s="67" t="s">
        <v>566</v>
      </c>
      <c r="B810" s="68" t="s">
        <v>478</v>
      </c>
      <c r="C810" s="67" t="s">
        <v>184</v>
      </c>
      <c r="D810" s="67" t="s">
        <v>138</v>
      </c>
      <c r="E810" s="67" t="s">
        <v>139</v>
      </c>
      <c r="F810" s="67" t="s">
        <v>162</v>
      </c>
      <c r="G810" s="69" t="s">
        <v>184</v>
      </c>
      <c r="H810" s="67">
        <v>0</v>
      </c>
      <c r="I810" s="67">
        <v>2</v>
      </c>
      <c r="J810" s="67" t="s">
        <v>567</v>
      </c>
      <c r="K810" s="67" t="s">
        <v>568</v>
      </c>
      <c r="L810" s="67" t="s">
        <v>87</v>
      </c>
      <c r="M810" s="67" t="s">
        <v>87</v>
      </c>
      <c r="N810" s="70">
        <v>1</v>
      </c>
      <c r="O810" s="70">
        <v>1</v>
      </c>
      <c r="P810" s="70"/>
      <c r="Q810" s="98">
        <v>1</v>
      </c>
      <c r="R810" s="70">
        <v>1</v>
      </c>
      <c r="S810" s="70">
        <v>0</v>
      </c>
    </row>
    <row r="811" spans="1:19" s="56" customFormat="1">
      <c r="A811" s="67" t="s">
        <v>566</v>
      </c>
      <c r="B811" s="68" t="s">
        <v>478</v>
      </c>
      <c r="C811" s="67" t="s">
        <v>184</v>
      </c>
      <c r="D811" s="67" t="s">
        <v>138</v>
      </c>
      <c r="E811" s="67" t="s">
        <v>139</v>
      </c>
      <c r="F811" s="67" t="s">
        <v>162</v>
      </c>
      <c r="G811" s="69" t="s">
        <v>184</v>
      </c>
      <c r="H811" s="67">
        <v>0</v>
      </c>
      <c r="I811" s="67">
        <v>3</v>
      </c>
      <c r="J811" s="67" t="s">
        <v>569</v>
      </c>
      <c r="K811" s="67" t="s">
        <v>570</v>
      </c>
      <c r="L811" s="67" t="s">
        <v>87</v>
      </c>
      <c r="M811" s="67" t="s">
        <v>87</v>
      </c>
      <c r="N811" s="70">
        <v>1</v>
      </c>
      <c r="O811" s="70">
        <v>1</v>
      </c>
      <c r="P811" s="70"/>
      <c r="Q811" s="98">
        <v>1</v>
      </c>
      <c r="R811" s="70">
        <v>1</v>
      </c>
      <c r="S811" s="70">
        <v>0</v>
      </c>
    </row>
    <row r="812" spans="1:19" s="56" customFormat="1">
      <c r="A812" s="67" t="s">
        <v>566</v>
      </c>
      <c r="B812" s="68" t="s">
        <v>478</v>
      </c>
      <c r="C812" s="67" t="s">
        <v>184</v>
      </c>
      <c r="D812" s="67" t="s">
        <v>138</v>
      </c>
      <c r="E812" s="67" t="s">
        <v>139</v>
      </c>
      <c r="F812" s="67" t="s">
        <v>186</v>
      </c>
      <c r="G812" s="69" t="s">
        <v>184</v>
      </c>
      <c r="H812" s="67">
        <v>0</v>
      </c>
      <c r="I812" s="67">
        <v>4</v>
      </c>
      <c r="J812" s="67" t="s">
        <v>188</v>
      </c>
      <c r="K812" s="67" t="s">
        <v>89</v>
      </c>
      <c r="L812" s="67" t="s">
        <v>87</v>
      </c>
      <c r="M812" s="67" t="s">
        <v>87</v>
      </c>
      <c r="N812" s="70">
        <v>1</v>
      </c>
      <c r="O812" s="70">
        <v>1</v>
      </c>
      <c r="P812" s="70"/>
      <c r="Q812" s="98">
        <v>4</v>
      </c>
      <c r="R812" s="70">
        <v>4</v>
      </c>
      <c r="S812" s="70">
        <v>0</v>
      </c>
    </row>
    <row r="813" spans="1:19" s="56" customFormat="1">
      <c r="A813" s="67" t="s">
        <v>566</v>
      </c>
      <c r="B813" s="68" t="s">
        <v>478</v>
      </c>
      <c r="C813" s="67" t="s">
        <v>184</v>
      </c>
      <c r="D813" s="67" t="s">
        <v>138</v>
      </c>
      <c r="E813" s="67" t="s">
        <v>139</v>
      </c>
      <c r="F813" s="67" t="s">
        <v>166</v>
      </c>
      <c r="G813" s="69" t="s">
        <v>184</v>
      </c>
      <c r="H813" s="67">
        <v>0</v>
      </c>
      <c r="I813" s="67">
        <v>5</v>
      </c>
      <c r="J813" s="67" t="s">
        <v>274</v>
      </c>
      <c r="K813" s="67" t="s">
        <v>275</v>
      </c>
      <c r="L813" s="67" t="s">
        <v>87</v>
      </c>
      <c r="M813" s="67" t="s">
        <v>87</v>
      </c>
      <c r="N813" s="70">
        <v>1</v>
      </c>
      <c r="O813" s="70">
        <v>1</v>
      </c>
      <c r="P813" s="70"/>
      <c r="Q813" s="98">
        <v>3</v>
      </c>
      <c r="R813" s="70">
        <v>3</v>
      </c>
      <c r="S813" s="70">
        <v>0</v>
      </c>
    </row>
    <row r="814" spans="1:19" s="56" customFormat="1">
      <c r="A814" s="67" t="s">
        <v>566</v>
      </c>
      <c r="B814" s="68" t="s">
        <v>478</v>
      </c>
      <c r="C814" s="67" t="s">
        <v>184</v>
      </c>
      <c r="D814" s="67" t="s">
        <v>138</v>
      </c>
      <c r="E814" s="67" t="s">
        <v>139</v>
      </c>
      <c r="F814" s="67" t="s">
        <v>166</v>
      </c>
      <c r="G814" s="69" t="s">
        <v>184</v>
      </c>
      <c r="H814" s="67">
        <v>0</v>
      </c>
      <c r="I814" s="67">
        <v>6</v>
      </c>
      <c r="J814" s="67" t="s">
        <v>193</v>
      </c>
      <c r="K814" s="67" t="s">
        <v>101</v>
      </c>
      <c r="L814" s="67" t="s">
        <v>100</v>
      </c>
      <c r="M814" s="67" t="s">
        <v>100</v>
      </c>
      <c r="N814" s="70">
        <v>1</v>
      </c>
      <c r="O814" s="70">
        <v>33700</v>
      </c>
      <c r="P814" s="70"/>
      <c r="Q814" s="98">
        <v>88</v>
      </c>
      <c r="R814" s="70">
        <v>88</v>
      </c>
      <c r="S814" s="70">
        <v>0</v>
      </c>
    </row>
    <row r="815" spans="1:19" s="56" customFormat="1">
      <c r="A815" s="67" t="s">
        <v>566</v>
      </c>
      <c r="B815" s="68" t="s">
        <v>478</v>
      </c>
      <c r="C815" s="67" t="s">
        <v>184</v>
      </c>
      <c r="D815" s="67" t="s">
        <v>138</v>
      </c>
      <c r="E815" s="67" t="s">
        <v>139</v>
      </c>
      <c r="F815" s="67" t="s">
        <v>166</v>
      </c>
      <c r="G815" s="69" t="s">
        <v>184</v>
      </c>
      <c r="H815" s="67">
        <v>0</v>
      </c>
      <c r="I815" s="67">
        <v>7</v>
      </c>
      <c r="J815" s="67" t="s">
        <v>320</v>
      </c>
      <c r="K815" s="67" t="s">
        <v>321</v>
      </c>
      <c r="L815" s="67" t="s">
        <v>6</v>
      </c>
      <c r="M815" s="67" t="s">
        <v>6</v>
      </c>
      <c r="N815" s="70">
        <v>1</v>
      </c>
      <c r="O815" s="70">
        <v>800000</v>
      </c>
      <c r="P815" s="70"/>
      <c r="Q815" s="98">
        <v>1</v>
      </c>
      <c r="R815" s="70">
        <v>1</v>
      </c>
      <c r="S815" s="70">
        <v>0</v>
      </c>
    </row>
    <row r="816" spans="1:19" s="56" customFormat="1">
      <c r="A816" s="67" t="s">
        <v>566</v>
      </c>
      <c r="B816" s="68" t="s">
        <v>478</v>
      </c>
      <c r="C816" s="67" t="s">
        <v>184</v>
      </c>
      <c r="D816" s="67" t="s">
        <v>138</v>
      </c>
      <c r="E816" s="67" t="s">
        <v>139</v>
      </c>
      <c r="F816" s="67" t="s">
        <v>159</v>
      </c>
      <c r="G816" s="69" t="s">
        <v>184</v>
      </c>
      <c r="H816" s="67">
        <v>0</v>
      </c>
      <c r="I816" s="67">
        <v>8</v>
      </c>
      <c r="J816" s="67" t="s">
        <v>422</v>
      </c>
      <c r="K816" s="67" t="s">
        <v>423</v>
      </c>
      <c r="L816" s="67" t="s">
        <v>195</v>
      </c>
      <c r="M816" s="67" t="s">
        <v>195</v>
      </c>
      <c r="N816" s="70">
        <v>1</v>
      </c>
      <c r="O816" s="70">
        <v>1</v>
      </c>
      <c r="P816" s="70"/>
      <c r="Q816" s="98">
        <v>1</v>
      </c>
      <c r="R816" s="70">
        <v>1</v>
      </c>
      <c r="S816" s="70">
        <v>0</v>
      </c>
    </row>
    <row r="817" spans="1:19" s="56" customFormat="1">
      <c r="A817" s="67" t="s">
        <v>566</v>
      </c>
      <c r="B817" s="68" t="s">
        <v>478</v>
      </c>
      <c r="C817" s="67" t="s">
        <v>184</v>
      </c>
      <c r="D817" s="67" t="s">
        <v>138</v>
      </c>
      <c r="E817" s="67" t="s">
        <v>139</v>
      </c>
      <c r="F817" s="67" t="s">
        <v>186</v>
      </c>
      <c r="G817" s="69" t="s">
        <v>184</v>
      </c>
      <c r="H817" s="67">
        <v>0</v>
      </c>
      <c r="I817" s="67">
        <v>9</v>
      </c>
      <c r="J817" s="67" t="s">
        <v>571</v>
      </c>
      <c r="K817" s="67" t="s">
        <v>572</v>
      </c>
      <c r="L817" s="67" t="s">
        <v>87</v>
      </c>
      <c r="M817" s="67" t="s">
        <v>87</v>
      </c>
      <c r="N817" s="70">
        <v>1</v>
      </c>
      <c r="O817" s="70">
        <v>1</v>
      </c>
      <c r="P817" s="70"/>
      <c r="Q817" s="98">
        <v>2</v>
      </c>
      <c r="R817" s="70">
        <v>2</v>
      </c>
      <c r="S817" s="70">
        <v>0</v>
      </c>
    </row>
    <row r="818" spans="1:19" s="56" customFormat="1">
      <c r="A818" s="67" t="s">
        <v>566</v>
      </c>
      <c r="B818" s="68" t="s">
        <v>478</v>
      </c>
      <c r="C818" s="67" t="s">
        <v>184</v>
      </c>
      <c r="D818" s="67" t="s">
        <v>138</v>
      </c>
      <c r="E818" s="67" t="s">
        <v>139</v>
      </c>
      <c r="F818" s="67" t="s">
        <v>186</v>
      </c>
      <c r="G818" s="69" t="s">
        <v>184</v>
      </c>
      <c r="H818" s="67">
        <v>0</v>
      </c>
      <c r="I818" s="67">
        <v>10</v>
      </c>
      <c r="J818" s="67" t="s">
        <v>573</v>
      </c>
      <c r="K818" s="67" t="s">
        <v>574</v>
      </c>
      <c r="L818" s="67" t="s">
        <v>87</v>
      </c>
      <c r="M818" s="67" t="s">
        <v>87</v>
      </c>
      <c r="N818" s="70">
        <v>1</v>
      </c>
      <c r="O818" s="70">
        <v>1</v>
      </c>
      <c r="P818" s="70"/>
      <c r="Q818" s="98">
        <v>2</v>
      </c>
      <c r="R818" s="70">
        <v>2</v>
      </c>
      <c r="S818" s="70">
        <v>0</v>
      </c>
    </row>
    <row r="819" spans="1:19" s="56" customFormat="1">
      <c r="A819" s="67" t="s">
        <v>566</v>
      </c>
      <c r="B819" s="68" t="s">
        <v>478</v>
      </c>
      <c r="C819" s="67" t="s">
        <v>184</v>
      </c>
      <c r="D819" s="67" t="s">
        <v>138</v>
      </c>
      <c r="E819" s="67" t="s">
        <v>139</v>
      </c>
      <c r="F819" s="67" t="s">
        <v>186</v>
      </c>
      <c r="G819" s="69" t="s">
        <v>184</v>
      </c>
      <c r="H819" s="67">
        <v>0</v>
      </c>
      <c r="I819" s="67">
        <v>12</v>
      </c>
      <c r="J819" s="67" t="s">
        <v>191</v>
      </c>
      <c r="K819" s="67" t="s">
        <v>192</v>
      </c>
      <c r="L819" s="67" t="s">
        <v>87</v>
      </c>
      <c r="M819" s="67" t="s">
        <v>87</v>
      </c>
      <c r="N819" s="70">
        <v>1</v>
      </c>
      <c r="O819" s="70">
        <v>1</v>
      </c>
      <c r="P819" s="70"/>
      <c r="Q819" s="98">
        <v>1</v>
      </c>
      <c r="R819" s="70">
        <v>1</v>
      </c>
      <c r="S819" s="70">
        <v>0</v>
      </c>
    </row>
    <row r="820" spans="1:19" s="56" customFormat="1">
      <c r="A820" s="67" t="s">
        <v>566</v>
      </c>
      <c r="B820" s="68" t="s">
        <v>478</v>
      </c>
      <c r="C820" s="67" t="s">
        <v>184</v>
      </c>
      <c r="D820" s="67" t="s">
        <v>138</v>
      </c>
      <c r="E820" s="67" t="s">
        <v>139</v>
      </c>
      <c r="F820" s="67" t="s">
        <v>186</v>
      </c>
      <c r="G820" s="69" t="s">
        <v>184</v>
      </c>
      <c r="H820" s="67">
        <v>0</v>
      </c>
      <c r="I820" s="67">
        <v>13</v>
      </c>
      <c r="J820" s="67" t="s">
        <v>291</v>
      </c>
      <c r="K820" s="67" t="s">
        <v>292</v>
      </c>
      <c r="L820" s="67" t="s">
        <v>87</v>
      </c>
      <c r="M820" s="67" t="s">
        <v>87</v>
      </c>
      <c r="N820" s="70">
        <v>1</v>
      </c>
      <c r="O820" s="70">
        <v>1</v>
      </c>
      <c r="P820" s="70"/>
      <c r="Q820" s="98">
        <v>1</v>
      </c>
      <c r="R820" s="70">
        <v>1</v>
      </c>
      <c r="S820" s="70">
        <v>0</v>
      </c>
    </row>
    <row r="821" spans="1:19" s="56" customFormat="1">
      <c r="A821" s="67" t="s">
        <v>566</v>
      </c>
      <c r="B821" s="68" t="s">
        <v>478</v>
      </c>
      <c r="C821" s="67" t="s">
        <v>184</v>
      </c>
      <c r="D821" s="67" t="s">
        <v>138</v>
      </c>
      <c r="E821" s="67" t="s">
        <v>139</v>
      </c>
      <c r="F821" s="67" t="s">
        <v>167</v>
      </c>
      <c r="G821" s="69" t="s">
        <v>184</v>
      </c>
      <c r="H821" s="67">
        <v>0</v>
      </c>
      <c r="I821" s="67">
        <v>14</v>
      </c>
      <c r="J821" s="67" t="s">
        <v>440</v>
      </c>
      <c r="K821" s="67" t="s">
        <v>441</v>
      </c>
      <c r="L821" s="67" t="s">
        <v>88</v>
      </c>
      <c r="M821" s="67" t="s">
        <v>88</v>
      </c>
      <c r="N821" s="70">
        <v>1</v>
      </c>
      <c r="O821" s="70">
        <v>1</v>
      </c>
      <c r="P821" s="70"/>
      <c r="Q821" s="98">
        <v>4</v>
      </c>
      <c r="R821" s="70">
        <v>4</v>
      </c>
      <c r="S821" s="70">
        <v>0</v>
      </c>
    </row>
    <row r="822" spans="1:19" s="56" customFormat="1">
      <c r="A822" s="67" t="s">
        <v>575</v>
      </c>
      <c r="B822" s="68" t="s">
        <v>480</v>
      </c>
      <c r="C822" s="67" t="s">
        <v>184</v>
      </c>
      <c r="D822" s="67" t="s">
        <v>138</v>
      </c>
      <c r="E822" s="67" t="s">
        <v>139</v>
      </c>
      <c r="F822" s="67" t="s">
        <v>186</v>
      </c>
      <c r="G822" s="69" t="s">
        <v>184</v>
      </c>
      <c r="H822" s="67">
        <v>0</v>
      </c>
      <c r="I822" s="67">
        <v>1</v>
      </c>
      <c r="J822" s="67" t="s">
        <v>573</v>
      </c>
      <c r="K822" s="67" t="s">
        <v>574</v>
      </c>
      <c r="L822" s="67" t="s">
        <v>87</v>
      </c>
      <c r="M822" s="67" t="s">
        <v>87</v>
      </c>
      <c r="N822" s="70">
        <v>1</v>
      </c>
      <c r="O822" s="70">
        <v>1</v>
      </c>
      <c r="P822" s="70"/>
      <c r="Q822" s="98">
        <v>2</v>
      </c>
      <c r="R822" s="70">
        <v>2</v>
      </c>
      <c r="S822" s="70">
        <v>0</v>
      </c>
    </row>
    <row r="823" spans="1:19" s="56" customFormat="1">
      <c r="A823" s="67" t="s">
        <v>575</v>
      </c>
      <c r="B823" s="68" t="s">
        <v>480</v>
      </c>
      <c r="C823" s="67" t="s">
        <v>184</v>
      </c>
      <c r="D823" s="67" t="s">
        <v>138</v>
      </c>
      <c r="E823" s="67" t="s">
        <v>139</v>
      </c>
      <c r="F823" s="67" t="s">
        <v>186</v>
      </c>
      <c r="G823" s="69" t="s">
        <v>184</v>
      </c>
      <c r="H823" s="67">
        <v>0</v>
      </c>
      <c r="I823" s="67">
        <v>2</v>
      </c>
      <c r="J823" s="67" t="s">
        <v>322</v>
      </c>
      <c r="K823" s="67" t="s">
        <v>312</v>
      </c>
      <c r="L823" s="67" t="s">
        <v>87</v>
      </c>
      <c r="M823" s="67" t="s">
        <v>87</v>
      </c>
      <c r="N823" s="70">
        <v>1</v>
      </c>
      <c r="O823" s="70">
        <v>1</v>
      </c>
      <c r="P823" s="70"/>
      <c r="Q823" s="98">
        <v>4</v>
      </c>
      <c r="R823" s="70">
        <v>4</v>
      </c>
      <c r="S823" s="70">
        <v>0</v>
      </c>
    </row>
    <row r="824" spans="1:19" s="56" customFormat="1">
      <c r="A824" s="67" t="s">
        <v>575</v>
      </c>
      <c r="B824" s="68" t="s">
        <v>480</v>
      </c>
      <c r="C824" s="67" t="s">
        <v>184</v>
      </c>
      <c r="D824" s="67" t="s">
        <v>138</v>
      </c>
      <c r="E824" s="67" t="s">
        <v>139</v>
      </c>
      <c r="F824" s="67" t="s">
        <v>186</v>
      </c>
      <c r="G824" s="69" t="s">
        <v>184</v>
      </c>
      <c r="H824" s="67">
        <v>0</v>
      </c>
      <c r="I824" s="67">
        <v>3</v>
      </c>
      <c r="J824" s="67" t="s">
        <v>191</v>
      </c>
      <c r="K824" s="67" t="s">
        <v>192</v>
      </c>
      <c r="L824" s="67" t="s">
        <v>87</v>
      </c>
      <c r="M824" s="67" t="s">
        <v>87</v>
      </c>
      <c r="N824" s="70">
        <v>1</v>
      </c>
      <c r="O824" s="70">
        <v>1</v>
      </c>
      <c r="P824" s="70"/>
      <c r="Q824" s="98">
        <v>1</v>
      </c>
      <c r="R824" s="70">
        <v>1</v>
      </c>
      <c r="S824" s="70">
        <v>0</v>
      </c>
    </row>
    <row r="825" spans="1:19" s="56" customFormat="1">
      <c r="A825" s="67" t="s">
        <v>575</v>
      </c>
      <c r="B825" s="68" t="s">
        <v>480</v>
      </c>
      <c r="C825" s="67" t="s">
        <v>184</v>
      </c>
      <c r="D825" s="67" t="s">
        <v>138</v>
      </c>
      <c r="E825" s="67" t="s">
        <v>139</v>
      </c>
      <c r="F825" s="67" t="s">
        <v>186</v>
      </c>
      <c r="G825" s="69" t="s">
        <v>184</v>
      </c>
      <c r="H825" s="67">
        <v>0</v>
      </c>
      <c r="I825" s="67">
        <v>4</v>
      </c>
      <c r="J825" s="67" t="s">
        <v>273</v>
      </c>
      <c r="K825" s="67" t="s">
        <v>269</v>
      </c>
      <c r="L825" s="67" t="s">
        <v>95</v>
      </c>
      <c r="M825" s="67" t="s">
        <v>95</v>
      </c>
      <c r="N825" s="70">
        <v>1</v>
      </c>
      <c r="O825" s="70">
        <v>1</v>
      </c>
      <c r="P825" s="70"/>
      <c r="Q825" s="98">
        <v>2</v>
      </c>
      <c r="R825" s="70">
        <v>2</v>
      </c>
      <c r="S825" s="70">
        <v>0</v>
      </c>
    </row>
    <row r="826" spans="1:19" s="56" customFormat="1">
      <c r="A826" s="67" t="s">
        <v>575</v>
      </c>
      <c r="B826" s="68" t="s">
        <v>480</v>
      </c>
      <c r="C826" s="67" t="s">
        <v>184</v>
      </c>
      <c r="D826" s="67" t="s">
        <v>138</v>
      </c>
      <c r="E826" s="67" t="s">
        <v>139</v>
      </c>
      <c r="F826" s="67" t="s">
        <v>166</v>
      </c>
      <c r="G826" s="69" t="s">
        <v>184</v>
      </c>
      <c r="H826" s="67">
        <v>0</v>
      </c>
      <c r="I826" s="67">
        <v>5</v>
      </c>
      <c r="J826" s="67" t="s">
        <v>274</v>
      </c>
      <c r="K826" s="67" t="s">
        <v>275</v>
      </c>
      <c r="L826" s="67" t="s">
        <v>87</v>
      </c>
      <c r="M826" s="67" t="s">
        <v>87</v>
      </c>
      <c r="N826" s="70">
        <v>1</v>
      </c>
      <c r="O826" s="70">
        <v>1</v>
      </c>
      <c r="P826" s="70"/>
      <c r="Q826" s="98">
        <v>2</v>
      </c>
      <c r="R826" s="70">
        <v>2</v>
      </c>
      <c r="S826" s="70">
        <v>0</v>
      </c>
    </row>
    <row r="827" spans="1:19" s="56" customFormat="1">
      <c r="A827" s="67" t="s">
        <v>575</v>
      </c>
      <c r="B827" s="68" t="s">
        <v>480</v>
      </c>
      <c r="C827" s="67" t="s">
        <v>184</v>
      </c>
      <c r="D827" s="67" t="s">
        <v>138</v>
      </c>
      <c r="E827" s="67" t="s">
        <v>139</v>
      </c>
      <c r="F827" s="67" t="s">
        <v>166</v>
      </c>
      <c r="G827" s="69" t="s">
        <v>184</v>
      </c>
      <c r="H827" s="67">
        <v>0</v>
      </c>
      <c r="I827" s="67">
        <v>6</v>
      </c>
      <c r="J827" s="67" t="s">
        <v>325</v>
      </c>
      <c r="K827" s="67" t="s">
        <v>326</v>
      </c>
      <c r="L827" s="67" t="s">
        <v>293</v>
      </c>
      <c r="M827" s="67" t="s">
        <v>293</v>
      </c>
      <c r="N827" s="70">
        <v>1</v>
      </c>
      <c r="O827" s="70">
        <v>1</v>
      </c>
      <c r="P827" s="70"/>
      <c r="Q827" s="98">
        <v>2</v>
      </c>
      <c r="R827" s="70">
        <v>2</v>
      </c>
      <c r="S827" s="70">
        <v>0</v>
      </c>
    </row>
    <row r="828" spans="1:19" s="56" customFormat="1">
      <c r="A828" s="67" t="s">
        <v>575</v>
      </c>
      <c r="B828" s="68" t="s">
        <v>480</v>
      </c>
      <c r="C828" s="67" t="s">
        <v>184</v>
      </c>
      <c r="D828" s="67" t="s">
        <v>138</v>
      </c>
      <c r="E828" s="67" t="s">
        <v>139</v>
      </c>
      <c r="F828" s="67" t="s">
        <v>156</v>
      </c>
      <c r="G828" s="69" t="s">
        <v>184</v>
      </c>
      <c r="H828" s="67">
        <v>0</v>
      </c>
      <c r="I828" s="67">
        <v>7</v>
      </c>
      <c r="J828" s="67" t="s">
        <v>347</v>
      </c>
      <c r="K828" s="67" t="s">
        <v>348</v>
      </c>
      <c r="L828" s="67" t="s">
        <v>87</v>
      </c>
      <c r="M828" s="67" t="s">
        <v>87</v>
      </c>
      <c r="N828" s="70">
        <v>1</v>
      </c>
      <c r="O828" s="70">
        <v>1</v>
      </c>
      <c r="P828" s="70"/>
      <c r="Q828" s="98">
        <v>1</v>
      </c>
      <c r="R828" s="70">
        <v>1</v>
      </c>
      <c r="S828" s="70">
        <v>0</v>
      </c>
    </row>
    <row r="829" spans="1:19" s="56" customFormat="1">
      <c r="A829" s="67" t="s">
        <v>575</v>
      </c>
      <c r="B829" s="68" t="s">
        <v>480</v>
      </c>
      <c r="C829" s="67" t="s">
        <v>184</v>
      </c>
      <c r="D829" s="67" t="s">
        <v>138</v>
      </c>
      <c r="E829" s="67" t="s">
        <v>139</v>
      </c>
      <c r="F829" s="67" t="s">
        <v>156</v>
      </c>
      <c r="G829" s="69" t="s">
        <v>184</v>
      </c>
      <c r="H829" s="67">
        <v>0</v>
      </c>
      <c r="I829" s="67">
        <v>8</v>
      </c>
      <c r="J829" s="67" t="s">
        <v>351</v>
      </c>
      <c r="K829" s="67" t="s">
        <v>352</v>
      </c>
      <c r="L829" s="67" t="s">
        <v>87</v>
      </c>
      <c r="M829" s="67" t="s">
        <v>87</v>
      </c>
      <c r="N829" s="70">
        <v>1</v>
      </c>
      <c r="O829" s="70">
        <v>1</v>
      </c>
      <c r="P829" s="70"/>
      <c r="Q829" s="98">
        <v>1</v>
      </c>
      <c r="R829" s="70">
        <v>1</v>
      </c>
      <c r="S829" s="70">
        <v>0</v>
      </c>
    </row>
    <row r="830" spans="1:19" s="56" customFormat="1">
      <c r="A830" s="67" t="s">
        <v>575</v>
      </c>
      <c r="B830" s="68" t="s">
        <v>480</v>
      </c>
      <c r="C830" s="67" t="s">
        <v>184</v>
      </c>
      <c r="D830" s="67" t="s">
        <v>138</v>
      </c>
      <c r="E830" s="67" t="s">
        <v>139</v>
      </c>
      <c r="F830" s="67" t="s">
        <v>186</v>
      </c>
      <c r="G830" s="69" t="s">
        <v>184</v>
      </c>
      <c r="H830" s="67">
        <v>0</v>
      </c>
      <c r="I830" s="67">
        <v>9</v>
      </c>
      <c r="J830" s="67" t="s">
        <v>576</v>
      </c>
      <c r="K830" s="67" t="s">
        <v>577</v>
      </c>
      <c r="L830" s="67" t="s">
        <v>93</v>
      </c>
      <c r="M830" s="67" t="s">
        <v>93</v>
      </c>
      <c r="N830" s="70">
        <v>1</v>
      </c>
      <c r="O830" s="70">
        <v>85000</v>
      </c>
      <c r="P830" s="70"/>
      <c r="Q830" s="98">
        <v>20</v>
      </c>
      <c r="R830" s="70">
        <v>20</v>
      </c>
      <c r="S830" s="70">
        <v>0</v>
      </c>
    </row>
    <row r="831" spans="1:19" s="56" customFormat="1">
      <c r="A831" s="67" t="s">
        <v>575</v>
      </c>
      <c r="B831" s="68" t="s">
        <v>480</v>
      </c>
      <c r="C831" s="67" t="s">
        <v>184</v>
      </c>
      <c r="D831" s="67" t="s">
        <v>138</v>
      </c>
      <c r="E831" s="67" t="s">
        <v>139</v>
      </c>
      <c r="F831" s="67" t="s">
        <v>187</v>
      </c>
      <c r="G831" s="69" t="s">
        <v>184</v>
      </c>
      <c r="H831" s="67">
        <v>0</v>
      </c>
      <c r="I831" s="67">
        <v>11</v>
      </c>
      <c r="J831" s="67" t="s">
        <v>200</v>
      </c>
      <c r="K831" s="67" t="s">
        <v>201</v>
      </c>
      <c r="L831" s="67" t="s">
        <v>3</v>
      </c>
      <c r="M831" s="67" t="s">
        <v>142</v>
      </c>
      <c r="N831" s="70">
        <v>1000</v>
      </c>
      <c r="O831" s="70">
        <v>26.5</v>
      </c>
      <c r="P831" s="70"/>
      <c r="Q831" s="98">
        <v>28550</v>
      </c>
      <c r="R831" s="70">
        <v>28</v>
      </c>
      <c r="S831" s="70">
        <v>550</v>
      </c>
    </row>
    <row r="832" spans="1:19" s="56" customFormat="1">
      <c r="A832" s="67" t="s">
        <v>575</v>
      </c>
      <c r="B832" s="68" t="s">
        <v>480</v>
      </c>
      <c r="C832" s="67" t="s">
        <v>184</v>
      </c>
      <c r="D832" s="67" t="s">
        <v>138</v>
      </c>
      <c r="E832" s="67" t="s">
        <v>139</v>
      </c>
      <c r="F832" s="67" t="s">
        <v>202</v>
      </c>
      <c r="G832" s="69" t="s">
        <v>184</v>
      </c>
      <c r="H832" s="67">
        <v>0</v>
      </c>
      <c r="I832" s="67">
        <v>15</v>
      </c>
      <c r="J832" s="67" t="s">
        <v>578</v>
      </c>
      <c r="K832" s="67" t="s">
        <v>579</v>
      </c>
      <c r="L832" s="67" t="s">
        <v>580</v>
      </c>
      <c r="M832" s="67" t="s">
        <v>580</v>
      </c>
      <c r="N832" s="70">
        <v>1</v>
      </c>
      <c r="O832" s="70">
        <v>1</v>
      </c>
      <c r="P832" s="70"/>
      <c r="Q832" s="98">
        <v>2</v>
      </c>
      <c r="R832" s="70">
        <v>2</v>
      </c>
      <c r="S832" s="70">
        <v>0</v>
      </c>
    </row>
    <row r="833" spans="1:19" s="56" customFormat="1">
      <c r="A833" s="67" t="s">
        <v>575</v>
      </c>
      <c r="B833" s="68" t="s">
        <v>480</v>
      </c>
      <c r="C833" s="67" t="s">
        <v>184</v>
      </c>
      <c r="D833" s="67" t="s">
        <v>138</v>
      </c>
      <c r="E833" s="67" t="s">
        <v>139</v>
      </c>
      <c r="F833" s="67" t="s">
        <v>202</v>
      </c>
      <c r="G833" s="69" t="s">
        <v>184</v>
      </c>
      <c r="H833" s="67">
        <v>0</v>
      </c>
      <c r="I833" s="67">
        <v>17</v>
      </c>
      <c r="J833" s="67" t="s">
        <v>581</v>
      </c>
      <c r="K833" s="67" t="s">
        <v>582</v>
      </c>
      <c r="L833" s="67" t="s">
        <v>583</v>
      </c>
      <c r="M833" s="67" t="s">
        <v>583</v>
      </c>
      <c r="N833" s="70">
        <v>1</v>
      </c>
      <c r="O833" s="70">
        <v>1</v>
      </c>
      <c r="P833" s="70"/>
      <c r="Q833" s="98">
        <v>4</v>
      </c>
      <c r="R833" s="70">
        <v>4</v>
      </c>
      <c r="S833" s="70">
        <v>0</v>
      </c>
    </row>
    <row r="834" spans="1:19" s="56" customFormat="1">
      <c r="A834" s="67" t="s">
        <v>575</v>
      </c>
      <c r="B834" s="68" t="s">
        <v>480</v>
      </c>
      <c r="C834" s="67" t="s">
        <v>184</v>
      </c>
      <c r="D834" s="67" t="s">
        <v>138</v>
      </c>
      <c r="E834" s="67" t="s">
        <v>139</v>
      </c>
      <c r="F834" s="67" t="s">
        <v>186</v>
      </c>
      <c r="G834" s="69" t="s">
        <v>184</v>
      </c>
      <c r="H834" s="67">
        <v>0</v>
      </c>
      <c r="I834" s="67">
        <v>18</v>
      </c>
      <c r="J834" s="67" t="s">
        <v>553</v>
      </c>
      <c r="K834" s="67" t="s">
        <v>554</v>
      </c>
      <c r="L834" s="67" t="s">
        <v>293</v>
      </c>
      <c r="M834" s="67" t="s">
        <v>293</v>
      </c>
      <c r="N834" s="70">
        <v>1</v>
      </c>
      <c r="O834" s="70">
        <v>1</v>
      </c>
      <c r="P834" s="70"/>
      <c r="Q834" s="98">
        <v>2</v>
      </c>
      <c r="R834" s="70">
        <v>2</v>
      </c>
      <c r="S834" s="70">
        <v>0</v>
      </c>
    </row>
    <row r="835" spans="1:19" s="56" customFormat="1">
      <c r="A835" s="67" t="s">
        <v>584</v>
      </c>
      <c r="B835" s="68" t="s">
        <v>482</v>
      </c>
      <c r="C835" s="67" t="s">
        <v>184</v>
      </c>
      <c r="D835" s="67" t="s">
        <v>138</v>
      </c>
      <c r="E835" s="67" t="s">
        <v>139</v>
      </c>
      <c r="F835" s="67" t="s">
        <v>162</v>
      </c>
      <c r="G835" s="69" t="s">
        <v>184</v>
      </c>
      <c r="H835" s="67">
        <v>0</v>
      </c>
      <c r="I835" s="67">
        <v>1</v>
      </c>
      <c r="J835" s="67" t="s">
        <v>418</v>
      </c>
      <c r="K835" s="67" t="s">
        <v>419</v>
      </c>
      <c r="L835" s="67" t="s">
        <v>87</v>
      </c>
      <c r="M835" s="67" t="s">
        <v>87</v>
      </c>
      <c r="N835" s="70">
        <v>1</v>
      </c>
      <c r="O835" s="70">
        <v>1</v>
      </c>
      <c r="P835" s="70"/>
      <c r="Q835" s="98">
        <v>1</v>
      </c>
      <c r="R835" s="70">
        <v>1</v>
      </c>
      <c r="S835" s="70">
        <v>0</v>
      </c>
    </row>
    <row r="836" spans="1:19" s="56" customFormat="1">
      <c r="A836" s="67" t="s">
        <v>584</v>
      </c>
      <c r="B836" s="68" t="s">
        <v>482</v>
      </c>
      <c r="C836" s="67" t="s">
        <v>184</v>
      </c>
      <c r="D836" s="67" t="s">
        <v>138</v>
      </c>
      <c r="E836" s="67" t="s">
        <v>139</v>
      </c>
      <c r="F836" s="67" t="s">
        <v>166</v>
      </c>
      <c r="G836" s="69" t="s">
        <v>184</v>
      </c>
      <c r="H836" s="67">
        <v>0</v>
      </c>
      <c r="I836" s="67">
        <v>2</v>
      </c>
      <c r="J836" s="67" t="s">
        <v>193</v>
      </c>
      <c r="K836" s="67" t="s">
        <v>101</v>
      </c>
      <c r="L836" s="67" t="s">
        <v>100</v>
      </c>
      <c r="M836" s="67" t="s">
        <v>100</v>
      </c>
      <c r="N836" s="70">
        <v>1</v>
      </c>
      <c r="O836" s="70">
        <v>33700</v>
      </c>
      <c r="P836" s="70"/>
      <c r="Q836" s="98">
        <v>72</v>
      </c>
      <c r="R836" s="70">
        <v>72</v>
      </c>
      <c r="S836" s="70">
        <v>0</v>
      </c>
    </row>
    <row r="837" spans="1:19" s="56" customFormat="1">
      <c r="A837" s="67" t="s">
        <v>584</v>
      </c>
      <c r="B837" s="68" t="s">
        <v>482</v>
      </c>
      <c r="C837" s="67" t="s">
        <v>184</v>
      </c>
      <c r="D837" s="67" t="s">
        <v>138</v>
      </c>
      <c r="E837" s="67" t="s">
        <v>139</v>
      </c>
      <c r="F837" s="67" t="s">
        <v>166</v>
      </c>
      <c r="G837" s="69" t="s">
        <v>184</v>
      </c>
      <c r="H837" s="67">
        <v>0</v>
      </c>
      <c r="I837" s="67">
        <v>3</v>
      </c>
      <c r="J837" s="67" t="s">
        <v>194</v>
      </c>
      <c r="K837" s="67" t="s">
        <v>99</v>
      </c>
      <c r="L837" s="67" t="s">
        <v>100</v>
      </c>
      <c r="M837" s="67" t="s">
        <v>100</v>
      </c>
      <c r="N837" s="70">
        <v>1</v>
      </c>
      <c r="O837" s="70">
        <v>23700</v>
      </c>
      <c r="P837" s="70"/>
      <c r="Q837" s="98">
        <v>70</v>
      </c>
      <c r="R837" s="70">
        <v>70</v>
      </c>
      <c r="S837" s="70">
        <v>0</v>
      </c>
    </row>
    <row r="838" spans="1:19" s="56" customFormat="1">
      <c r="A838" s="67" t="s">
        <v>584</v>
      </c>
      <c r="B838" s="68" t="s">
        <v>482</v>
      </c>
      <c r="C838" s="67" t="s">
        <v>184</v>
      </c>
      <c r="D838" s="67" t="s">
        <v>138</v>
      </c>
      <c r="E838" s="67" t="s">
        <v>139</v>
      </c>
      <c r="F838" s="67" t="s">
        <v>166</v>
      </c>
      <c r="G838" s="69" t="s">
        <v>184</v>
      </c>
      <c r="H838" s="67">
        <v>0</v>
      </c>
      <c r="I838" s="67">
        <v>4</v>
      </c>
      <c r="J838" s="67" t="s">
        <v>411</v>
      </c>
      <c r="K838" s="67" t="s">
        <v>182</v>
      </c>
      <c r="L838" s="67" t="s">
        <v>3</v>
      </c>
      <c r="M838" s="67" t="s">
        <v>142</v>
      </c>
      <c r="N838" s="70">
        <v>1000</v>
      </c>
      <c r="O838" s="70">
        <v>1E-3</v>
      </c>
      <c r="P838" s="70"/>
      <c r="Q838" s="98">
        <v>1000</v>
      </c>
      <c r="R838" s="70">
        <v>1</v>
      </c>
      <c r="S838" s="70">
        <v>0</v>
      </c>
    </row>
    <row r="839" spans="1:19" s="56" customFormat="1">
      <c r="A839" s="67" t="s">
        <v>584</v>
      </c>
      <c r="B839" s="68" t="s">
        <v>482</v>
      </c>
      <c r="C839" s="67" t="s">
        <v>184</v>
      </c>
      <c r="D839" s="67" t="s">
        <v>138</v>
      </c>
      <c r="E839" s="67" t="s">
        <v>139</v>
      </c>
      <c r="F839" s="67" t="s">
        <v>186</v>
      </c>
      <c r="G839" s="69" t="s">
        <v>184</v>
      </c>
      <c r="H839" s="67">
        <v>0</v>
      </c>
      <c r="I839" s="67">
        <v>5</v>
      </c>
      <c r="J839" s="67" t="s">
        <v>557</v>
      </c>
      <c r="K839" s="67" t="s">
        <v>558</v>
      </c>
      <c r="L839" s="67" t="s">
        <v>87</v>
      </c>
      <c r="M839" s="67" t="s">
        <v>87</v>
      </c>
      <c r="N839" s="70">
        <v>1</v>
      </c>
      <c r="O839" s="70">
        <v>1</v>
      </c>
      <c r="P839" s="70"/>
      <c r="Q839" s="98">
        <v>2</v>
      </c>
      <c r="R839" s="70">
        <v>2</v>
      </c>
      <c r="S839" s="70">
        <v>0</v>
      </c>
    </row>
    <row r="840" spans="1:19" s="56" customFormat="1">
      <c r="A840" s="67" t="s">
        <v>584</v>
      </c>
      <c r="B840" s="68" t="s">
        <v>482</v>
      </c>
      <c r="C840" s="67" t="s">
        <v>184</v>
      </c>
      <c r="D840" s="67" t="s">
        <v>138</v>
      </c>
      <c r="E840" s="67" t="s">
        <v>139</v>
      </c>
      <c r="F840" s="67" t="s">
        <v>186</v>
      </c>
      <c r="G840" s="69" t="s">
        <v>184</v>
      </c>
      <c r="H840" s="67">
        <v>0</v>
      </c>
      <c r="I840" s="67">
        <v>7</v>
      </c>
      <c r="J840" s="67" t="s">
        <v>585</v>
      </c>
      <c r="K840" s="67" t="s">
        <v>586</v>
      </c>
      <c r="L840" s="67" t="s">
        <v>87</v>
      </c>
      <c r="M840" s="67" t="s">
        <v>87</v>
      </c>
      <c r="N840" s="70">
        <v>1</v>
      </c>
      <c r="O840" s="70">
        <v>1</v>
      </c>
      <c r="P840" s="70"/>
      <c r="Q840" s="98">
        <v>2</v>
      </c>
      <c r="R840" s="70">
        <v>2</v>
      </c>
      <c r="S840" s="70">
        <v>0</v>
      </c>
    </row>
    <row r="841" spans="1:19" s="56" customFormat="1">
      <c r="A841" s="67" t="s">
        <v>584</v>
      </c>
      <c r="B841" s="68" t="s">
        <v>482</v>
      </c>
      <c r="C841" s="67" t="s">
        <v>184</v>
      </c>
      <c r="D841" s="67" t="s">
        <v>138</v>
      </c>
      <c r="E841" s="67" t="s">
        <v>139</v>
      </c>
      <c r="F841" s="67" t="s">
        <v>186</v>
      </c>
      <c r="G841" s="69" t="s">
        <v>184</v>
      </c>
      <c r="H841" s="67">
        <v>0</v>
      </c>
      <c r="I841" s="67">
        <v>8</v>
      </c>
      <c r="J841" s="67" t="s">
        <v>571</v>
      </c>
      <c r="K841" s="67" t="s">
        <v>572</v>
      </c>
      <c r="L841" s="67" t="s">
        <v>87</v>
      </c>
      <c r="M841" s="67" t="s">
        <v>87</v>
      </c>
      <c r="N841" s="70">
        <v>1</v>
      </c>
      <c r="O841" s="70">
        <v>1</v>
      </c>
      <c r="P841" s="70"/>
      <c r="Q841" s="98">
        <v>1</v>
      </c>
      <c r="R841" s="70">
        <v>1</v>
      </c>
      <c r="S841" s="70">
        <v>0</v>
      </c>
    </row>
    <row r="842" spans="1:19" s="56" customFormat="1">
      <c r="A842" s="67" t="s">
        <v>584</v>
      </c>
      <c r="B842" s="68" t="s">
        <v>482</v>
      </c>
      <c r="C842" s="67" t="s">
        <v>184</v>
      </c>
      <c r="D842" s="67" t="s">
        <v>138</v>
      </c>
      <c r="E842" s="67" t="s">
        <v>139</v>
      </c>
      <c r="F842" s="67" t="s">
        <v>159</v>
      </c>
      <c r="G842" s="69" t="s">
        <v>184</v>
      </c>
      <c r="H842" s="67">
        <v>0</v>
      </c>
      <c r="I842" s="67">
        <v>9</v>
      </c>
      <c r="J842" s="67" t="s">
        <v>189</v>
      </c>
      <c r="K842" s="67" t="s">
        <v>190</v>
      </c>
      <c r="L842" s="67" t="s">
        <v>91</v>
      </c>
      <c r="M842" s="67" t="s">
        <v>91</v>
      </c>
      <c r="N842" s="70">
        <v>1</v>
      </c>
      <c r="O842" s="70">
        <v>1</v>
      </c>
      <c r="P842" s="70"/>
      <c r="Q842" s="98">
        <v>1</v>
      </c>
      <c r="R842" s="70">
        <v>1</v>
      </c>
      <c r="S842" s="70">
        <v>0</v>
      </c>
    </row>
    <row r="843" spans="1:19" s="56" customFormat="1">
      <c r="A843" s="67" t="s">
        <v>584</v>
      </c>
      <c r="B843" s="68" t="s">
        <v>482</v>
      </c>
      <c r="C843" s="67" t="s">
        <v>184</v>
      </c>
      <c r="D843" s="67" t="s">
        <v>138</v>
      </c>
      <c r="E843" s="67" t="s">
        <v>139</v>
      </c>
      <c r="F843" s="67" t="s">
        <v>166</v>
      </c>
      <c r="G843" s="69" t="s">
        <v>184</v>
      </c>
      <c r="H843" s="67">
        <v>0</v>
      </c>
      <c r="I843" s="67">
        <v>10</v>
      </c>
      <c r="J843" s="67" t="s">
        <v>253</v>
      </c>
      <c r="K843" s="67" t="s">
        <v>254</v>
      </c>
      <c r="L843" s="67" t="s">
        <v>195</v>
      </c>
      <c r="M843" s="67" t="s">
        <v>195</v>
      </c>
      <c r="N843" s="70">
        <v>1</v>
      </c>
      <c r="O843" s="70">
        <v>1</v>
      </c>
      <c r="P843" s="70"/>
      <c r="Q843" s="98">
        <v>3</v>
      </c>
      <c r="R843" s="70">
        <v>3</v>
      </c>
      <c r="S843" s="70">
        <v>0</v>
      </c>
    </row>
    <row r="844" spans="1:19" s="56" customFormat="1">
      <c r="A844" s="67" t="s">
        <v>584</v>
      </c>
      <c r="B844" s="68" t="s">
        <v>482</v>
      </c>
      <c r="C844" s="67" t="s">
        <v>184</v>
      </c>
      <c r="D844" s="67" t="s">
        <v>138</v>
      </c>
      <c r="E844" s="67" t="s">
        <v>139</v>
      </c>
      <c r="F844" s="67" t="s">
        <v>159</v>
      </c>
      <c r="G844" s="69" t="s">
        <v>184</v>
      </c>
      <c r="H844" s="67">
        <v>0</v>
      </c>
      <c r="I844" s="67">
        <v>11</v>
      </c>
      <c r="J844" s="67" t="s">
        <v>365</v>
      </c>
      <c r="K844" s="67" t="s">
        <v>366</v>
      </c>
      <c r="L844" s="67" t="s">
        <v>88</v>
      </c>
      <c r="M844" s="67" t="s">
        <v>88</v>
      </c>
      <c r="N844" s="70">
        <v>1</v>
      </c>
      <c r="O844" s="70">
        <v>1</v>
      </c>
      <c r="P844" s="70"/>
      <c r="Q844" s="98">
        <v>1</v>
      </c>
      <c r="R844" s="70">
        <v>1</v>
      </c>
      <c r="S844" s="70">
        <v>0</v>
      </c>
    </row>
    <row r="845" spans="1:19" s="56" customFormat="1">
      <c r="A845" s="67" t="s">
        <v>584</v>
      </c>
      <c r="B845" s="68" t="s">
        <v>482</v>
      </c>
      <c r="C845" s="67" t="s">
        <v>184</v>
      </c>
      <c r="D845" s="67" t="s">
        <v>138</v>
      </c>
      <c r="E845" s="67" t="s">
        <v>139</v>
      </c>
      <c r="F845" s="67" t="s">
        <v>186</v>
      </c>
      <c r="G845" s="69" t="s">
        <v>184</v>
      </c>
      <c r="H845" s="67">
        <v>0</v>
      </c>
      <c r="I845" s="67">
        <v>12</v>
      </c>
      <c r="J845" s="67" t="s">
        <v>188</v>
      </c>
      <c r="K845" s="67" t="s">
        <v>89</v>
      </c>
      <c r="L845" s="67" t="s">
        <v>87</v>
      </c>
      <c r="M845" s="67" t="s">
        <v>87</v>
      </c>
      <c r="N845" s="70">
        <v>1</v>
      </c>
      <c r="O845" s="70">
        <v>1</v>
      </c>
      <c r="P845" s="70"/>
      <c r="Q845" s="98">
        <v>8</v>
      </c>
      <c r="R845" s="70">
        <v>8</v>
      </c>
      <c r="S845" s="70">
        <v>0</v>
      </c>
    </row>
    <row r="846" spans="1:19" s="56" customFormat="1">
      <c r="A846" s="67" t="s">
        <v>584</v>
      </c>
      <c r="B846" s="68" t="s">
        <v>482</v>
      </c>
      <c r="C846" s="67" t="s">
        <v>184</v>
      </c>
      <c r="D846" s="67" t="s">
        <v>138</v>
      </c>
      <c r="E846" s="67" t="s">
        <v>139</v>
      </c>
      <c r="F846" s="67" t="s">
        <v>187</v>
      </c>
      <c r="G846" s="69" t="s">
        <v>184</v>
      </c>
      <c r="H846" s="67">
        <v>0</v>
      </c>
      <c r="I846" s="67">
        <v>13</v>
      </c>
      <c r="J846" s="67" t="s">
        <v>440</v>
      </c>
      <c r="K846" s="67" t="s">
        <v>441</v>
      </c>
      <c r="L846" s="67" t="s">
        <v>88</v>
      </c>
      <c r="M846" s="67" t="s">
        <v>88</v>
      </c>
      <c r="N846" s="70">
        <v>1</v>
      </c>
      <c r="O846" s="70">
        <v>1</v>
      </c>
      <c r="P846" s="70"/>
      <c r="Q846" s="98">
        <v>10</v>
      </c>
      <c r="R846" s="70">
        <v>10</v>
      </c>
      <c r="S846" s="70">
        <v>0</v>
      </c>
    </row>
    <row r="847" spans="1:19" s="56" customFormat="1">
      <c r="A847" s="67" t="s">
        <v>587</v>
      </c>
      <c r="B847" s="68" t="s">
        <v>484</v>
      </c>
      <c r="C847" s="67" t="s">
        <v>184</v>
      </c>
      <c r="D847" s="67" t="s">
        <v>138</v>
      </c>
      <c r="E847" s="67" t="s">
        <v>139</v>
      </c>
      <c r="F847" s="67" t="s">
        <v>186</v>
      </c>
      <c r="G847" s="69" t="s">
        <v>184</v>
      </c>
      <c r="H847" s="67">
        <v>0</v>
      </c>
      <c r="I847" s="67">
        <v>1</v>
      </c>
      <c r="J847" s="67" t="s">
        <v>588</v>
      </c>
      <c r="K847" s="67" t="s">
        <v>589</v>
      </c>
      <c r="L847" s="67" t="s">
        <v>87</v>
      </c>
      <c r="M847" s="67" t="s">
        <v>87</v>
      </c>
      <c r="N847" s="70">
        <v>1</v>
      </c>
      <c r="O847" s="70">
        <v>1</v>
      </c>
      <c r="P847" s="70"/>
      <c r="Q847" s="98">
        <v>2</v>
      </c>
      <c r="R847" s="70">
        <v>2</v>
      </c>
      <c r="S847" s="70">
        <v>0</v>
      </c>
    </row>
    <row r="848" spans="1:19" s="56" customFormat="1">
      <c r="A848" s="67" t="s">
        <v>587</v>
      </c>
      <c r="B848" s="68" t="s">
        <v>484</v>
      </c>
      <c r="C848" s="67" t="s">
        <v>184</v>
      </c>
      <c r="D848" s="67" t="s">
        <v>138</v>
      </c>
      <c r="E848" s="67" t="s">
        <v>139</v>
      </c>
      <c r="F848" s="67" t="s">
        <v>186</v>
      </c>
      <c r="G848" s="69" t="s">
        <v>184</v>
      </c>
      <c r="H848" s="67">
        <v>0</v>
      </c>
      <c r="I848" s="67">
        <v>2</v>
      </c>
      <c r="J848" s="67" t="s">
        <v>590</v>
      </c>
      <c r="K848" s="67" t="s">
        <v>591</v>
      </c>
      <c r="L848" s="67" t="s">
        <v>87</v>
      </c>
      <c r="M848" s="67" t="s">
        <v>87</v>
      </c>
      <c r="N848" s="70">
        <v>1</v>
      </c>
      <c r="O848" s="70">
        <v>1</v>
      </c>
      <c r="P848" s="70"/>
      <c r="Q848" s="98">
        <v>2</v>
      </c>
      <c r="R848" s="70">
        <v>2</v>
      </c>
      <c r="S848" s="70">
        <v>0</v>
      </c>
    </row>
    <row r="849" spans="1:19" s="56" customFormat="1">
      <c r="A849" s="67" t="s">
        <v>587</v>
      </c>
      <c r="B849" s="68" t="s">
        <v>484</v>
      </c>
      <c r="C849" s="67" t="s">
        <v>184</v>
      </c>
      <c r="D849" s="67" t="s">
        <v>138</v>
      </c>
      <c r="E849" s="67" t="s">
        <v>139</v>
      </c>
      <c r="F849" s="67" t="s">
        <v>156</v>
      </c>
      <c r="G849" s="69" t="s">
        <v>184</v>
      </c>
      <c r="H849" s="67">
        <v>0</v>
      </c>
      <c r="I849" s="67">
        <v>3</v>
      </c>
      <c r="J849" s="67" t="s">
        <v>196</v>
      </c>
      <c r="K849" s="67" t="s">
        <v>197</v>
      </c>
      <c r="L849" s="67" t="s">
        <v>87</v>
      </c>
      <c r="M849" s="67" t="s">
        <v>87</v>
      </c>
      <c r="N849" s="70">
        <v>1</v>
      </c>
      <c r="O849" s="70">
        <v>1</v>
      </c>
      <c r="P849" s="70"/>
      <c r="Q849" s="98">
        <v>2</v>
      </c>
      <c r="R849" s="70">
        <v>2</v>
      </c>
      <c r="S849" s="70">
        <v>0</v>
      </c>
    </row>
    <row r="850" spans="1:19" s="56" customFormat="1">
      <c r="A850" s="67" t="s">
        <v>587</v>
      </c>
      <c r="B850" s="68" t="s">
        <v>484</v>
      </c>
      <c r="C850" s="67" t="s">
        <v>184</v>
      </c>
      <c r="D850" s="67" t="s">
        <v>138</v>
      </c>
      <c r="E850" s="67" t="s">
        <v>139</v>
      </c>
      <c r="F850" s="67" t="s">
        <v>186</v>
      </c>
      <c r="G850" s="69" t="s">
        <v>184</v>
      </c>
      <c r="H850" s="67">
        <v>0</v>
      </c>
      <c r="I850" s="67">
        <v>4</v>
      </c>
      <c r="J850" s="67" t="s">
        <v>188</v>
      </c>
      <c r="K850" s="67" t="s">
        <v>89</v>
      </c>
      <c r="L850" s="67" t="s">
        <v>87</v>
      </c>
      <c r="M850" s="67" t="s">
        <v>87</v>
      </c>
      <c r="N850" s="70">
        <v>1</v>
      </c>
      <c r="O850" s="70">
        <v>1</v>
      </c>
      <c r="P850" s="70"/>
      <c r="Q850" s="98">
        <v>3</v>
      </c>
      <c r="R850" s="70">
        <v>3</v>
      </c>
      <c r="S850" s="70">
        <v>0</v>
      </c>
    </row>
    <row r="851" spans="1:19" s="56" customFormat="1">
      <c r="A851" s="67" t="s">
        <v>587</v>
      </c>
      <c r="B851" s="68" t="s">
        <v>484</v>
      </c>
      <c r="C851" s="67" t="s">
        <v>184</v>
      </c>
      <c r="D851" s="67" t="s">
        <v>138</v>
      </c>
      <c r="E851" s="67" t="s">
        <v>139</v>
      </c>
      <c r="F851" s="67" t="s">
        <v>186</v>
      </c>
      <c r="G851" s="69" t="s">
        <v>184</v>
      </c>
      <c r="H851" s="67">
        <v>0</v>
      </c>
      <c r="I851" s="67">
        <v>5</v>
      </c>
      <c r="J851" s="67" t="s">
        <v>403</v>
      </c>
      <c r="K851" s="67" t="s">
        <v>404</v>
      </c>
      <c r="L851" s="67" t="s">
        <v>88</v>
      </c>
      <c r="M851" s="67" t="s">
        <v>88</v>
      </c>
      <c r="N851" s="70">
        <v>1</v>
      </c>
      <c r="O851" s="70">
        <v>1</v>
      </c>
      <c r="P851" s="70"/>
      <c r="Q851" s="98">
        <v>4</v>
      </c>
      <c r="R851" s="70">
        <v>4</v>
      </c>
      <c r="S851" s="70">
        <v>0</v>
      </c>
    </row>
    <row r="852" spans="1:19" s="56" customFormat="1">
      <c r="A852" s="67" t="s">
        <v>587</v>
      </c>
      <c r="B852" s="68" t="s">
        <v>484</v>
      </c>
      <c r="C852" s="67" t="s">
        <v>184</v>
      </c>
      <c r="D852" s="67" t="s">
        <v>138</v>
      </c>
      <c r="E852" s="67" t="s">
        <v>139</v>
      </c>
      <c r="F852" s="67" t="s">
        <v>186</v>
      </c>
      <c r="G852" s="69" t="s">
        <v>184</v>
      </c>
      <c r="H852" s="67">
        <v>0</v>
      </c>
      <c r="I852" s="67">
        <v>6</v>
      </c>
      <c r="J852" s="67" t="s">
        <v>592</v>
      </c>
      <c r="K852" s="67" t="s">
        <v>593</v>
      </c>
      <c r="L852" s="67" t="s">
        <v>87</v>
      </c>
      <c r="M852" s="67" t="s">
        <v>87</v>
      </c>
      <c r="N852" s="70">
        <v>1</v>
      </c>
      <c r="O852" s="70">
        <v>1</v>
      </c>
      <c r="P852" s="70"/>
      <c r="Q852" s="98">
        <v>4</v>
      </c>
      <c r="R852" s="70">
        <v>4</v>
      </c>
      <c r="S852" s="70">
        <v>0</v>
      </c>
    </row>
    <row r="853" spans="1:19" s="56" customFormat="1">
      <c r="A853" s="67" t="s">
        <v>587</v>
      </c>
      <c r="B853" s="68" t="s">
        <v>484</v>
      </c>
      <c r="C853" s="67" t="s">
        <v>184</v>
      </c>
      <c r="D853" s="67" t="s">
        <v>138</v>
      </c>
      <c r="E853" s="67" t="s">
        <v>139</v>
      </c>
      <c r="F853" s="67" t="s">
        <v>186</v>
      </c>
      <c r="G853" s="69" t="s">
        <v>184</v>
      </c>
      <c r="H853" s="67">
        <v>0</v>
      </c>
      <c r="I853" s="67">
        <v>7</v>
      </c>
      <c r="J853" s="67" t="s">
        <v>430</v>
      </c>
      <c r="K853" s="67" t="s">
        <v>431</v>
      </c>
      <c r="L853" s="67" t="s">
        <v>87</v>
      </c>
      <c r="M853" s="67" t="s">
        <v>87</v>
      </c>
      <c r="N853" s="70">
        <v>1</v>
      </c>
      <c r="O853" s="70">
        <v>1</v>
      </c>
      <c r="P853" s="70"/>
      <c r="Q853" s="98">
        <v>1</v>
      </c>
      <c r="R853" s="70">
        <v>1</v>
      </c>
      <c r="S853" s="70">
        <v>0</v>
      </c>
    </row>
    <row r="854" spans="1:19" s="56" customFormat="1">
      <c r="A854" s="67" t="s">
        <v>587</v>
      </c>
      <c r="B854" s="68" t="s">
        <v>484</v>
      </c>
      <c r="C854" s="67" t="s">
        <v>184</v>
      </c>
      <c r="D854" s="67" t="s">
        <v>138</v>
      </c>
      <c r="E854" s="67" t="s">
        <v>139</v>
      </c>
      <c r="F854" s="67" t="s">
        <v>187</v>
      </c>
      <c r="G854" s="69" t="s">
        <v>184</v>
      </c>
      <c r="H854" s="67">
        <v>0</v>
      </c>
      <c r="I854" s="67">
        <v>8</v>
      </c>
      <c r="J854" s="67" t="s">
        <v>200</v>
      </c>
      <c r="K854" s="67" t="s">
        <v>201</v>
      </c>
      <c r="L854" s="67" t="s">
        <v>3</v>
      </c>
      <c r="M854" s="67" t="s">
        <v>142</v>
      </c>
      <c r="N854" s="70">
        <v>1000</v>
      </c>
      <c r="O854" s="70">
        <v>26.5</v>
      </c>
      <c r="P854" s="70"/>
      <c r="Q854" s="98">
        <v>24450</v>
      </c>
      <c r="R854" s="70">
        <v>24</v>
      </c>
      <c r="S854" s="70">
        <v>450</v>
      </c>
    </row>
    <row r="855" spans="1:19" s="56" customFormat="1">
      <c r="A855" s="67" t="s">
        <v>587</v>
      </c>
      <c r="B855" s="68" t="s">
        <v>484</v>
      </c>
      <c r="C855" s="67" t="s">
        <v>184</v>
      </c>
      <c r="D855" s="67" t="s">
        <v>138</v>
      </c>
      <c r="E855" s="67" t="s">
        <v>139</v>
      </c>
      <c r="F855" s="67" t="s">
        <v>186</v>
      </c>
      <c r="G855" s="69" t="s">
        <v>184</v>
      </c>
      <c r="H855" s="67">
        <v>0</v>
      </c>
      <c r="I855" s="67">
        <v>10</v>
      </c>
      <c r="J855" s="67" t="s">
        <v>291</v>
      </c>
      <c r="K855" s="67" t="s">
        <v>292</v>
      </c>
      <c r="L855" s="67" t="s">
        <v>87</v>
      </c>
      <c r="M855" s="67" t="s">
        <v>87</v>
      </c>
      <c r="N855" s="70">
        <v>1</v>
      </c>
      <c r="O855" s="70">
        <v>1</v>
      </c>
      <c r="P855" s="70"/>
      <c r="Q855" s="98">
        <v>1</v>
      </c>
      <c r="R855" s="70">
        <v>1</v>
      </c>
      <c r="S855" s="70">
        <v>0</v>
      </c>
    </row>
    <row r="856" spans="1:19" s="56" customFormat="1">
      <c r="A856" s="67" t="s">
        <v>594</v>
      </c>
      <c r="B856" s="68" t="s">
        <v>486</v>
      </c>
      <c r="C856" s="67" t="s">
        <v>184</v>
      </c>
      <c r="D856" s="67" t="s">
        <v>138</v>
      </c>
      <c r="E856" s="67" t="s">
        <v>139</v>
      </c>
      <c r="F856" s="67" t="s">
        <v>159</v>
      </c>
      <c r="G856" s="69" t="s">
        <v>184</v>
      </c>
      <c r="H856" s="67">
        <v>0</v>
      </c>
      <c r="I856" s="67">
        <v>1</v>
      </c>
      <c r="J856" s="67" t="s">
        <v>595</v>
      </c>
      <c r="K856" s="67" t="s">
        <v>596</v>
      </c>
      <c r="L856" s="67" t="s">
        <v>87</v>
      </c>
      <c r="M856" s="67" t="s">
        <v>87</v>
      </c>
      <c r="N856" s="70">
        <v>1</v>
      </c>
      <c r="O856" s="70">
        <v>1</v>
      </c>
      <c r="P856" s="70"/>
      <c r="Q856" s="98">
        <v>8</v>
      </c>
      <c r="R856" s="70">
        <v>8</v>
      </c>
      <c r="S856" s="70">
        <v>0</v>
      </c>
    </row>
    <row r="857" spans="1:19" s="56" customFormat="1">
      <c r="A857" s="67" t="s">
        <v>594</v>
      </c>
      <c r="B857" s="68" t="s">
        <v>486</v>
      </c>
      <c r="C857" s="67" t="s">
        <v>184</v>
      </c>
      <c r="D857" s="67" t="s">
        <v>138</v>
      </c>
      <c r="E857" s="67" t="s">
        <v>139</v>
      </c>
      <c r="F857" s="67" t="s">
        <v>159</v>
      </c>
      <c r="G857" s="69" t="s">
        <v>184</v>
      </c>
      <c r="H857" s="67">
        <v>0</v>
      </c>
      <c r="I857" s="67">
        <v>2</v>
      </c>
      <c r="J857" s="67" t="s">
        <v>597</v>
      </c>
      <c r="K857" s="67" t="s">
        <v>598</v>
      </c>
      <c r="L857" s="67" t="s">
        <v>87</v>
      </c>
      <c r="M857" s="67" t="s">
        <v>87</v>
      </c>
      <c r="N857" s="70">
        <v>1</v>
      </c>
      <c r="O857" s="70">
        <v>1</v>
      </c>
      <c r="P857" s="70"/>
      <c r="Q857" s="98">
        <v>8</v>
      </c>
      <c r="R857" s="70">
        <v>8</v>
      </c>
      <c r="S857" s="70">
        <v>0</v>
      </c>
    </row>
    <row r="858" spans="1:19" s="56" customFormat="1">
      <c r="A858" s="67" t="s">
        <v>594</v>
      </c>
      <c r="B858" s="68" t="s">
        <v>486</v>
      </c>
      <c r="C858" s="67" t="s">
        <v>184</v>
      </c>
      <c r="D858" s="67" t="s">
        <v>138</v>
      </c>
      <c r="E858" s="67" t="s">
        <v>139</v>
      </c>
      <c r="F858" s="67" t="s">
        <v>166</v>
      </c>
      <c r="G858" s="69" t="s">
        <v>184</v>
      </c>
      <c r="H858" s="67">
        <v>0</v>
      </c>
      <c r="I858" s="67">
        <v>3</v>
      </c>
      <c r="J858" s="67" t="s">
        <v>193</v>
      </c>
      <c r="K858" s="67" t="s">
        <v>101</v>
      </c>
      <c r="L858" s="67" t="s">
        <v>100</v>
      </c>
      <c r="M858" s="67" t="s">
        <v>100</v>
      </c>
      <c r="N858" s="70">
        <v>1</v>
      </c>
      <c r="O858" s="70">
        <v>33700</v>
      </c>
      <c r="P858" s="70"/>
      <c r="Q858" s="98">
        <v>62</v>
      </c>
      <c r="R858" s="70">
        <v>62</v>
      </c>
      <c r="S858" s="70">
        <v>0</v>
      </c>
    </row>
    <row r="859" spans="1:19" s="56" customFormat="1">
      <c r="A859" s="67" t="s">
        <v>594</v>
      </c>
      <c r="B859" s="68" t="s">
        <v>486</v>
      </c>
      <c r="C859" s="67" t="s">
        <v>184</v>
      </c>
      <c r="D859" s="67" t="s">
        <v>138</v>
      </c>
      <c r="E859" s="67" t="s">
        <v>139</v>
      </c>
      <c r="F859" s="67" t="s">
        <v>166</v>
      </c>
      <c r="G859" s="69" t="s">
        <v>184</v>
      </c>
      <c r="H859" s="67">
        <v>0</v>
      </c>
      <c r="I859" s="67">
        <v>4</v>
      </c>
      <c r="J859" s="67" t="s">
        <v>194</v>
      </c>
      <c r="K859" s="67" t="s">
        <v>99</v>
      </c>
      <c r="L859" s="67" t="s">
        <v>100</v>
      </c>
      <c r="M859" s="67" t="s">
        <v>100</v>
      </c>
      <c r="N859" s="70">
        <v>1</v>
      </c>
      <c r="O859" s="70">
        <v>23700</v>
      </c>
      <c r="P859" s="70"/>
      <c r="Q859" s="98">
        <v>72</v>
      </c>
      <c r="R859" s="70">
        <v>72</v>
      </c>
      <c r="S859" s="70">
        <v>0</v>
      </c>
    </row>
    <row r="860" spans="1:19" s="56" customFormat="1">
      <c r="A860" s="67" t="s">
        <v>594</v>
      </c>
      <c r="B860" s="68" t="s">
        <v>486</v>
      </c>
      <c r="C860" s="67" t="s">
        <v>184</v>
      </c>
      <c r="D860" s="67" t="s">
        <v>138</v>
      </c>
      <c r="E860" s="67" t="s">
        <v>139</v>
      </c>
      <c r="F860" s="67" t="s">
        <v>166</v>
      </c>
      <c r="G860" s="69" t="s">
        <v>184</v>
      </c>
      <c r="H860" s="67">
        <v>0</v>
      </c>
      <c r="I860" s="67">
        <v>5</v>
      </c>
      <c r="J860" s="67" t="s">
        <v>320</v>
      </c>
      <c r="K860" s="67" t="s">
        <v>321</v>
      </c>
      <c r="L860" s="67" t="s">
        <v>6</v>
      </c>
      <c r="M860" s="67" t="s">
        <v>6</v>
      </c>
      <c r="N860" s="70">
        <v>1</v>
      </c>
      <c r="O860" s="70">
        <v>800000</v>
      </c>
      <c r="P860" s="70"/>
      <c r="Q860" s="98">
        <v>1</v>
      </c>
      <c r="R860" s="70">
        <v>1</v>
      </c>
      <c r="S860" s="70">
        <v>0</v>
      </c>
    </row>
    <row r="861" spans="1:19" s="56" customFormat="1">
      <c r="A861" s="67" t="s">
        <v>594</v>
      </c>
      <c r="B861" s="68" t="s">
        <v>486</v>
      </c>
      <c r="C861" s="67" t="s">
        <v>184</v>
      </c>
      <c r="D861" s="67" t="s">
        <v>138</v>
      </c>
      <c r="E861" s="67" t="s">
        <v>139</v>
      </c>
      <c r="F861" s="67" t="s">
        <v>159</v>
      </c>
      <c r="G861" s="69" t="s">
        <v>184</v>
      </c>
      <c r="H861" s="67">
        <v>0</v>
      </c>
      <c r="I861" s="67">
        <v>6</v>
      </c>
      <c r="J861" s="67" t="s">
        <v>585</v>
      </c>
      <c r="K861" s="67" t="s">
        <v>586</v>
      </c>
      <c r="L861" s="67" t="s">
        <v>87</v>
      </c>
      <c r="M861" s="67" t="s">
        <v>87</v>
      </c>
      <c r="N861" s="70">
        <v>1</v>
      </c>
      <c r="O861" s="70">
        <v>1</v>
      </c>
      <c r="P861" s="70"/>
      <c r="Q861" s="98">
        <v>1</v>
      </c>
      <c r="R861" s="70">
        <v>1</v>
      </c>
      <c r="S861" s="70">
        <v>0</v>
      </c>
    </row>
    <row r="862" spans="1:19" s="56" customFormat="1">
      <c r="A862" s="67" t="s">
        <v>594</v>
      </c>
      <c r="B862" s="68" t="s">
        <v>486</v>
      </c>
      <c r="C862" s="67" t="s">
        <v>184</v>
      </c>
      <c r="D862" s="67" t="s">
        <v>138</v>
      </c>
      <c r="E862" s="67" t="s">
        <v>139</v>
      </c>
      <c r="F862" s="67" t="s">
        <v>159</v>
      </c>
      <c r="G862" s="69" t="s">
        <v>184</v>
      </c>
      <c r="H862" s="67">
        <v>0</v>
      </c>
      <c r="I862" s="67">
        <v>7</v>
      </c>
      <c r="J862" s="67" t="s">
        <v>397</v>
      </c>
      <c r="K862" s="67" t="s">
        <v>398</v>
      </c>
      <c r="L862" s="67" t="s">
        <v>88</v>
      </c>
      <c r="M862" s="67" t="s">
        <v>88</v>
      </c>
      <c r="N862" s="70">
        <v>1</v>
      </c>
      <c r="O862" s="70">
        <v>1</v>
      </c>
      <c r="P862" s="70"/>
      <c r="Q862" s="98">
        <v>2</v>
      </c>
      <c r="R862" s="70">
        <v>2</v>
      </c>
      <c r="S862" s="70">
        <v>0</v>
      </c>
    </row>
    <row r="863" spans="1:19" s="56" customFormat="1">
      <c r="A863" s="67" t="s">
        <v>594</v>
      </c>
      <c r="B863" s="68" t="s">
        <v>486</v>
      </c>
      <c r="C863" s="67" t="s">
        <v>184</v>
      </c>
      <c r="D863" s="67" t="s">
        <v>138</v>
      </c>
      <c r="E863" s="67" t="s">
        <v>139</v>
      </c>
      <c r="F863" s="67" t="s">
        <v>186</v>
      </c>
      <c r="G863" s="69" t="s">
        <v>184</v>
      </c>
      <c r="H863" s="67">
        <v>0</v>
      </c>
      <c r="I863" s="67">
        <v>8</v>
      </c>
      <c r="J863" s="67" t="s">
        <v>307</v>
      </c>
      <c r="K863" s="67" t="s">
        <v>308</v>
      </c>
      <c r="L863" s="67" t="s">
        <v>87</v>
      </c>
      <c r="M863" s="67" t="s">
        <v>87</v>
      </c>
      <c r="N863" s="70">
        <v>1</v>
      </c>
      <c r="O863" s="70">
        <v>1</v>
      </c>
      <c r="P863" s="70"/>
      <c r="Q863" s="98">
        <v>1</v>
      </c>
      <c r="R863" s="70">
        <v>1</v>
      </c>
      <c r="S863" s="70">
        <v>0</v>
      </c>
    </row>
    <row r="864" spans="1:19" s="56" customFormat="1">
      <c r="A864" s="67" t="s">
        <v>594</v>
      </c>
      <c r="B864" s="68" t="s">
        <v>486</v>
      </c>
      <c r="C864" s="67" t="s">
        <v>184</v>
      </c>
      <c r="D864" s="67" t="s">
        <v>138</v>
      </c>
      <c r="E864" s="67" t="s">
        <v>139</v>
      </c>
      <c r="F864" s="67" t="s">
        <v>186</v>
      </c>
      <c r="G864" s="69" t="s">
        <v>184</v>
      </c>
      <c r="H864" s="67">
        <v>0</v>
      </c>
      <c r="I864" s="67">
        <v>9</v>
      </c>
      <c r="J864" s="67" t="s">
        <v>360</v>
      </c>
      <c r="K864" s="67" t="s">
        <v>361</v>
      </c>
      <c r="L864" s="67" t="s">
        <v>362</v>
      </c>
      <c r="M864" s="67" t="s">
        <v>362</v>
      </c>
      <c r="N864" s="70">
        <v>1</v>
      </c>
      <c r="O864" s="70">
        <v>1</v>
      </c>
      <c r="P864" s="70"/>
      <c r="Q864" s="98">
        <v>2</v>
      </c>
      <c r="R864" s="70">
        <v>2</v>
      </c>
      <c r="S864" s="70">
        <v>0</v>
      </c>
    </row>
    <row r="865" spans="1:19" s="56" customFormat="1">
      <c r="A865" s="67" t="s">
        <v>594</v>
      </c>
      <c r="B865" s="68" t="s">
        <v>486</v>
      </c>
      <c r="C865" s="67" t="s">
        <v>184</v>
      </c>
      <c r="D865" s="67" t="s">
        <v>138</v>
      </c>
      <c r="E865" s="67" t="s">
        <v>139</v>
      </c>
      <c r="F865" s="67" t="s">
        <v>186</v>
      </c>
      <c r="G865" s="69" t="s">
        <v>184</v>
      </c>
      <c r="H865" s="67">
        <v>0</v>
      </c>
      <c r="I865" s="67">
        <v>10</v>
      </c>
      <c r="J865" s="67" t="s">
        <v>403</v>
      </c>
      <c r="K865" s="67" t="s">
        <v>404</v>
      </c>
      <c r="L865" s="67" t="s">
        <v>88</v>
      </c>
      <c r="M865" s="67" t="s">
        <v>88</v>
      </c>
      <c r="N865" s="70">
        <v>1</v>
      </c>
      <c r="O865" s="70">
        <v>1</v>
      </c>
      <c r="P865" s="70"/>
      <c r="Q865" s="98">
        <v>6</v>
      </c>
      <c r="R865" s="70">
        <v>6</v>
      </c>
      <c r="S865" s="70">
        <v>0</v>
      </c>
    </row>
    <row r="866" spans="1:19" s="56" customFormat="1">
      <c r="A866" s="67" t="s">
        <v>594</v>
      </c>
      <c r="B866" s="68" t="s">
        <v>486</v>
      </c>
      <c r="C866" s="67" t="s">
        <v>184</v>
      </c>
      <c r="D866" s="67" t="s">
        <v>138</v>
      </c>
      <c r="E866" s="67" t="s">
        <v>139</v>
      </c>
      <c r="F866" s="67" t="s">
        <v>186</v>
      </c>
      <c r="G866" s="69" t="s">
        <v>184</v>
      </c>
      <c r="H866" s="67">
        <v>0</v>
      </c>
      <c r="I866" s="67">
        <v>11</v>
      </c>
      <c r="J866" s="67" t="s">
        <v>443</v>
      </c>
      <c r="K866" s="67" t="s">
        <v>444</v>
      </c>
      <c r="L866" s="67" t="s">
        <v>87</v>
      </c>
      <c r="M866" s="67" t="s">
        <v>87</v>
      </c>
      <c r="N866" s="70">
        <v>1</v>
      </c>
      <c r="O866" s="70">
        <v>1</v>
      </c>
      <c r="P866" s="70"/>
      <c r="Q866" s="98">
        <v>8</v>
      </c>
      <c r="R866" s="70">
        <v>8</v>
      </c>
      <c r="S866" s="70">
        <v>0</v>
      </c>
    </row>
    <row r="867" spans="1:19" s="56" customFormat="1">
      <c r="A867" s="67" t="s">
        <v>594</v>
      </c>
      <c r="B867" s="68" t="s">
        <v>486</v>
      </c>
      <c r="C867" s="67" t="s">
        <v>184</v>
      </c>
      <c r="D867" s="67" t="s">
        <v>138</v>
      </c>
      <c r="E867" s="67" t="s">
        <v>139</v>
      </c>
      <c r="F867" s="67" t="s">
        <v>156</v>
      </c>
      <c r="G867" s="69" t="s">
        <v>184</v>
      </c>
      <c r="H867" s="67">
        <v>0</v>
      </c>
      <c r="I867" s="67">
        <v>12</v>
      </c>
      <c r="J867" s="67" t="s">
        <v>285</v>
      </c>
      <c r="K867" s="67" t="s">
        <v>286</v>
      </c>
      <c r="L867" s="67" t="s">
        <v>195</v>
      </c>
      <c r="M867" s="67" t="s">
        <v>195</v>
      </c>
      <c r="N867" s="70">
        <v>1</v>
      </c>
      <c r="O867" s="70">
        <v>1</v>
      </c>
      <c r="P867" s="70"/>
      <c r="Q867" s="98">
        <v>2</v>
      </c>
      <c r="R867" s="70">
        <v>2</v>
      </c>
      <c r="S867" s="70">
        <v>0</v>
      </c>
    </row>
    <row r="868" spans="1:19" s="56" customFormat="1">
      <c r="A868" s="67" t="s">
        <v>594</v>
      </c>
      <c r="B868" s="68" t="s">
        <v>486</v>
      </c>
      <c r="C868" s="67" t="s">
        <v>184</v>
      </c>
      <c r="D868" s="67" t="s">
        <v>138</v>
      </c>
      <c r="E868" s="67" t="s">
        <v>139</v>
      </c>
      <c r="F868" s="67" t="s">
        <v>187</v>
      </c>
      <c r="G868" s="69" t="s">
        <v>184</v>
      </c>
      <c r="H868" s="67">
        <v>0</v>
      </c>
      <c r="I868" s="67">
        <v>13</v>
      </c>
      <c r="J868" s="67" t="s">
        <v>266</v>
      </c>
      <c r="K868" s="67" t="s">
        <v>96</v>
      </c>
      <c r="L868" s="67" t="s">
        <v>97</v>
      </c>
      <c r="M868" s="67" t="s">
        <v>97</v>
      </c>
      <c r="N868" s="70">
        <v>1</v>
      </c>
      <c r="O868" s="70">
        <v>1</v>
      </c>
      <c r="P868" s="70"/>
      <c r="Q868" s="98">
        <v>6</v>
      </c>
      <c r="R868" s="70">
        <v>6</v>
      </c>
      <c r="S868" s="70">
        <v>0</v>
      </c>
    </row>
    <row r="869" spans="1:19" s="56" customFormat="1">
      <c r="A869" s="67" t="s">
        <v>594</v>
      </c>
      <c r="B869" s="68" t="s">
        <v>486</v>
      </c>
      <c r="C869" s="67" t="s">
        <v>184</v>
      </c>
      <c r="D869" s="67" t="s">
        <v>138</v>
      </c>
      <c r="E869" s="67" t="s">
        <v>139</v>
      </c>
      <c r="F869" s="67" t="s">
        <v>187</v>
      </c>
      <c r="G869" s="69" t="s">
        <v>184</v>
      </c>
      <c r="H869" s="67">
        <v>0</v>
      </c>
      <c r="I869" s="67">
        <v>15</v>
      </c>
      <c r="J869" s="67" t="s">
        <v>200</v>
      </c>
      <c r="K869" s="67" t="s">
        <v>201</v>
      </c>
      <c r="L869" s="67" t="s">
        <v>3</v>
      </c>
      <c r="M869" s="67" t="s">
        <v>142</v>
      </c>
      <c r="N869" s="70">
        <v>1000</v>
      </c>
      <c r="O869" s="70">
        <v>26.5</v>
      </c>
      <c r="P869" s="70"/>
      <c r="Q869" s="98">
        <v>26500</v>
      </c>
      <c r="R869" s="70">
        <v>26</v>
      </c>
      <c r="S869" s="70">
        <v>500</v>
      </c>
    </row>
    <row r="870" spans="1:19" s="56" customFormat="1">
      <c r="A870" s="67" t="s">
        <v>599</v>
      </c>
      <c r="B870" s="68" t="s">
        <v>488</v>
      </c>
      <c r="C870" s="67" t="s">
        <v>184</v>
      </c>
      <c r="D870" s="67" t="s">
        <v>138</v>
      </c>
      <c r="E870" s="67" t="s">
        <v>139</v>
      </c>
      <c r="F870" s="67" t="s">
        <v>186</v>
      </c>
      <c r="G870" s="69" t="s">
        <v>184</v>
      </c>
      <c r="H870" s="67">
        <v>0</v>
      </c>
      <c r="I870" s="67">
        <v>1</v>
      </c>
      <c r="J870" s="67" t="s">
        <v>188</v>
      </c>
      <c r="K870" s="67" t="s">
        <v>89</v>
      </c>
      <c r="L870" s="67" t="s">
        <v>87</v>
      </c>
      <c r="M870" s="67" t="s">
        <v>87</v>
      </c>
      <c r="N870" s="70">
        <v>1</v>
      </c>
      <c r="O870" s="70">
        <v>1</v>
      </c>
      <c r="P870" s="70"/>
      <c r="Q870" s="98">
        <v>4</v>
      </c>
      <c r="R870" s="70">
        <v>4</v>
      </c>
      <c r="S870" s="70">
        <v>0</v>
      </c>
    </row>
    <row r="871" spans="1:19" s="56" customFormat="1">
      <c r="A871" s="67" t="s">
        <v>599</v>
      </c>
      <c r="B871" s="68" t="s">
        <v>488</v>
      </c>
      <c r="C871" s="67" t="s">
        <v>184</v>
      </c>
      <c r="D871" s="67" t="s">
        <v>138</v>
      </c>
      <c r="E871" s="67" t="s">
        <v>139</v>
      </c>
      <c r="F871" s="67" t="s">
        <v>186</v>
      </c>
      <c r="G871" s="69" t="s">
        <v>184</v>
      </c>
      <c r="H871" s="67">
        <v>0</v>
      </c>
      <c r="I871" s="67">
        <v>2</v>
      </c>
      <c r="J871" s="67" t="s">
        <v>329</v>
      </c>
      <c r="K871" s="67" t="s">
        <v>330</v>
      </c>
      <c r="L871" s="67" t="s">
        <v>87</v>
      </c>
      <c r="M871" s="67" t="s">
        <v>87</v>
      </c>
      <c r="N871" s="70">
        <v>1</v>
      </c>
      <c r="O871" s="70">
        <v>1</v>
      </c>
      <c r="P871" s="70"/>
      <c r="Q871" s="98">
        <v>1</v>
      </c>
      <c r="R871" s="70">
        <v>1</v>
      </c>
      <c r="S871" s="70">
        <v>0</v>
      </c>
    </row>
    <row r="872" spans="1:19" s="56" customFormat="1">
      <c r="A872" s="67" t="s">
        <v>599</v>
      </c>
      <c r="B872" s="68" t="s">
        <v>488</v>
      </c>
      <c r="C872" s="67" t="s">
        <v>184</v>
      </c>
      <c r="D872" s="67" t="s">
        <v>138</v>
      </c>
      <c r="E872" s="67" t="s">
        <v>139</v>
      </c>
      <c r="F872" s="67" t="s">
        <v>186</v>
      </c>
      <c r="G872" s="69" t="s">
        <v>184</v>
      </c>
      <c r="H872" s="67">
        <v>0</v>
      </c>
      <c r="I872" s="67">
        <v>3</v>
      </c>
      <c r="J872" s="67" t="s">
        <v>325</v>
      </c>
      <c r="K872" s="67" t="s">
        <v>326</v>
      </c>
      <c r="L872" s="67" t="s">
        <v>293</v>
      </c>
      <c r="M872" s="67" t="s">
        <v>293</v>
      </c>
      <c r="N872" s="70">
        <v>1</v>
      </c>
      <c r="O872" s="70">
        <v>1</v>
      </c>
      <c r="P872" s="70"/>
      <c r="Q872" s="98">
        <v>4</v>
      </c>
      <c r="R872" s="70">
        <v>4</v>
      </c>
      <c r="S872" s="70">
        <v>0</v>
      </c>
    </row>
    <row r="873" spans="1:19" s="56" customFormat="1">
      <c r="A873" s="67" t="s">
        <v>599</v>
      </c>
      <c r="B873" s="68" t="s">
        <v>488</v>
      </c>
      <c r="C873" s="67" t="s">
        <v>184</v>
      </c>
      <c r="D873" s="67" t="s">
        <v>138</v>
      </c>
      <c r="E873" s="67" t="s">
        <v>139</v>
      </c>
      <c r="F873" s="67" t="s">
        <v>186</v>
      </c>
      <c r="G873" s="69" t="s">
        <v>184</v>
      </c>
      <c r="H873" s="67">
        <v>0</v>
      </c>
      <c r="I873" s="67">
        <v>4</v>
      </c>
      <c r="J873" s="67" t="s">
        <v>600</v>
      </c>
      <c r="K873" s="67" t="s">
        <v>601</v>
      </c>
      <c r="L873" s="67" t="s">
        <v>87</v>
      </c>
      <c r="M873" s="67" t="s">
        <v>87</v>
      </c>
      <c r="N873" s="70">
        <v>1</v>
      </c>
      <c r="O873" s="70">
        <v>1</v>
      </c>
      <c r="P873" s="70"/>
      <c r="Q873" s="98">
        <v>1</v>
      </c>
      <c r="R873" s="70">
        <v>1</v>
      </c>
      <c r="S873" s="70">
        <v>0</v>
      </c>
    </row>
    <row r="874" spans="1:19" s="56" customFormat="1">
      <c r="A874" s="67" t="s">
        <v>599</v>
      </c>
      <c r="B874" s="68" t="s">
        <v>488</v>
      </c>
      <c r="C874" s="67" t="s">
        <v>184</v>
      </c>
      <c r="D874" s="67" t="s">
        <v>138</v>
      </c>
      <c r="E874" s="67" t="s">
        <v>139</v>
      </c>
      <c r="F874" s="67" t="s">
        <v>186</v>
      </c>
      <c r="G874" s="69" t="s">
        <v>184</v>
      </c>
      <c r="H874" s="67">
        <v>0</v>
      </c>
      <c r="I874" s="67">
        <v>5</v>
      </c>
      <c r="J874" s="67" t="s">
        <v>602</v>
      </c>
      <c r="K874" s="67" t="s">
        <v>603</v>
      </c>
      <c r="L874" s="67" t="s">
        <v>87</v>
      </c>
      <c r="M874" s="67" t="s">
        <v>87</v>
      </c>
      <c r="N874" s="70">
        <v>1</v>
      </c>
      <c r="O874" s="70">
        <v>1</v>
      </c>
      <c r="P874" s="70"/>
      <c r="Q874" s="98">
        <v>1</v>
      </c>
      <c r="R874" s="70">
        <v>1</v>
      </c>
      <c r="S874" s="70">
        <v>0</v>
      </c>
    </row>
    <row r="875" spans="1:19" s="56" customFormat="1">
      <c r="A875" s="67" t="s">
        <v>599</v>
      </c>
      <c r="B875" s="68" t="s">
        <v>488</v>
      </c>
      <c r="C875" s="67" t="s">
        <v>184</v>
      </c>
      <c r="D875" s="67" t="s">
        <v>138</v>
      </c>
      <c r="E875" s="67" t="s">
        <v>139</v>
      </c>
      <c r="F875" s="67" t="s">
        <v>186</v>
      </c>
      <c r="G875" s="69" t="s">
        <v>184</v>
      </c>
      <c r="H875" s="67">
        <v>0</v>
      </c>
      <c r="I875" s="67">
        <v>6</v>
      </c>
      <c r="J875" s="67" t="s">
        <v>604</v>
      </c>
      <c r="K875" s="67" t="s">
        <v>605</v>
      </c>
      <c r="L875" s="67" t="s">
        <v>87</v>
      </c>
      <c r="M875" s="67" t="s">
        <v>87</v>
      </c>
      <c r="N875" s="70">
        <v>1</v>
      </c>
      <c r="O875" s="70">
        <v>1</v>
      </c>
      <c r="P875" s="70"/>
      <c r="Q875" s="98">
        <v>1</v>
      </c>
      <c r="R875" s="70">
        <v>1</v>
      </c>
      <c r="S875" s="70">
        <v>0</v>
      </c>
    </row>
    <row r="876" spans="1:19" s="56" customFormat="1">
      <c r="A876" s="67" t="s">
        <v>599</v>
      </c>
      <c r="B876" s="68" t="s">
        <v>488</v>
      </c>
      <c r="C876" s="67" t="s">
        <v>184</v>
      </c>
      <c r="D876" s="67" t="s">
        <v>138</v>
      </c>
      <c r="E876" s="67" t="s">
        <v>139</v>
      </c>
      <c r="F876" s="67" t="s">
        <v>186</v>
      </c>
      <c r="G876" s="69" t="s">
        <v>184</v>
      </c>
      <c r="H876" s="67">
        <v>0</v>
      </c>
      <c r="I876" s="67">
        <v>7</v>
      </c>
      <c r="J876" s="67" t="s">
        <v>606</v>
      </c>
      <c r="K876" s="67" t="s">
        <v>607</v>
      </c>
      <c r="L876" s="67" t="s">
        <v>87</v>
      </c>
      <c r="M876" s="67" t="s">
        <v>87</v>
      </c>
      <c r="N876" s="70">
        <v>1</v>
      </c>
      <c r="O876" s="70">
        <v>1</v>
      </c>
      <c r="P876" s="70"/>
      <c r="Q876" s="98">
        <v>1</v>
      </c>
      <c r="R876" s="70">
        <v>1</v>
      </c>
      <c r="S876" s="70">
        <v>0</v>
      </c>
    </row>
    <row r="877" spans="1:19" s="56" customFormat="1">
      <c r="A877" s="67" t="s">
        <v>599</v>
      </c>
      <c r="B877" s="68" t="s">
        <v>488</v>
      </c>
      <c r="C877" s="67" t="s">
        <v>184</v>
      </c>
      <c r="D877" s="67" t="s">
        <v>138</v>
      </c>
      <c r="E877" s="67" t="s">
        <v>139</v>
      </c>
      <c r="F877" s="67" t="s">
        <v>186</v>
      </c>
      <c r="G877" s="69" t="s">
        <v>184</v>
      </c>
      <c r="H877" s="67">
        <v>0</v>
      </c>
      <c r="I877" s="67">
        <v>8</v>
      </c>
      <c r="J877" s="67" t="s">
        <v>608</v>
      </c>
      <c r="K877" s="67" t="s">
        <v>609</v>
      </c>
      <c r="L877" s="67" t="s">
        <v>87</v>
      </c>
      <c r="M877" s="67" t="s">
        <v>87</v>
      </c>
      <c r="N877" s="70">
        <v>1</v>
      </c>
      <c r="O877" s="70">
        <v>1</v>
      </c>
      <c r="P877" s="70"/>
      <c r="Q877" s="98">
        <v>1</v>
      </c>
      <c r="R877" s="70">
        <v>1</v>
      </c>
      <c r="S877" s="70">
        <v>0</v>
      </c>
    </row>
    <row r="878" spans="1:19" s="56" customFormat="1">
      <c r="A878" s="67" t="s">
        <v>599</v>
      </c>
      <c r="B878" s="68" t="s">
        <v>488</v>
      </c>
      <c r="C878" s="67" t="s">
        <v>184</v>
      </c>
      <c r="D878" s="67" t="s">
        <v>138</v>
      </c>
      <c r="E878" s="67" t="s">
        <v>139</v>
      </c>
      <c r="F878" s="67" t="s">
        <v>186</v>
      </c>
      <c r="G878" s="69" t="s">
        <v>184</v>
      </c>
      <c r="H878" s="67">
        <v>0</v>
      </c>
      <c r="I878" s="67">
        <v>9</v>
      </c>
      <c r="J878" s="67" t="s">
        <v>548</v>
      </c>
      <c r="K878" s="67" t="s">
        <v>549</v>
      </c>
      <c r="L878" s="67" t="s">
        <v>88</v>
      </c>
      <c r="M878" s="67" t="s">
        <v>88</v>
      </c>
      <c r="N878" s="70">
        <v>1</v>
      </c>
      <c r="O878" s="70">
        <v>1</v>
      </c>
      <c r="P878" s="70"/>
      <c r="Q878" s="98">
        <v>1</v>
      </c>
      <c r="R878" s="70">
        <v>1</v>
      </c>
      <c r="S878" s="70">
        <v>0</v>
      </c>
    </row>
    <row r="879" spans="1:19" s="56" customFormat="1">
      <c r="A879" s="67" t="s">
        <v>599</v>
      </c>
      <c r="B879" s="68" t="s">
        <v>488</v>
      </c>
      <c r="C879" s="67" t="s">
        <v>184</v>
      </c>
      <c r="D879" s="67" t="s">
        <v>138</v>
      </c>
      <c r="E879" s="67" t="s">
        <v>139</v>
      </c>
      <c r="F879" s="67" t="s">
        <v>186</v>
      </c>
      <c r="G879" s="69" t="s">
        <v>184</v>
      </c>
      <c r="H879" s="67">
        <v>0</v>
      </c>
      <c r="I879" s="67">
        <v>10</v>
      </c>
      <c r="J879" s="67" t="s">
        <v>397</v>
      </c>
      <c r="K879" s="67" t="s">
        <v>398</v>
      </c>
      <c r="L879" s="67" t="s">
        <v>88</v>
      </c>
      <c r="M879" s="67" t="s">
        <v>88</v>
      </c>
      <c r="N879" s="70">
        <v>1</v>
      </c>
      <c r="O879" s="70">
        <v>1</v>
      </c>
      <c r="P879" s="70"/>
      <c r="Q879" s="98">
        <v>4</v>
      </c>
      <c r="R879" s="70">
        <v>4</v>
      </c>
      <c r="S879" s="70">
        <v>0</v>
      </c>
    </row>
    <row r="880" spans="1:19" s="56" customFormat="1">
      <c r="A880" s="67" t="s">
        <v>599</v>
      </c>
      <c r="B880" s="68" t="s">
        <v>488</v>
      </c>
      <c r="C880" s="67" t="s">
        <v>184</v>
      </c>
      <c r="D880" s="67" t="s">
        <v>138</v>
      </c>
      <c r="E880" s="67" t="s">
        <v>139</v>
      </c>
      <c r="F880" s="67" t="s">
        <v>186</v>
      </c>
      <c r="G880" s="69" t="s">
        <v>184</v>
      </c>
      <c r="H880" s="67">
        <v>0</v>
      </c>
      <c r="I880" s="67">
        <v>11</v>
      </c>
      <c r="J880" s="67" t="s">
        <v>610</v>
      </c>
      <c r="K880" s="67" t="s">
        <v>611</v>
      </c>
      <c r="L880" s="67" t="s">
        <v>87</v>
      </c>
      <c r="M880" s="67" t="s">
        <v>87</v>
      </c>
      <c r="N880" s="70">
        <v>1</v>
      </c>
      <c r="O880" s="70">
        <v>1</v>
      </c>
      <c r="P880" s="70"/>
      <c r="Q880" s="98">
        <v>2</v>
      </c>
      <c r="R880" s="70">
        <v>2</v>
      </c>
      <c r="S880" s="70">
        <v>0</v>
      </c>
    </row>
    <row r="881" spans="1:19" s="56" customFormat="1">
      <c r="A881" s="67" t="s">
        <v>599</v>
      </c>
      <c r="B881" s="68" t="s">
        <v>488</v>
      </c>
      <c r="C881" s="67" t="s">
        <v>184</v>
      </c>
      <c r="D881" s="67" t="s">
        <v>138</v>
      </c>
      <c r="E881" s="67" t="s">
        <v>139</v>
      </c>
      <c r="F881" s="67" t="s">
        <v>186</v>
      </c>
      <c r="G881" s="69" t="s">
        <v>184</v>
      </c>
      <c r="H881" s="67">
        <v>0</v>
      </c>
      <c r="I881" s="67">
        <v>12</v>
      </c>
      <c r="J881" s="67" t="s">
        <v>405</v>
      </c>
      <c r="K881" s="67" t="s">
        <v>406</v>
      </c>
      <c r="L881" s="67" t="s">
        <v>87</v>
      </c>
      <c r="M881" s="67" t="s">
        <v>87</v>
      </c>
      <c r="N881" s="70">
        <v>1</v>
      </c>
      <c r="O881" s="70">
        <v>1</v>
      </c>
      <c r="P881" s="70"/>
      <c r="Q881" s="98">
        <v>4</v>
      </c>
      <c r="R881" s="70">
        <v>4</v>
      </c>
      <c r="S881" s="70">
        <v>0</v>
      </c>
    </row>
    <row r="882" spans="1:19" s="56" customFormat="1">
      <c r="A882" s="67" t="s">
        <v>599</v>
      </c>
      <c r="B882" s="68" t="s">
        <v>488</v>
      </c>
      <c r="C882" s="67" t="s">
        <v>184</v>
      </c>
      <c r="D882" s="67" t="s">
        <v>138</v>
      </c>
      <c r="E882" s="67" t="s">
        <v>139</v>
      </c>
      <c r="F882" s="67" t="s">
        <v>187</v>
      </c>
      <c r="G882" s="69" t="s">
        <v>184</v>
      </c>
      <c r="H882" s="67">
        <v>0</v>
      </c>
      <c r="I882" s="67">
        <v>13</v>
      </c>
      <c r="J882" s="67" t="s">
        <v>266</v>
      </c>
      <c r="K882" s="67" t="s">
        <v>96</v>
      </c>
      <c r="L882" s="67" t="s">
        <v>97</v>
      </c>
      <c r="M882" s="67" t="s">
        <v>97</v>
      </c>
      <c r="N882" s="70">
        <v>1</v>
      </c>
      <c r="O882" s="70">
        <v>1</v>
      </c>
      <c r="P882" s="70"/>
      <c r="Q882" s="98">
        <v>6</v>
      </c>
      <c r="R882" s="70">
        <v>6</v>
      </c>
      <c r="S882" s="70">
        <v>0</v>
      </c>
    </row>
    <row r="883" spans="1:19" s="56" customFormat="1">
      <c r="A883" s="67" t="s">
        <v>599</v>
      </c>
      <c r="B883" s="68" t="s">
        <v>488</v>
      </c>
      <c r="C883" s="67" t="s">
        <v>184</v>
      </c>
      <c r="D883" s="67" t="s">
        <v>138</v>
      </c>
      <c r="E883" s="67" t="s">
        <v>139</v>
      </c>
      <c r="F883" s="67" t="s">
        <v>186</v>
      </c>
      <c r="G883" s="69" t="s">
        <v>184</v>
      </c>
      <c r="H883" s="67">
        <v>0</v>
      </c>
      <c r="I883" s="67">
        <v>14</v>
      </c>
      <c r="J883" s="67" t="s">
        <v>442</v>
      </c>
      <c r="K883" s="67" t="s">
        <v>312</v>
      </c>
      <c r="L883" s="67" t="s">
        <v>87</v>
      </c>
      <c r="M883" s="67" t="s">
        <v>87</v>
      </c>
      <c r="N883" s="70">
        <v>1</v>
      </c>
      <c r="O883" s="70">
        <v>1</v>
      </c>
      <c r="P883" s="70"/>
      <c r="Q883" s="98">
        <v>24</v>
      </c>
      <c r="R883" s="70">
        <v>24</v>
      </c>
      <c r="S883" s="70">
        <v>0</v>
      </c>
    </row>
    <row r="884" spans="1:19" s="56" customFormat="1">
      <c r="A884" s="67" t="s">
        <v>599</v>
      </c>
      <c r="B884" s="68" t="s">
        <v>488</v>
      </c>
      <c r="C884" s="67" t="s">
        <v>184</v>
      </c>
      <c r="D884" s="67" t="s">
        <v>138</v>
      </c>
      <c r="E884" s="67" t="s">
        <v>139</v>
      </c>
      <c r="F884" s="67" t="s">
        <v>186</v>
      </c>
      <c r="G884" s="69" t="s">
        <v>184</v>
      </c>
      <c r="H884" s="67">
        <v>0</v>
      </c>
      <c r="I884" s="67">
        <v>15</v>
      </c>
      <c r="J884" s="67" t="s">
        <v>443</v>
      </c>
      <c r="K884" s="67" t="s">
        <v>444</v>
      </c>
      <c r="L884" s="67" t="s">
        <v>87</v>
      </c>
      <c r="M884" s="67" t="s">
        <v>87</v>
      </c>
      <c r="N884" s="70">
        <v>1</v>
      </c>
      <c r="O884" s="70">
        <v>1</v>
      </c>
      <c r="P884" s="70"/>
      <c r="Q884" s="98">
        <v>8</v>
      </c>
      <c r="R884" s="70">
        <v>8</v>
      </c>
      <c r="S884" s="70">
        <v>0</v>
      </c>
    </row>
    <row r="885" spans="1:19" s="56" customFormat="1">
      <c r="A885" s="67" t="s">
        <v>599</v>
      </c>
      <c r="B885" s="68" t="s">
        <v>488</v>
      </c>
      <c r="C885" s="67" t="s">
        <v>184</v>
      </c>
      <c r="D885" s="67" t="s">
        <v>138</v>
      </c>
      <c r="E885" s="67" t="s">
        <v>139</v>
      </c>
      <c r="F885" s="67" t="s">
        <v>162</v>
      </c>
      <c r="G885" s="69" t="s">
        <v>184</v>
      </c>
      <c r="H885" s="67">
        <v>0</v>
      </c>
      <c r="I885" s="67">
        <v>16</v>
      </c>
      <c r="J885" s="67" t="s">
        <v>612</v>
      </c>
      <c r="K885" s="67" t="s">
        <v>613</v>
      </c>
      <c r="L885" s="67" t="s">
        <v>87</v>
      </c>
      <c r="M885" s="67" t="s">
        <v>87</v>
      </c>
      <c r="N885" s="70">
        <v>1</v>
      </c>
      <c r="O885" s="70">
        <v>1</v>
      </c>
      <c r="P885" s="70"/>
      <c r="Q885" s="98">
        <v>2</v>
      </c>
      <c r="R885" s="70">
        <v>2</v>
      </c>
      <c r="S885" s="70">
        <v>0</v>
      </c>
    </row>
    <row r="886" spans="1:19" s="56" customFormat="1">
      <c r="A886" s="67" t="s">
        <v>614</v>
      </c>
      <c r="B886" s="68" t="s">
        <v>492</v>
      </c>
      <c r="C886" s="67" t="s">
        <v>184</v>
      </c>
      <c r="D886" s="67" t="s">
        <v>138</v>
      </c>
      <c r="E886" s="67" t="s">
        <v>139</v>
      </c>
      <c r="F886" s="67" t="s">
        <v>186</v>
      </c>
      <c r="G886" s="69" t="s">
        <v>184</v>
      </c>
      <c r="H886" s="67">
        <v>0</v>
      </c>
      <c r="I886" s="67">
        <v>1</v>
      </c>
      <c r="J886" s="67" t="s">
        <v>389</v>
      </c>
      <c r="K886" s="67" t="s">
        <v>390</v>
      </c>
      <c r="L886" s="67" t="s">
        <v>87</v>
      </c>
      <c r="M886" s="67" t="s">
        <v>87</v>
      </c>
      <c r="N886" s="70">
        <v>1</v>
      </c>
      <c r="O886" s="70">
        <v>1</v>
      </c>
      <c r="P886" s="70"/>
      <c r="Q886" s="98">
        <v>1</v>
      </c>
      <c r="R886" s="70">
        <v>1</v>
      </c>
      <c r="S886" s="70">
        <v>0</v>
      </c>
    </row>
    <row r="887" spans="1:19" s="56" customFormat="1">
      <c r="A887" s="67" t="s">
        <v>614</v>
      </c>
      <c r="B887" s="68" t="s">
        <v>492</v>
      </c>
      <c r="C887" s="67" t="s">
        <v>184</v>
      </c>
      <c r="D887" s="67" t="s">
        <v>138</v>
      </c>
      <c r="E887" s="67" t="s">
        <v>139</v>
      </c>
      <c r="F887" s="67" t="s">
        <v>186</v>
      </c>
      <c r="G887" s="69" t="s">
        <v>184</v>
      </c>
      <c r="H887" s="67">
        <v>0</v>
      </c>
      <c r="I887" s="67">
        <v>2</v>
      </c>
      <c r="J887" s="67" t="s">
        <v>391</v>
      </c>
      <c r="K887" s="67" t="s">
        <v>392</v>
      </c>
      <c r="L887" s="67" t="s">
        <v>87</v>
      </c>
      <c r="M887" s="67" t="s">
        <v>87</v>
      </c>
      <c r="N887" s="70">
        <v>1</v>
      </c>
      <c r="O887" s="70">
        <v>1</v>
      </c>
      <c r="P887" s="70"/>
      <c r="Q887" s="98">
        <v>1</v>
      </c>
      <c r="R887" s="70">
        <v>1</v>
      </c>
      <c r="S887" s="70">
        <v>0</v>
      </c>
    </row>
    <row r="888" spans="1:19" s="56" customFormat="1">
      <c r="A888" s="67" t="s">
        <v>614</v>
      </c>
      <c r="B888" s="68" t="s">
        <v>492</v>
      </c>
      <c r="C888" s="67" t="s">
        <v>184</v>
      </c>
      <c r="D888" s="67" t="s">
        <v>138</v>
      </c>
      <c r="E888" s="67" t="s">
        <v>139</v>
      </c>
      <c r="F888" s="67" t="s">
        <v>186</v>
      </c>
      <c r="G888" s="69" t="s">
        <v>184</v>
      </c>
      <c r="H888" s="67">
        <v>0</v>
      </c>
      <c r="I888" s="67">
        <v>3</v>
      </c>
      <c r="J888" s="67" t="s">
        <v>393</v>
      </c>
      <c r="K888" s="67" t="s">
        <v>394</v>
      </c>
      <c r="L888" s="67" t="s">
        <v>87</v>
      </c>
      <c r="M888" s="67" t="s">
        <v>87</v>
      </c>
      <c r="N888" s="70">
        <v>1</v>
      </c>
      <c r="O888" s="70">
        <v>1</v>
      </c>
      <c r="P888" s="70"/>
      <c r="Q888" s="98">
        <v>1</v>
      </c>
      <c r="R888" s="70">
        <v>1</v>
      </c>
      <c r="S888" s="70">
        <v>0</v>
      </c>
    </row>
    <row r="889" spans="1:19" s="56" customFormat="1">
      <c r="A889" s="67" t="s">
        <v>614</v>
      </c>
      <c r="B889" s="68" t="s">
        <v>492</v>
      </c>
      <c r="C889" s="67" t="s">
        <v>184</v>
      </c>
      <c r="D889" s="67" t="s">
        <v>138</v>
      </c>
      <c r="E889" s="67" t="s">
        <v>139</v>
      </c>
      <c r="F889" s="67" t="s">
        <v>166</v>
      </c>
      <c r="G889" s="69" t="s">
        <v>184</v>
      </c>
      <c r="H889" s="67">
        <v>0</v>
      </c>
      <c r="I889" s="67">
        <v>4</v>
      </c>
      <c r="J889" s="67" t="s">
        <v>253</v>
      </c>
      <c r="K889" s="67" t="s">
        <v>254</v>
      </c>
      <c r="L889" s="67" t="s">
        <v>195</v>
      </c>
      <c r="M889" s="67" t="s">
        <v>195</v>
      </c>
      <c r="N889" s="70">
        <v>1</v>
      </c>
      <c r="O889" s="70">
        <v>1</v>
      </c>
      <c r="P889" s="70"/>
      <c r="Q889" s="98">
        <v>5</v>
      </c>
      <c r="R889" s="70">
        <v>5</v>
      </c>
      <c r="S889" s="70">
        <v>0</v>
      </c>
    </row>
    <row r="890" spans="1:19" s="56" customFormat="1">
      <c r="A890" s="67" t="s">
        <v>614</v>
      </c>
      <c r="B890" s="68" t="s">
        <v>492</v>
      </c>
      <c r="C890" s="67" t="s">
        <v>184</v>
      </c>
      <c r="D890" s="67" t="s">
        <v>138</v>
      </c>
      <c r="E890" s="67" t="s">
        <v>139</v>
      </c>
      <c r="F890" s="67" t="s">
        <v>186</v>
      </c>
      <c r="G890" s="69" t="s">
        <v>184</v>
      </c>
      <c r="H890" s="67">
        <v>0</v>
      </c>
      <c r="I890" s="67">
        <v>5</v>
      </c>
      <c r="J890" s="67" t="s">
        <v>271</v>
      </c>
      <c r="K890" s="67" t="s">
        <v>272</v>
      </c>
      <c r="L890" s="67" t="s">
        <v>87</v>
      </c>
      <c r="M890" s="67" t="s">
        <v>87</v>
      </c>
      <c r="N890" s="70">
        <v>1</v>
      </c>
      <c r="O890" s="70">
        <v>1</v>
      </c>
      <c r="P890" s="70"/>
      <c r="Q890" s="98">
        <v>8</v>
      </c>
      <c r="R890" s="70">
        <v>8</v>
      </c>
      <c r="S890" s="70">
        <v>0</v>
      </c>
    </row>
    <row r="891" spans="1:19" s="56" customFormat="1">
      <c r="A891" s="67" t="s">
        <v>614</v>
      </c>
      <c r="B891" s="68" t="s">
        <v>492</v>
      </c>
      <c r="C891" s="67" t="s">
        <v>184</v>
      </c>
      <c r="D891" s="67" t="s">
        <v>138</v>
      </c>
      <c r="E891" s="67" t="s">
        <v>139</v>
      </c>
      <c r="F891" s="67" t="s">
        <v>186</v>
      </c>
      <c r="G891" s="69" t="s">
        <v>184</v>
      </c>
      <c r="H891" s="67">
        <v>0</v>
      </c>
      <c r="I891" s="67">
        <v>6</v>
      </c>
      <c r="J891" s="67" t="s">
        <v>615</v>
      </c>
      <c r="K891" s="67" t="s">
        <v>616</v>
      </c>
      <c r="L891" s="67" t="s">
        <v>88</v>
      </c>
      <c r="M891" s="67" t="s">
        <v>88</v>
      </c>
      <c r="N891" s="70">
        <v>1</v>
      </c>
      <c r="O891" s="70">
        <v>1</v>
      </c>
      <c r="P891" s="70"/>
      <c r="Q891" s="98">
        <v>2</v>
      </c>
      <c r="R891" s="70">
        <v>2</v>
      </c>
      <c r="S891" s="70">
        <v>0</v>
      </c>
    </row>
    <row r="892" spans="1:19" s="56" customFormat="1">
      <c r="A892" s="67" t="s">
        <v>614</v>
      </c>
      <c r="B892" s="68" t="s">
        <v>492</v>
      </c>
      <c r="C892" s="67" t="s">
        <v>184</v>
      </c>
      <c r="D892" s="67" t="s">
        <v>138</v>
      </c>
      <c r="E892" s="67" t="s">
        <v>139</v>
      </c>
      <c r="F892" s="67" t="s">
        <v>166</v>
      </c>
      <c r="G892" s="69" t="s">
        <v>184</v>
      </c>
      <c r="H892" s="67">
        <v>0</v>
      </c>
      <c r="I892" s="67">
        <v>7</v>
      </c>
      <c r="J892" s="67" t="s">
        <v>194</v>
      </c>
      <c r="K892" s="67" t="s">
        <v>99</v>
      </c>
      <c r="L892" s="67" t="s">
        <v>100</v>
      </c>
      <c r="M892" s="67" t="s">
        <v>100</v>
      </c>
      <c r="N892" s="70">
        <v>1</v>
      </c>
      <c r="O892" s="70">
        <v>23700</v>
      </c>
      <c r="P892" s="70"/>
      <c r="Q892" s="98">
        <v>77</v>
      </c>
      <c r="R892" s="70">
        <v>77</v>
      </c>
      <c r="S892" s="70">
        <v>0</v>
      </c>
    </row>
    <row r="893" spans="1:19" s="56" customFormat="1">
      <c r="A893" s="67" t="s">
        <v>614</v>
      </c>
      <c r="B893" s="68" t="s">
        <v>492</v>
      </c>
      <c r="C893" s="67" t="s">
        <v>184</v>
      </c>
      <c r="D893" s="67" t="s">
        <v>138</v>
      </c>
      <c r="E893" s="67" t="s">
        <v>139</v>
      </c>
      <c r="F893" s="67" t="s">
        <v>186</v>
      </c>
      <c r="G893" s="69" t="s">
        <v>184</v>
      </c>
      <c r="H893" s="67">
        <v>0</v>
      </c>
      <c r="I893" s="67">
        <v>8</v>
      </c>
      <c r="J893" s="67" t="s">
        <v>617</v>
      </c>
      <c r="K893" s="67" t="s">
        <v>618</v>
      </c>
      <c r="L893" s="67" t="s">
        <v>87</v>
      </c>
      <c r="M893" s="67" t="s">
        <v>87</v>
      </c>
      <c r="N893" s="70">
        <v>1</v>
      </c>
      <c r="O893" s="70">
        <v>1</v>
      </c>
      <c r="P893" s="70"/>
      <c r="Q893" s="98">
        <v>1</v>
      </c>
      <c r="R893" s="70">
        <v>1</v>
      </c>
      <c r="S893" s="70">
        <v>0</v>
      </c>
    </row>
    <row r="894" spans="1:19" s="56" customFormat="1">
      <c r="A894" s="67" t="s">
        <v>614</v>
      </c>
      <c r="B894" s="68" t="s">
        <v>492</v>
      </c>
      <c r="C894" s="67" t="s">
        <v>184</v>
      </c>
      <c r="D894" s="67" t="s">
        <v>138</v>
      </c>
      <c r="E894" s="67" t="s">
        <v>139</v>
      </c>
      <c r="F894" s="67" t="s">
        <v>187</v>
      </c>
      <c r="G894" s="69" t="s">
        <v>184</v>
      </c>
      <c r="H894" s="67">
        <v>0</v>
      </c>
      <c r="I894" s="67">
        <v>9</v>
      </c>
      <c r="J894" s="67" t="s">
        <v>619</v>
      </c>
      <c r="K894" s="67" t="s">
        <v>620</v>
      </c>
      <c r="L894" s="67" t="s">
        <v>87</v>
      </c>
      <c r="M894" s="67" t="s">
        <v>87</v>
      </c>
      <c r="N894" s="70">
        <v>1</v>
      </c>
      <c r="O894" s="70">
        <v>1</v>
      </c>
      <c r="P894" s="70"/>
      <c r="Q894" s="98">
        <v>2</v>
      </c>
      <c r="R894" s="70">
        <v>2</v>
      </c>
      <c r="S894" s="70">
        <v>0</v>
      </c>
    </row>
    <row r="895" spans="1:19" s="56" customFormat="1">
      <c r="A895" s="67" t="s">
        <v>614</v>
      </c>
      <c r="B895" s="68" t="s">
        <v>492</v>
      </c>
      <c r="C895" s="67" t="s">
        <v>184</v>
      </c>
      <c r="D895" s="67" t="s">
        <v>138</v>
      </c>
      <c r="E895" s="67" t="s">
        <v>139</v>
      </c>
      <c r="F895" s="67" t="s">
        <v>187</v>
      </c>
      <c r="G895" s="69" t="s">
        <v>184</v>
      </c>
      <c r="H895" s="67">
        <v>0</v>
      </c>
      <c r="I895" s="67">
        <v>10</v>
      </c>
      <c r="J895" s="67" t="s">
        <v>621</v>
      </c>
      <c r="K895" s="67" t="s">
        <v>622</v>
      </c>
      <c r="L895" s="67" t="s">
        <v>87</v>
      </c>
      <c r="M895" s="67" t="s">
        <v>87</v>
      </c>
      <c r="N895" s="70">
        <v>1</v>
      </c>
      <c r="O895" s="70">
        <v>1</v>
      </c>
      <c r="P895" s="70"/>
      <c r="Q895" s="98">
        <v>2</v>
      </c>
      <c r="R895" s="70">
        <v>2</v>
      </c>
      <c r="S895" s="70">
        <v>0</v>
      </c>
    </row>
    <row r="896" spans="1:19" s="56" customFormat="1">
      <c r="A896" s="67" t="s">
        <v>614</v>
      </c>
      <c r="B896" s="68" t="s">
        <v>492</v>
      </c>
      <c r="C896" s="67" t="s">
        <v>184</v>
      </c>
      <c r="D896" s="67" t="s">
        <v>138</v>
      </c>
      <c r="E896" s="67" t="s">
        <v>139</v>
      </c>
      <c r="F896" s="67" t="s">
        <v>187</v>
      </c>
      <c r="G896" s="69" t="s">
        <v>184</v>
      </c>
      <c r="H896" s="67">
        <v>0</v>
      </c>
      <c r="I896" s="67">
        <v>11</v>
      </c>
      <c r="J896" s="67" t="s">
        <v>266</v>
      </c>
      <c r="K896" s="67" t="s">
        <v>96</v>
      </c>
      <c r="L896" s="67" t="s">
        <v>97</v>
      </c>
      <c r="M896" s="67" t="s">
        <v>97</v>
      </c>
      <c r="N896" s="70">
        <v>1</v>
      </c>
      <c r="O896" s="70">
        <v>1</v>
      </c>
      <c r="P896" s="70"/>
      <c r="Q896" s="98">
        <v>6</v>
      </c>
      <c r="R896" s="70">
        <v>6</v>
      </c>
      <c r="S896" s="70">
        <v>0</v>
      </c>
    </row>
    <row r="897" spans="1:19" s="56" customFormat="1">
      <c r="A897" s="67" t="s">
        <v>614</v>
      </c>
      <c r="B897" s="68" t="s">
        <v>492</v>
      </c>
      <c r="C897" s="67" t="s">
        <v>184</v>
      </c>
      <c r="D897" s="67" t="s">
        <v>138</v>
      </c>
      <c r="E897" s="67" t="s">
        <v>139</v>
      </c>
      <c r="F897" s="67" t="s">
        <v>186</v>
      </c>
      <c r="G897" s="69" t="s">
        <v>184</v>
      </c>
      <c r="H897" s="67">
        <v>0</v>
      </c>
      <c r="I897" s="67">
        <v>12</v>
      </c>
      <c r="J897" s="67" t="s">
        <v>623</v>
      </c>
      <c r="K897" s="67" t="s">
        <v>624</v>
      </c>
      <c r="L897" s="67" t="s">
        <v>87</v>
      </c>
      <c r="M897" s="67" t="s">
        <v>87</v>
      </c>
      <c r="N897" s="70">
        <v>1</v>
      </c>
      <c r="O897" s="70">
        <v>1</v>
      </c>
      <c r="P897" s="70"/>
      <c r="Q897" s="98">
        <v>1</v>
      </c>
      <c r="R897" s="70">
        <v>1</v>
      </c>
      <c r="S897" s="70">
        <v>0</v>
      </c>
    </row>
    <row r="898" spans="1:19" s="56" customFormat="1">
      <c r="A898" s="67" t="s">
        <v>614</v>
      </c>
      <c r="B898" s="68" t="s">
        <v>492</v>
      </c>
      <c r="C898" s="67" t="s">
        <v>184</v>
      </c>
      <c r="D898" s="67" t="s">
        <v>138</v>
      </c>
      <c r="E898" s="67" t="s">
        <v>139</v>
      </c>
      <c r="F898" s="67" t="s">
        <v>186</v>
      </c>
      <c r="G898" s="69" t="s">
        <v>184</v>
      </c>
      <c r="H898" s="67">
        <v>0</v>
      </c>
      <c r="I898" s="67">
        <v>13</v>
      </c>
      <c r="J898" s="67" t="s">
        <v>625</v>
      </c>
      <c r="K898" s="67" t="s">
        <v>626</v>
      </c>
      <c r="L898" s="67" t="s">
        <v>87</v>
      </c>
      <c r="M898" s="67" t="s">
        <v>87</v>
      </c>
      <c r="N898" s="70">
        <v>1</v>
      </c>
      <c r="O898" s="70">
        <v>1</v>
      </c>
      <c r="P898" s="70"/>
      <c r="Q898" s="98">
        <v>1</v>
      </c>
      <c r="R898" s="70">
        <v>1</v>
      </c>
      <c r="S898" s="70">
        <v>0</v>
      </c>
    </row>
    <row r="899" spans="1:19" s="56" customFormat="1">
      <c r="A899" s="67" t="s">
        <v>614</v>
      </c>
      <c r="B899" s="68" t="s">
        <v>492</v>
      </c>
      <c r="C899" s="67" t="s">
        <v>184</v>
      </c>
      <c r="D899" s="67" t="s">
        <v>138</v>
      </c>
      <c r="E899" s="67" t="s">
        <v>139</v>
      </c>
      <c r="F899" s="67" t="s">
        <v>186</v>
      </c>
      <c r="G899" s="69" t="s">
        <v>184</v>
      </c>
      <c r="H899" s="67">
        <v>0</v>
      </c>
      <c r="I899" s="67">
        <v>14</v>
      </c>
      <c r="J899" s="67" t="s">
        <v>627</v>
      </c>
      <c r="K899" s="67" t="s">
        <v>628</v>
      </c>
      <c r="L899" s="67" t="s">
        <v>87</v>
      </c>
      <c r="M899" s="67" t="s">
        <v>87</v>
      </c>
      <c r="N899" s="70">
        <v>1</v>
      </c>
      <c r="O899" s="70">
        <v>1</v>
      </c>
      <c r="P899" s="70"/>
      <c r="Q899" s="98">
        <v>1</v>
      </c>
      <c r="R899" s="70">
        <v>1</v>
      </c>
      <c r="S899" s="70">
        <v>0</v>
      </c>
    </row>
    <row r="900" spans="1:19" s="56" customFormat="1">
      <c r="A900" s="67" t="s">
        <v>614</v>
      </c>
      <c r="B900" s="68" t="s">
        <v>492</v>
      </c>
      <c r="C900" s="67" t="s">
        <v>184</v>
      </c>
      <c r="D900" s="67" t="s">
        <v>138</v>
      </c>
      <c r="E900" s="67" t="s">
        <v>139</v>
      </c>
      <c r="F900" s="67" t="s">
        <v>186</v>
      </c>
      <c r="G900" s="69" t="s">
        <v>184</v>
      </c>
      <c r="H900" s="67">
        <v>0</v>
      </c>
      <c r="I900" s="67">
        <v>15</v>
      </c>
      <c r="J900" s="67" t="s">
        <v>451</v>
      </c>
      <c r="K900" s="67" t="s">
        <v>452</v>
      </c>
      <c r="L900" s="67" t="s">
        <v>279</v>
      </c>
      <c r="M900" s="67" t="s">
        <v>279</v>
      </c>
      <c r="N900" s="70">
        <v>1</v>
      </c>
      <c r="O900" s="70">
        <v>1</v>
      </c>
      <c r="P900" s="70"/>
      <c r="Q900" s="98">
        <v>1</v>
      </c>
      <c r="R900" s="70">
        <v>1</v>
      </c>
      <c r="S900" s="70">
        <v>0</v>
      </c>
    </row>
    <row r="901" spans="1:19" s="56" customFormat="1">
      <c r="A901" s="67" t="s">
        <v>614</v>
      </c>
      <c r="B901" s="68" t="s">
        <v>492</v>
      </c>
      <c r="C901" s="67" t="s">
        <v>184</v>
      </c>
      <c r="D901" s="67" t="s">
        <v>138</v>
      </c>
      <c r="E901" s="67" t="s">
        <v>139</v>
      </c>
      <c r="F901" s="67" t="s">
        <v>186</v>
      </c>
      <c r="G901" s="69" t="s">
        <v>184</v>
      </c>
      <c r="H901" s="67">
        <v>0</v>
      </c>
      <c r="I901" s="67">
        <v>16</v>
      </c>
      <c r="J901" s="67" t="s">
        <v>629</v>
      </c>
      <c r="K901" s="67" t="s">
        <v>630</v>
      </c>
      <c r="L901" s="67" t="s">
        <v>94</v>
      </c>
      <c r="M901" s="67" t="s">
        <v>94</v>
      </c>
      <c r="N901" s="70">
        <v>1</v>
      </c>
      <c r="O901" s="70">
        <v>1</v>
      </c>
      <c r="P901" s="70"/>
      <c r="Q901" s="98">
        <v>1</v>
      </c>
      <c r="R901" s="70">
        <v>1</v>
      </c>
      <c r="S901" s="70">
        <v>0</v>
      </c>
    </row>
    <row r="902" spans="1:19" s="56" customFormat="1">
      <c r="A902" s="67" t="s">
        <v>614</v>
      </c>
      <c r="B902" s="68" t="s">
        <v>492</v>
      </c>
      <c r="C902" s="67" t="s">
        <v>184</v>
      </c>
      <c r="D902" s="67" t="s">
        <v>138</v>
      </c>
      <c r="E902" s="67" t="s">
        <v>139</v>
      </c>
      <c r="F902" s="67" t="s">
        <v>186</v>
      </c>
      <c r="G902" s="69" t="s">
        <v>184</v>
      </c>
      <c r="H902" s="67">
        <v>0</v>
      </c>
      <c r="I902" s="67">
        <v>17</v>
      </c>
      <c r="J902" s="67" t="s">
        <v>631</v>
      </c>
      <c r="K902" s="67" t="s">
        <v>632</v>
      </c>
      <c r="L902" s="67" t="s">
        <v>95</v>
      </c>
      <c r="M902" s="67" t="s">
        <v>95</v>
      </c>
      <c r="N902" s="70">
        <v>1</v>
      </c>
      <c r="O902" s="70">
        <v>1</v>
      </c>
      <c r="P902" s="70"/>
      <c r="Q902" s="98">
        <v>1</v>
      </c>
      <c r="R902" s="70">
        <v>1</v>
      </c>
      <c r="S902" s="70">
        <v>0</v>
      </c>
    </row>
    <row r="903" spans="1:19" s="56" customFormat="1">
      <c r="A903" s="67" t="s">
        <v>614</v>
      </c>
      <c r="B903" s="68" t="s">
        <v>492</v>
      </c>
      <c r="C903" s="67" t="s">
        <v>184</v>
      </c>
      <c r="D903" s="67" t="s">
        <v>138</v>
      </c>
      <c r="E903" s="67" t="s">
        <v>139</v>
      </c>
      <c r="F903" s="67" t="s">
        <v>186</v>
      </c>
      <c r="G903" s="69" t="s">
        <v>184</v>
      </c>
      <c r="H903" s="67">
        <v>0</v>
      </c>
      <c r="I903" s="67">
        <v>18</v>
      </c>
      <c r="J903" s="67" t="s">
        <v>387</v>
      </c>
      <c r="K903" s="67" t="s">
        <v>388</v>
      </c>
      <c r="L903" s="67" t="s">
        <v>88</v>
      </c>
      <c r="M903" s="67" t="s">
        <v>88</v>
      </c>
      <c r="N903" s="70">
        <v>1</v>
      </c>
      <c r="O903" s="70">
        <v>1</v>
      </c>
      <c r="P903" s="70"/>
      <c r="Q903" s="98">
        <v>8</v>
      </c>
      <c r="R903" s="70">
        <v>8</v>
      </c>
      <c r="S903" s="70">
        <v>0</v>
      </c>
    </row>
    <row r="904" spans="1:19" s="56" customFormat="1">
      <c r="A904" s="67" t="s">
        <v>614</v>
      </c>
      <c r="B904" s="68" t="s">
        <v>492</v>
      </c>
      <c r="C904" s="67" t="s">
        <v>184</v>
      </c>
      <c r="D904" s="67" t="s">
        <v>138</v>
      </c>
      <c r="E904" s="67" t="s">
        <v>139</v>
      </c>
      <c r="F904" s="67" t="s">
        <v>186</v>
      </c>
      <c r="G904" s="69" t="s">
        <v>184</v>
      </c>
      <c r="H904" s="67">
        <v>0</v>
      </c>
      <c r="I904" s="67">
        <v>19</v>
      </c>
      <c r="J904" s="67" t="s">
        <v>322</v>
      </c>
      <c r="K904" s="67" t="s">
        <v>312</v>
      </c>
      <c r="L904" s="67" t="s">
        <v>87</v>
      </c>
      <c r="M904" s="67" t="s">
        <v>87</v>
      </c>
      <c r="N904" s="70">
        <v>1</v>
      </c>
      <c r="O904" s="70">
        <v>1</v>
      </c>
      <c r="P904" s="70"/>
      <c r="Q904" s="98">
        <v>8</v>
      </c>
      <c r="R904" s="70">
        <v>8</v>
      </c>
      <c r="S904" s="70">
        <v>0</v>
      </c>
    </row>
    <row r="905" spans="1:19" s="56" customFormat="1">
      <c r="A905" s="67" t="s">
        <v>614</v>
      </c>
      <c r="B905" s="68" t="s">
        <v>492</v>
      </c>
      <c r="C905" s="67" t="s">
        <v>184</v>
      </c>
      <c r="D905" s="67" t="s">
        <v>138</v>
      </c>
      <c r="E905" s="67" t="s">
        <v>139</v>
      </c>
      <c r="F905" s="67" t="s">
        <v>159</v>
      </c>
      <c r="G905" s="69" t="s">
        <v>184</v>
      </c>
      <c r="H905" s="67">
        <v>0</v>
      </c>
      <c r="I905" s="67">
        <v>20</v>
      </c>
      <c r="J905" s="67" t="s">
        <v>353</v>
      </c>
      <c r="K905" s="67" t="s">
        <v>354</v>
      </c>
      <c r="L905" s="67" t="s">
        <v>94</v>
      </c>
      <c r="M905" s="67" t="s">
        <v>94</v>
      </c>
      <c r="N905" s="70">
        <v>1</v>
      </c>
      <c r="O905" s="70">
        <v>1</v>
      </c>
      <c r="P905" s="70"/>
      <c r="Q905" s="98">
        <v>4</v>
      </c>
      <c r="R905" s="70">
        <v>4</v>
      </c>
      <c r="S905" s="70">
        <v>0</v>
      </c>
    </row>
    <row r="906" spans="1:19" s="56" customFormat="1">
      <c r="A906" s="67" t="s">
        <v>614</v>
      </c>
      <c r="B906" s="68" t="s">
        <v>492</v>
      </c>
      <c r="C906" s="67" t="s">
        <v>184</v>
      </c>
      <c r="D906" s="67" t="s">
        <v>138</v>
      </c>
      <c r="E906" s="67" t="s">
        <v>139</v>
      </c>
      <c r="F906" s="67" t="s">
        <v>186</v>
      </c>
      <c r="G906" s="69" t="s">
        <v>184</v>
      </c>
      <c r="H906" s="67">
        <v>0</v>
      </c>
      <c r="I906" s="67">
        <v>21</v>
      </c>
      <c r="J906" s="67" t="s">
        <v>191</v>
      </c>
      <c r="K906" s="67" t="s">
        <v>192</v>
      </c>
      <c r="L906" s="67" t="s">
        <v>87</v>
      </c>
      <c r="M906" s="67" t="s">
        <v>87</v>
      </c>
      <c r="N906" s="70">
        <v>1</v>
      </c>
      <c r="O906" s="70">
        <v>1</v>
      </c>
      <c r="P906" s="70"/>
      <c r="Q906" s="98">
        <v>1</v>
      </c>
      <c r="R906" s="70">
        <v>1</v>
      </c>
      <c r="S906" s="70">
        <v>0</v>
      </c>
    </row>
    <row r="907" spans="1:19" s="56" customFormat="1">
      <c r="A907" s="67" t="s">
        <v>614</v>
      </c>
      <c r="B907" s="68" t="s">
        <v>492</v>
      </c>
      <c r="C907" s="67" t="s">
        <v>184</v>
      </c>
      <c r="D907" s="67" t="s">
        <v>138</v>
      </c>
      <c r="E907" s="67" t="s">
        <v>139</v>
      </c>
      <c r="F907" s="67" t="s">
        <v>186</v>
      </c>
      <c r="G907" s="69" t="s">
        <v>184</v>
      </c>
      <c r="H907" s="67">
        <v>0</v>
      </c>
      <c r="I907" s="67">
        <v>22</v>
      </c>
      <c r="J907" s="67" t="s">
        <v>291</v>
      </c>
      <c r="K907" s="67" t="s">
        <v>292</v>
      </c>
      <c r="L907" s="67" t="s">
        <v>87</v>
      </c>
      <c r="M907" s="67" t="s">
        <v>87</v>
      </c>
      <c r="N907" s="70">
        <v>1</v>
      </c>
      <c r="O907" s="70">
        <v>1</v>
      </c>
      <c r="P907" s="70"/>
      <c r="Q907" s="98">
        <v>1</v>
      </c>
      <c r="R907" s="70">
        <v>1</v>
      </c>
      <c r="S907" s="70">
        <v>0</v>
      </c>
    </row>
    <row r="908" spans="1:19" s="56" customFormat="1">
      <c r="A908" s="67" t="s">
        <v>614</v>
      </c>
      <c r="B908" s="68" t="s">
        <v>492</v>
      </c>
      <c r="C908" s="67" t="s">
        <v>184</v>
      </c>
      <c r="D908" s="67" t="s">
        <v>138</v>
      </c>
      <c r="E908" s="67" t="s">
        <v>139</v>
      </c>
      <c r="F908" s="67" t="s">
        <v>187</v>
      </c>
      <c r="G908" s="69" t="s">
        <v>184</v>
      </c>
      <c r="H908" s="67">
        <v>0</v>
      </c>
      <c r="I908" s="67">
        <v>24</v>
      </c>
      <c r="J908" s="67" t="s">
        <v>200</v>
      </c>
      <c r="K908" s="67" t="s">
        <v>201</v>
      </c>
      <c r="L908" s="67" t="s">
        <v>3</v>
      </c>
      <c r="M908" s="67" t="s">
        <v>142</v>
      </c>
      <c r="N908" s="70">
        <v>1000</v>
      </c>
      <c r="O908" s="70">
        <v>26.5</v>
      </c>
      <c r="P908" s="70"/>
      <c r="Q908" s="98">
        <v>23700</v>
      </c>
      <c r="R908" s="70">
        <v>23</v>
      </c>
      <c r="S908" s="70">
        <v>700</v>
      </c>
    </row>
    <row r="909" spans="1:19" s="56" customFormat="1">
      <c r="A909" s="67" t="s">
        <v>614</v>
      </c>
      <c r="B909" s="68" t="s">
        <v>492</v>
      </c>
      <c r="C909" s="67" t="s">
        <v>184</v>
      </c>
      <c r="D909" s="67" t="s">
        <v>138</v>
      </c>
      <c r="E909" s="67" t="s">
        <v>139</v>
      </c>
      <c r="F909" s="67" t="s">
        <v>187</v>
      </c>
      <c r="G909" s="69" t="s">
        <v>184</v>
      </c>
      <c r="H909" s="67">
        <v>0</v>
      </c>
      <c r="I909" s="67">
        <v>25</v>
      </c>
      <c r="J909" s="67" t="s">
        <v>633</v>
      </c>
      <c r="K909" s="67" t="s">
        <v>634</v>
      </c>
      <c r="L909" s="67" t="s">
        <v>3</v>
      </c>
      <c r="M909" s="67" t="s">
        <v>142</v>
      </c>
      <c r="N909" s="70">
        <v>1000</v>
      </c>
      <c r="O909" s="70">
        <v>1E-3</v>
      </c>
      <c r="P909" s="70"/>
      <c r="Q909" s="98">
        <v>25000</v>
      </c>
      <c r="R909" s="70">
        <v>25</v>
      </c>
      <c r="S909" s="70">
        <v>0</v>
      </c>
    </row>
    <row r="910" spans="1:19" s="56" customFormat="1">
      <c r="A910" s="67" t="s">
        <v>614</v>
      </c>
      <c r="B910" s="68" t="s">
        <v>492</v>
      </c>
      <c r="C910" s="67" t="s">
        <v>184</v>
      </c>
      <c r="D910" s="67" t="s">
        <v>138</v>
      </c>
      <c r="E910" s="67" t="s">
        <v>139</v>
      </c>
      <c r="F910" s="67" t="s">
        <v>186</v>
      </c>
      <c r="G910" s="69" t="s">
        <v>184</v>
      </c>
      <c r="H910" s="67">
        <v>0</v>
      </c>
      <c r="I910" s="67">
        <v>26</v>
      </c>
      <c r="J910" s="67" t="s">
        <v>635</v>
      </c>
      <c r="K910" s="67" t="s">
        <v>636</v>
      </c>
      <c r="L910" s="67" t="s">
        <v>87</v>
      </c>
      <c r="M910" s="67" t="s">
        <v>87</v>
      </c>
      <c r="N910" s="70">
        <v>1</v>
      </c>
      <c r="O910" s="70">
        <v>1</v>
      </c>
      <c r="P910" s="70"/>
      <c r="Q910" s="98">
        <v>1</v>
      </c>
      <c r="R910" s="70">
        <v>1</v>
      </c>
      <c r="S910" s="70">
        <v>0</v>
      </c>
    </row>
    <row r="911" spans="1:19" s="56" customFormat="1">
      <c r="A911" s="67" t="s">
        <v>614</v>
      </c>
      <c r="B911" s="68" t="s">
        <v>492</v>
      </c>
      <c r="C911" s="67" t="s">
        <v>184</v>
      </c>
      <c r="D911" s="67" t="s">
        <v>138</v>
      </c>
      <c r="E911" s="67" t="s">
        <v>139</v>
      </c>
      <c r="F911" s="67" t="s">
        <v>186</v>
      </c>
      <c r="G911" s="69" t="s">
        <v>184</v>
      </c>
      <c r="H911" s="67">
        <v>0</v>
      </c>
      <c r="I911" s="67">
        <v>27</v>
      </c>
      <c r="J911" s="67" t="s">
        <v>637</v>
      </c>
      <c r="K911" s="67" t="s">
        <v>638</v>
      </c>
      <c r="L911" s="67" t="s">
        <v>87</v>
      </c>
      <c r="M911" s="67" t="s">
        <v>87</v>
      </c>
      <c r="N911" s="70">
        <v>1</v>
      </c>
      <c r="O911" s="70">
        <v>1</v>
      </c>
      <c r="P911" s="70"/>
      <c r="Q911" s="98">
        <v>3</v>
      </c>
      <c r="R911" s="70">
        <v>3</v>
      </c>
      <c r="S911" s="70">
        <v>0</v>
      </c>
    </row>
    <row r="912" spans="1:19" s="56" customFormat="1">
      <c r="A912" s="67" t="s">
        <v>614</v>
      </c>
      <c r="B912" s="68" t="s">
        <v>492</v>
      </c>
      <c r="C912" s="67" t="s">
        <v>184</v>
      </c>
      <c r="D912" s="67" t="s">
        <v>138</v>
      </c>
      <c r="E912" s="67" t="s">
        <v>139</v>
      </c>
      <c r="F912" s="67" t="s">
        <v>186</v>
      </c>
      <c r="G912" s="69" t="s">
        <v>184</v>
      </c>
      <c r="H912" s="67">
        <v>0</v>
      </c>
      <c r="I912" s="67">
        <v>28</v>
      </c>
      <c r="J912" s="67" t="s">
        <v>639</v>
      </c>
      <c r="K912" s="67" t="s">
        <v>640</v>
      </c>
      <c r="L912" s="67" t="s">
        <v>87</v>
      </c>
      <c r="M912" s="67" t="s">
        <v>87</v>
      </c>
      <c r="N912" s="70">
        <v>1</v>
      </c>
      <c r="O912" s="70">
        <v>1</v>
      </c>
      <c r="P912" s="70"/>
      <c r="Q912" s="98">
        <v>1</v>
      </c>
      <c r="R912" s="70">
        <v>1</v>
      </c>
      <c r="S912" s="70">
        <v>0</v>
      </c>
    </row>
    <row r="913" spans="1:19" s="56" customFormat="1">
      <c r="A913" s="67" t="s">
        <v>614</v>
      </c>
      <c r="B913" s="68" t="s">
        <v>492</v>
      </c>
      <c r="C913" s="67" t="s">
        <v>184</v>
      </c>
      <c r="D913" s="67" t="s">
        <v>138</v>
      </c>
      <c r="E913" s="67" t="s">
        <v>139</v>
      </c>
      <c r="F913" s="67" t="s">
        <v>156</v>
      </c>
      <c r="G913" s="69" t="s">
        <v>184</v>
      </c>
      <c r="H913" s="67">
        <v>0</v>
      </c>
      <c r="I913" s="67">
        <v>29</v>
      </c>
      <c r="J913" s="67" t="s">
        <v>347</v>
      </c>
      <c r="K913" s="67" t="s">
        <v>348</v>
      </c>
      <c r="L913" s="67" t="s">
        <v>87</v>
      </c>
      <c r="M913" s="67" t="s">
        <v>87</v>
      </c>
      <c r="N913" s="70">
        <v>1</v>
      </c>
      <c r="O913" s="70">
        <v>1</v>
      </c>
      <c r="P913" s="70"/>
      <c r="Q913" s="98">
        <v>1</v>
      </c>
      <c r="R913" s="70">
        <v>1</v>
      </c>
      <c r="S913" s="70">
        <v>0</v>
      </c>
    </row>
    <row r="914" spans="1:19" s="56" customFormat="1">
      <c r="A914" s="67" t="s">
        <v>614</v>
      </c>
      <c r="B914" s="68" t="s">
        <v>492</v>
      </c>
      <c r="C914" s="67" t="s">
        <v>184</v>
      </c>
      <c r="D914" s="67" t="s">
        <v>138</v>
      </c>
      <c r="E914" s="67" t="s">
        <v>139</v>
      </c>
      <c r="F914" s="67" t="s">
        <v>159</v>
      </c>
      <c r="G914" s="69" t="s">
        <v>184</v>
      </c>
      <c r="H914" s="67">
        <v>0</v>
      </c>
      <c r="I914" s="67">
        <v>30</v>
      </c>
      <c r="J914" s="67" t="s">
        <v>351</v>
      </c>
      <c r="K914" s="67" t="s">
        <v>352</v>
      </c>
      <c r="L914" s="67" t="s">
        <v>87</v>
      </c>
      <c r="M914" s="67" t="s">
        <v>87</v>
      </c>
      <c r="N914" s="70">
        <v>1</v>
      </c>
      <c r="O914" s="70">
        <v>1</v>
      </c>
      <c r="P914" s="70"/>
      <c r="Q914" s="98">
        <v>2</v>
      </c>
      <c r="R914" s="70">
        <v>2</v>
      </c>
      <c r="S914" s="70">
        <v>0</v>
      </c>
    </row>
    <row r="915" spans="1:19" s="56" customFormat="1">
      <c r="A915" s="67" t="s">
        <v>614</v>
      </c>
      <c r="B915" s="68" t="s">
        <v>492</v>
      </c>
      <c r="C915" s="67" t="s">
        <v>184</v>
      </c>
      <c r="D915" s="67" t="s">
        <v>138</v>
      </c>
      <c r="E915" s="67" t="s">
        <v>139</v>
      </c>
      <c r="F915" s="67" t="s">
        <v>186</v>
      </c>
      <c r="G915" s="69" t="s">
        <v>184</v>
      </c>
      <c r="H915" s="67">
        <v>0</v>
      </c>
      <c r="I915" s="67">
        <v>31</v>
      </c>
      <c r="J915" s="67" t="s">
        <v>641</v>
      </c>
      <c r="K915" s="67" t="s">
        <v>642</v>
      </c>
      <c r="L915" s="67" t="s">
        <v>87</v>
      </c>
      <c r="M915" s="67" t="s">
        <v>87</v>
      </c>
      <c r="N915" s="70">
        <v>1</v>
      </c>
      <c r="O915" s="70">
        <v>1</v>
      </c>
      <c r="P915" s="70"/>
      <c r="Q915" s="98">
        <v>1</v>
      </c>
      <c r="R915" s="70">
        <v>1</v>
      </c>
      <c r="S915" s="70">
        <v>0</v>
      </c>
    </row>
    <row r="916" spans="1:19" s="56" customFormat="1">
      <c r="A916" s="67" t="s">
        <v>614</v>
      </c>
      <c r="B916" s="68" t="s">
        <v>492</v>
      </c>
      <c r="C916" s="67" t="s">
        <v>184</v>
      </c>
      <c r="D916" s="67" t="s">
        <v>138</v>
      </c>
      <c r="E916" s="67" t="s">
        <v>139</v>
      </c>
      <c r="F916" s="67" t="s">
        <v>186</v>
      </c>
      <c r="G916" s="69" t="s">
        <v>184</v>
      </c>
      <c r="H916" s="67">
        <v>0</v>
      </c>
      <c r="I916" s="67">
        <v>32</v>
      </c>
      <c r="J916" s="67" t="s">
        <v>188</v>
      </c>
      <c r="K916" s="67" t="s">
        <v>89</v>
      </c>
      <c r="L916" s="67" t="s">
        <v>87</v>
      </c>
      <c r="M916" s="67" t="s">
        <v>87</v>
      </c>
      <c r="N916" s="70">
        <v>1</v>
      </c>
      <c r="O916" s="70">
        <v>1</v>
      </c>
      <c r="P916" s="70"/>
      <c r="Q916" s="98">
        <v>3</v>
      </c>
      <c r="R916" s="70">
        <v>3</v>
      </c>
      <c r="S916" s="70">
        <v>0</v>
      </c>
    </row>
    <row r="917" spans="1:19" s="56" customFormat="1">
      <c r="A917" s="67" t="s">
        <v>643</v>
      </c>
      <c r="B917" s="68" t="s">
        <v>494</v>
      </c>
      <c r="C917" s="67" t="s">
        <v>184</v>
      </c>
      <c r="D917" s="67" t="s">
        <v>138</v>
      </c>
      <c r="E917" s="67" t="s">
        <v>139</v>
      </c>
      <c r="F917" s="67" t="s">
        <v>187</v>
      </c>
      <c r="G917" s="69" t="s">
        <v>184</v>
      </c>
      <c r="H917" s="67">
        <v>0</v>
      </c>
      <c r="I917" s="67">
        <v>1</v>
      </c>
      <c r="J917" s="67" t="s">
        <v>266</v>
      </c>
      <c r="K917" s="67" t="s">
        <v>96</v>
      </c>
      <c r="L917" s="67" t="s">
        <v>97</v>
      </c>
      <c r="M917" s="67" t="s">
        <v>97</v>
      </c>
      <c r="N917" s="70">
        <v>1</v>
      </c>
      <c r="O917" s="70">
        <v>1</v>
      </c>
      <c r="P917" s="70"/>
      <c r="Q917" s="98">
        <v>6</v>
      </c>
      <c r="R917" s="70">
        <v>6</v>
      </c>
      <c r="S917" s="70">
        <v>0</v>
      </c>
    </row>
    <row r="918" spans="1:19" s="56" customFormat="1">
      <c r="A918" s="67" t="s">
        <v>643</v>
      </c>
      <c r="B918" s="68" t="s">
        <v>494</v>
      </c>
      <c r="C918" s="67" t="s">
        <v>184</v>
      </c>
      <c r="D918" s="67" t="s">
        <v>138</v>
      </c>
      <c r="E918" s="67" t="s">
        <v>139</v>
      </c>
      <c r="F918" s="67" t="s">
        <v>166</v>
      </c>
      <c r="G918" s="69" t="s">
        <v>184</v>
      </c>
      <c r="H918" s="67">
        <v>0</v>
      </c>
      <c r="I918" s="67">
        <v>3</v>
      </c>
      <c r="J918" s="67" t="s">
        <v>194</v>
      </c>
      <c r="K918" s="67" t="s">
        <v>99</v>
      </c>
      <c r="L918" s="67" t="s">
        <v>100</v>
      </c>
      <c r="M918" s="67" t="s">
        <v>100</v>
      </c>
      <c r="N918" s="70">
        <v>1</v>
      </c>
      <c r="O918" s="70">
        <v>23700</v>
      </c>
      <c r="P918" s="70"/>
      <c r="Q918" s="98">
        <v>72</v>
      </c>
      <c r="R918" s="70">
        <v>72</v>
      </c>
      <c r="S918" s="70">
        <v>0</v>
      </c>
    </row>
    <row r="919" spans="1:19" s="56" customFormat="1">
      <c r="A919" s="67" t="s">
        <v>643</v>
      </c>
      <c r="B919" s="68" t="s">
        <v>494</v>
      </c>
      <c r="C919" s="67" t="s">
        <v>184</v>
      </c>
      <c r="D919" s="67" t="s">
        <v>138</v>
      </c>
      <c r="E919" s="67" t="s">
        <v>139</v>
      </c>
      <c r="F919" s="67" t="s">
        <v>186</v>
      </c>
      <c r="G919" s="69" t="s">
        <v>184</v>
      </c>
      <c r="H919" s="67">
        <v>0</v>
      </c>
      <c r="I919" s="67">
        <v>4</v>
      </c>
      <c r="J919" s="67" t="s">
        <v>445</v>
      </c>
      <c r="K919" s="67" t="s">
        <v>446</v>
      </c>
      <c r="L919" s="67" t="s">
        <v>87</v>
      </c>
      <c r="M919" s="67" t="s">
        <v>87</v>
      </c>
      <c r="N919" s="70">
        <v>1</v>
      </c>
      <c r="O919" s="70">
        <v>1</v>
      </c>
      <c r="P919" s="70"/>
      <c r="Q919" s="98">
        <v>16</v>
      </c>
      <c r="R919" s="70">
        <v>16</v>
      </c>
      <c r="S919" s="70">
        <v>0</v>
      </c>
    </row>
    <row r="920" spans="1:19" s="56" customFormat="1">
      <c r="A920" s="67" t="s">
        <v>643</v>
      </c>
      <c r="B920" s="68" t="s">
        <v>494</v>
      </c>
      <c r="C920" s="67" t="s">
        <v>184</v>
      </c>
      <c r="D920" s="67" t="s">
        <v>138</v>
      </c>
      <c r="E920" s="67" t="s">
        <v>139</v>
      </c>
      <c r="F920" s="67" t="s">
        <v>186</v>
      </c>
      <c r="G920" s="69" t="s">
        <v>184</v>
      </c>
      <c r="H920" s="67">
        <v>0</v>
      </c>
      <c r="I920" s="67">
        <v>5</v>
      </c>
      <c r="J920" s="67" t="s">
        <v>443</v>
      </c>
      <c r="K920" s="67" t="s">
        <v>444</v>
      </c>
      <c r="L920" s="67" t="s">
        <v>87</v>
      </c>
      <c r="M920" s="67" t="s">
        <v>87</v>
      </c>
      <c r="N920" s="70">
        <v>1</v>
      </c>
      <c r="O920" s="70">
        <v>1</v>
      </c>
      <c r="P920" s="70"/>
      <c r="Q920" s="98">
        <v>16</v>
      </c>
      <c r="R920" s="70">
        <v>16</v>
      </c>
      <c r="S920" s="70">
        <v>0</v>
      </c>
    </row>
    <row r="921" spans="1:19" s="56" customFormat="1">
      <c r="A921" s="67" t="s">
        <v>643</v>
      </c>
      <c r="B921" s="68" t="s">
        <v>494</v>
      </c>
      <c r="C921" s="67" t="s">
        <v>184</v>
      </c>
      <c r="D921" s="67" t="s">
        <v>138</v>
      </c>
      <c r="E921" s="67" t="s">
        <v>139</v>
      </c>
      <c r="F921" s="67" t="s">
        <v>186</v>
      </c>
      <c r="G921" s="69" t="s">
        <v>184</v>
      </c>
      <c r="H921" s="67">
        <v>0</v>
      </c>
      <c r="I921" s="67">
        <v>7</v>
      </c>
      <c r="J921" s="67" t="s">
        <v>188</v>
      </c>
      <c r="K921" s="67" t="s">
        <v>89</v>
      </c>
      <c r="L921" s="67" t="s">
        <v>87</v>
      </c>
      <c r="M921" s="67" t="s">
        <v>87</v>
      </c>
      <c r="N921" s="70">
        <v>1</v>
      </c>
      <c r="O921" s="70">
        <v>1</v>
      </c>
      <c r="P921" s="70"/>
      <c r="Q921" s="98">
        <v>5</v>
      </c>
      <c r="R921" s="70">
        <v>5</v>
      </c>
      <c r="S921" s="70">
        <v>0</v>
      </c>
    </row>
    <row r="922" spans="1:19" s="56" customFormat="1">
      <c r="A922" s="67" t="s">
        <v>643</v>
      </c>
      <c r="B922" s="68" t="s">
        <v>494</v>
      </c>
      <c r="C922" s="67" t="s">
        <v>184</v>
      </c>
      <c r="D922" s="67" t="s">
        <v>138</v>
      </c>
      <c r="E922" s="67" t="s">
        <v>139</v>
      </c>
      <c r="F922" s="67" t="s">
        <v>186</v>
      </c>
      <c r="G922" s="69" t="s">
        <v>184</v>
      </c>
      <c r="H922" s="67">
        <v>0</v>
      </c>
      <c r="I922" s="67">
        <v>8</v>
      </c>
      <c r="J922" s="67" t="s">
        <v>198</v>
      </c>
      <c r="K922" s="67" t="s">
        <v>199</v>
      </c>
      <c r="L922" s="67" t="s">
        <v>87</v>
      </c>
      <c r="M922" s="67" t="s">
        <v>87</v>
      </c>
      <c r="N922" s="70">
        <v>1</v>
      </c>
      <c r="O922" s="70">
        <v>13000</v>
      </c>
      <c r="P922" s="70"/>
      <c r="Q922" s="98">
        <v>2</v>
      </c>
      <c r="R922" s="70">
        <v>2</v>
      </c>
      <c r="S922" s="70">
        <v>0</v>
      </c>
    </row>
    <row r="923" spans="1:19" s="56" customFormat="1">
      <c r="A923" s="67" t="s">
        <v>643</v>
      </c>
      <c r="B923" s="68" t="s">
        <v>494</v>
      </c>
      <c r="C923" s="67" t="s">
        <v>184</v>
      </c>
      <c r="D923" s="67" t="s">
        <v>138</v>
      </c>
      <c r="E923" s="67" t="s">
        <v>139</v>
      </c>
      <c r="F923" s="67" t="s">
        <v>159</v>
      </c>
      <c r="G923" s="69" t="s">
        <v>184</v>
      </c>
      <c r="H923" s="67">
        <v>0</v>
      </c>
      <c r="I923" s="67">
        <v>9</v>
      </c>
      <c r="J923" s="67" t="s">
        <v>189</v>
      </c>
      <c r="K923" s="67" t="s">
        <v>190</v>
      </c>
      <c r="L923" s="67" t="s">
        <v>91</v>
      </c>
      <c r="M923" s="67" t="s">
        <v>91</v>
      </c>
      <c r="N923" s="70">
        <v>1</v>
      </c>
      <c r="O923" s="70">
        <v>1</v>
      </c>
      <c r="P923" s="70"/>
      <c r="Q923" s="98">
        <v>1</v>
      </c>
      <c r="R923" s="70">
        <v>1</v>
      </c>
      <c r="S923" s="70">
        <v>0</v>
      </c>
    </row>
    <row r="924" spans="1:19" s="56" customFormat="1">
      <c r="A924" s="67" t="s">
        <v>643</v>
      </c>
      <c r="B924" s="68" t="s">
        <v>494</v>
      </c>
      <c r="C924" s="67" t="s">
        <v>184</v>
      </c>
      <c r="D924" s="67" t="s">
        <v>138</v>
      </c>
      <c r="E924" s="67" t="s">
        <v>139</v>
      </c>
      <c r="F924" s="67" t="s">
        <v>186</v>
      </c>
      <c r="G924" s="69" t="s">
        <v>184</v>
      </c>
      <c r="H924" s="67">
        <v>0</v>
      </c>
      <c r="I924" s="67">
        <v>10</v>
      </c>
      <c r="J924" s="67" t="s">
        <v>644</v>
      </c>
      <c r="K924" s="67" t="s">
        <v>645</v>
      </c>
      <c r="L924" s="67" t="s">
        <v>87</v>
      </c>
      <c r="M924" s="67" t="s">
        <v>87</v>
      </c>
      <c r="N924" s="70">
        <v>1</v>
      </c>
      <c r="O924" s="70">
        <v>1</v>
      </c>
      <c r="P924" s="70"/>
      <c r="Q924" s="98">
        <v>75</v>
      </c>
      <c r="R924" s="70">
        <v>75</v>
      </c>
      <c r="S924" s="70">
        <v>0</v>
      </c>
    </row>
    <row r="925" spans="1:19" s="56" customFormat="1">
      <c r="A925" s="67" t="s">
        <v>643</v>
      </c>
      <c r="B925" s="68" t="s">
        <v>494</v>
      </c>
      <c r="C925" s="67" t="s">
        <v>184</v>
      </c>
      <c r="D925" s="67" t="s">
        <v>138</v>
      </c>
      <c r="E925" s="67" t="s">
        <v>139</v>
      </c>
      <c r="F925" s="67" t="s">
        <v>167</v>
      </c>
      <c r="G925" s="69" t="s">
        <v>184</v>
      </c>
      <c r="H925" s="67">
        <v>0</v>
      </c>
      <c r="I925" s="67">
        <v>11</v>
      </c>
      <c r="J925" s="67" t="s">
        <v>646</v>
      </c>
      <c r="K925" s="67" t="s">
        <v>647</v>
      </c>
      <c r="L925" s="67" t="s">
        <v>87</v>
      </c>
      <c r="M925" s="67" t="s">
        <v>87</v>
      </c>
      <c r="N925" s="70">
        <v>1</v>
      </c>
      <c r="O925" s="70">
        <v>1</v>
      </c>
      <c r="P925" s="70"/>
      <c r="Q925" s="98">
        <v>50</v>
      </c>
      <c r="R925" s="70">
        <v>50</v>
      </c>
      <c r="S925" s="70">
        <v>0</v>
      </c>
    </row>
    <row r="926" spans="1:19" s="56" customFormat="1">
      <c r="A926" s="67" t="s">
        <v>643</v>
      </c>
      <c r="B926" s="68" t="s">
        <v>494</v>
      </c>
      <c r="C926" s="67" t="s">
        <v>184</v>
      </c>
      <c r="D926" s="67" t="s">
        <v>138</v>
      </c>
      <c r="E926" s="67" t="s">
        <v>139</v>
      </c>
      <c r="F926" s="67" t="s">
        <v>167</v>
      </c>
      <c r="G926" s="69" t="s">
        <v>184</v>
      </c>
      <c r="H926" s="67">
        <v>0</v>
      </c>
      <c r="I926" s="67">
        <v>12</v>
      </c>
      <c r="J926" s="67" t="s">
        <v>185</v>
      </c>
      <c r="K926" s="67" t="s">
        <v>92</v>
      </c>
      <c r="L926" s="67" t="s">
        <v>88</v>
      </c>
      <c r="M926" s="67" t="s">
        <v>88</v>
      </c>
      <c r="N926" s="70">
        <v>1</v>
      </c>
      <c r="O926" s="70">
        <v>12500</v>
      </c>
      <c r="P926" s="70"/>
      <c r="Q926" s="98">
        <v>10</v>
      </c>
      <c r="R926" s="70">
        <v>10</v>
      </c>
      <c r="S926" s="70">
        <v>0</v>
      </c>
    </row>
    <row r="927" spans="1:19" s="56" customFormat="1">
      <c r="A927" s="67" t="s">
        <v>643</v>
      </c>
      <c r="B927" s="68" t="s">
        <v>494</v>
      </c>
      <c r="C927" s="67" t="s">
        <v>184</v>
      </c>
      <c r="D927" s="67" t="s">
        <v>138</v>
      </c>
      <c r="E927" s="67" t="s">
        <v>139</v>
      </c>
      <c r="F927" s="67" t="s">
        <v>159</v>
      </c>
      <c r="G927" s="69" t="s">
        <v>184</v>
      </c>
      <c r="H927" s="67">
        <v>0</v>
      </c>
      <c r="I927" s="67">
        <v>13</v>
      </c>
      <c r="J927" s="67" t="s">
        <v>648</v>
      </c>
      <c r="K927" s="67" t="s">
        <v>649</v>
      </c>
      <c r="L927" s="67" t="s">
        <v>87</v>
      </c>
      <c r="M927" s="67" t="s">
        <v>87</v>
      </c>
      <c r="N927" s="70">
        <v>1</v>
      </c>
      <c r="O927" s="70">
        <v>1</v>
      </c>
      <c r="P927" s="70"/>
      <c r="Q927" s="98">
        <v>3</v>
      </c>
      <c r="R927" s="70">
        <v>3</v>
      </c>
      <c r="S927" s="70">
        <v>0</v>
      </c>
    </row>
    <row r="928" spans="1:19" s="56" customFormat="1">
      <c r="A928" s="67" t="s">
        <v>643</v>
      </c>
      <c r="B928" s="68" t="s">
        <v>494</v>
      </c>
      <c r="C928" s="67" t="s">
        <v>184</v>
      </c>
      <c r="D928" s="67" t="s">
        <v>138</v>
      </c>
      <c r="E928" s="67" t="s">
        <v>139</v>
      </c>
      <c r="F928" s="67" t="s">
        <v>166</v>
      </c>
      <c r="G928" s="69" t="s">
        <v>184</v>
      </c>
      <c r="H928" s="67">
        <v>0</v>
      </c>
      <c r="I928" s="67">
        <v>14</v>
      </c>
      <c r="J928" s="67" t="s">
        <v>253</v>
      </c>
      <c r="K928" s="67" t="s">
        <v>254</v>
      </c>
      <c r="L928" s="67" t="s">
        <v>195</v>
      </c>
      <c r="M928" s="67" t="s">
        <v>195</v>
      </c>
      <c r="N928" s="70">
        <v>1</v>
      </c>
      <c r="O928" s="70">
        <v>1</v>
      </c>
      <c r="P928" s="70"/>
      <c r="Q928" s="98">
        <v>2</v>
      </c>
      <c r="R928" s="70">
        <v>2</v>
      </c>
      <c r="S928" s="70">
        <v>0</v>
      </c>
    </row>
    <row r="929" spans="1:19" s="56" customFormat="1">
      <c r="A929" s="67" t="s">
        <v>643</v>
      </c>
      <c r="B929" s="68" t="s">
        <v>494</v>
      </c>
      <c r="C929" s="67" t="s">
        <v>184</v>
      </c>
      <c r="D929" s="67" t="s">
        <v>138</v>
      </c>
      <c r="E929" s="67" t="s">
        <v>139</v>
      </c>
      <c r="F929" s="67" t="s">
        <v>186</v>
      </c>
      <c r="G929" s="69" t="s">
        <v>184</v>
      </c>
      <c r="H929" s="67">
        <v>0</v>
      </c>
      <c r="I929" s="67">
        <v>15</v>
      </c>
      <c r="J929" s="67" t="s">
        <v>650</v>
      </c>
      <c r="K929" s="67" t="s">
        <v>651</v>
      </c>
      <c r="L929" s="67" t="s">
        <v>87</v>
      </c>
      <c r="M929" s="67" t="s">
        <v>87</v>
      </c>
      <c r="N929" s="70">
        <v>1</v>
      </c>
      <c r="O929" s="70">
        <v>1</v>
      </c>
      <c r="P929" s="70"/>
      <c r="Q929" s="98">
        <v>2</v>
      </c>
      <c r="R929" s="70">
        <v>2</v>
      </c>
      <c r="S929" s="70">
        <v>0</v>
      </c>
    </row>
    <row r="930" spans="1:19" s="56" customFormat="1">
      <c r="A930" s="67" t="s">
        <v>652</v>
      </c>
      <c r="B930" s="68" t="s">
        <v>497</v>
      </c>
      <c r="C930" s="67" t="s">
        <v>184</v>
      </c>
      <c r="D930" s="67" t="s">
        <v>138</v>
      </c>
      <c r="E930" s="67" t="s">
        <v>139</v>
      </c>
      <c r="F930" s="67" t="s">
        <v>166</v>
      </c>
      <c r="G930" s="69" t="s">
        <v>184</v>
      </c>
      <c r="H930" s="67">
        <v>0</v>
      </c>
      <c r="I930" s="67">
        <v>1</v>
      </c>
      <c r="J930" s="67" t="s">
        <v>426</v>
      </c>
      <c r="K930" s="67" t="s">
        <v>427</v>
      </c>
      <c r="L930" s="67" t="s">
        <v>293</v>
      </c>
      <c r="M930" s="67" t="s">
        <v>293</v>
      </c>
      <c r="N930" s="70">
        <v>1</v>
      </c>
      <c r="O930" s="70">
        <v>1</v>
      </c>
      <c r="P930" s="70"/>
      <c r="Q930" s="98">
        <v>1</v>
      </c>
      <c r="R930" s="70">
        <v>1</v>
      </c>
      <c r="S930" s="70">
        <v>0</v>
      </c>
    </row>
    <row r="931" spans="1:19" s="56" customFormat="1">
      <c r="A931" s="67" t="s">
        <v>652</v>
      </c>
      <c r="B931" s="68" t="s">
        <v>497</v>
      </c>
      <c r="C931" s="67" t="s">
        <v>184</v>
      </c>
      <c r="D931" s="67" t="s">
        <v>138</v>
      </c>
      <c r="E931" s="67" t="s">
        <v>139</v>
      </c>
      <c r="F931" s="67" t="s">
        <v>186</v>
      </c>
      <c r="G931" s="69" t="s">
        <v>184</v>
      </c>
      <c r="H931" s="67">
        <v>0</v>
      </c>
      <c r="I931" s="67">
        <v>2</v>
      </c>
      <c r="J931" s="67" t="s">
        <v>287</v>
      </c>
      <c r="K931" s="67" t="s">
        <v>288</v>
      </c>
      <c r="L931" s="67" t="s">
        <v>88</v>
      </c>
      <c r="M931" s="67" t="s">
        <v>88</v>
      </c>
      <c r="N931" s="70">
        <v>1</v>
      </c>
      <c r="O931" s="70">
        <v>1</v>
      </c>
      <c r="P931" s="70"/>
      <c r="Q931" s="98">
        <v>2</v>
      </c>
      <c r="R931" s="70">
        <v>2</v>
      </c>
      <c r="S931" s="70">
        <v>0</v>
      </c>
    </row>
    <row r="932" spans="1:19" s="56" customFormat="1">
      <c r="A932" s="67" t="s">
        <v>652</v>
      </c>
      <c r="B932" s="68" t="s">
        <v>497</v>
      </c>
      <c r="C932" s="67" t="s">
        <v>184</v>
      </c>
      <c r="D932" s="67" t="s">
        <v>138</v>
      </c>
      <c r="E932" s="67" t="s">
        <v>139</v>
      </c>
      <c r="F932" s="67" t="s">
        <v>186</v>
      </c>
      <c r="G932" s="69" t="s">
        <v>184</v>
      </c>
      <c r="H932" s="67">
        <v>0</v>
      </c>
      <c r="I932" s="67">
        <v>3</v>
      </c>
      <c r="J932" s="67" t="s">
        <v>382</v>
      </c>
      <c r="K932" s="67" t="s">
        <v>383</v>
      </c>
      <c r="L932" s="67" t="s">
        <v>87</v>
      </c>
      <c r="M932" s="67" t="s">
        <v>87</v>
      </c>
      <c r="N932" s="70">
        <v>1</v>
      </c>
      <c r="O932" s="70">
        <v>12500</v>
      </c>
      <c r="P932" s="70"/>
      <c r="Q932" s="98">
        <v>1</v>
      </c>
      <c r="R932" s="70">
        <v>1</v>
      </c>
      <c r="S932" s="70">
        <v>0</v>
      </c>
    </row>
    <row r="933" spans="1:19" s="56" customFormat="1">
      <c r="A933" s="67" t="s">
        <v>652</v>
      </c>
      <c r="B933" s="68" t="s">
        <v>497</v>
      </c>
      <c r="C933" s="67" t="s">
        <v>184</v>
      </c>
      <c r="D933" s="67" t="s">
        <v>138</v>
      </c>
      <c r="E933" s="67" t="s">
        <v>139</v>
      </c>
      <c r="F933" s="67" t="s">
        <v>202</v>
      </c>
      <c r="G933" s="69" t="s">
        <v>184</v>
      </c>
      <c r="H933" s="67">
        <v>0</v>
      </c>
      <c r="I933" s="67">
        <v>4</v>
      </c>
      <c r="J933" s="67" t="s">
        <v>432</v>
      </c>
      <c r="K933" s="67" t="s">
        <v>433</v>
      </c>
      <c r="L933" s="67" t="s">
        <v>87</v>
      </c>
      <c r="M933" s="67" t="s">
        <v>87</v>
      </c>
      <c r="N933" s="70">
        <v>1</v>
      </c>
      <c r="O933" s="70">
        <v>1</v>
      </c>
      <c r="P933" s="70"/>
      <c r="Q933" s="98">
        <v>2</v>
      </c>
      <c r="R933" s="70">
        <v>2</v>
      </c>
      <c r="S933" s="70">
        <v>0</v>
      </c>
    </row>
    <row r="934" spans="1:19" s="56" customFormat="1">
      <c r="A934" s="67" t="s">
        <v>652</v>
      </c>
      <c r="B934" s="68" t="s">
        <v>497</v>
      </c>
      <c r="C934" s="67" t="s">
        <v>184</v>
      </c>
      <c r="D934" s="67" t="s">
        <v>138</v>
      </c>
      <c r="E934" s="67" t="s">
        <v>139</v>
      </c>
      <c r="F934" s="67" t="s">
        <v>186</v>
      </c>
      <c r="G934" s="69" t="s">
        <v>184</v>
      </c>
      <c r="H934" s="67">
        <v>0</v>
      </c>
      <c r="I934" s="67">
        <v>5</v>
      </c>
      <c r="J934" s="67" t="s">
        <v>188</v>
      </c>
      <c r="K934" s="67" t="s">
        <v>89</v>
      </c>
      <c r="L934" s="67" t="s">
        <v>87</v>
      </c>
      <c r="M934" s="67" t="s">
        <v>87</v>
      </c>
      <c r="N934" s="70">
        <v>1</v>
      </c>
      <c r="O934" s="70">
        <v>1</v>
      </c>
      <c r="P934" s="70"/>
      <c r="Q934" s="98">
        <v>5</v>
      </c>
      <c r="R934" s="70">
        <v>5</v>
      </c>
      <c r="S934" s="70">
        <v>0</v>
      </c>
    </row>
    <row r="935" spans="1:19" s="56" customFormat="1">
      <c r="A935" s="67" t="s">
        <v>652</v>
      </c>
      <c r="B935" s="68" t="s">
        <v>497</v>
      </c>
      <c r="C935" s="67" t="s">
        <v>184</v>
      </c>
      <c r="D935" s="67" t="s">
        <v>138</v>
      </c>
      <c r="E935" s="67" t="s">
        <v>139</v>
      </c>
      <c r="F935" s="67" t="s">
        <v>186</v>
      </c>
      <c r="G935" s="69" t="s">
        <v>184</v>
      </c>
      <c r="H935" s="67">
        <v>0</v>
      </c>
      <c r="I935" s="67">
        <v>6</v>
      </c>
      <c r="J935" s="67" t="s">
        <v>653</v>
      </c>
      <c r="K935" s="67" t="s">
        <v>654</v>
      </c>
      <c r="L935" s="67" t="s">
        <v>87</v>
      </c>
      <c r="M935" s="67" t="s">
        <v>87</v>
      </c>
      <c r="N935" s="70">
        <v>1</v>
      </c>
      <c r="O935" s="70">
        <v>1</v>
      </c>
      <c r="P935" s="70"/>
      <c r="Q935" s="98">
        <v>2</v>
      </c>
      <c r="R935" s="70">
        <v>2</v>
      </c>
      <c r="S935" s="70">
        <v>0</v>
      </c>
    </row>
    <row r="936" spans="1:19" s="56" customFormat="1">
      <c r="A936" s="67" t="s">
        <v>652</v>
      </c>
      <c r="B936" s="68" t="s">
        <v>497</v>
      </c>
      <c r="C936" s="67" t="s">
        <v>184</v>
      </c>
      <c r="D936" s="67" t="s">
        <v>138</v>
      </c>
      <c r="E936" s="67" t="s">
        <v>139</v>
      </c>
      <c r="F936" s="67" t="s">
        <v>186</v>
      </c>
      <c r="G936" s="69" t="s">
        <v>184</v>
      </c>
      <c r="H936" s="67">
        <v>0</v>
      </c>
      <c r="I936" s="67">
        <v>8</v>
      </c>
      <c r="J936" s="67" t="s">
        <v>641</v>
      </c>
      <c r="K936" s="67" t="s">
        <v>642</v>
      </c>
      <c r="L936" s="67" t="s">
        <v>87</v>
      </c>
      <c r="M936" s="67" t="s">
        <v>87</v>
      </c>
      <c r="N936" s="70">
        <v>1</v>
      </c>
      <c r="O936" s="70">
        <v>1</v>
      </c>
      <c r="P936" s="70"/>
      <c r="Q936" s="98">
        <v>1</v>
      </c>
      <c r="R936" s="70">
        <v>1</v>
      </c>
      <c r="S936" s="70">
        <v>0</v>
      </c>
    </row>
    <row r="937" spans="1:19" s="56" customFormat="1">
      <c r="A937" s="67" t="s">
        <v>652</v>
      </c>
      <c r="B937" s="68" t="s">
        <v>497</v>
      </c>
      <c r="C937" s="67" t="s">
        <v>184</v>
      </c>
      <c r="D937" s="67" t="s">
        <v>138</v>
      </c>
      <c r="E937" s="67" t="s">
        <v>139</v>
      </c>
      <c r="F937" s="67" t="s">
        <v>167</v>
      </c>
      <c r="G937" s="69" t="s">
        <v>184</v>
      </c>
      <c r="H937" s="67">
        <v>0</v>
      </c>
      <c r="I937" s="67">
        <v>9</v>
      </c>
      <c r="J937" s="67" t="s">
        <v>646</v>
      </c>
      <c r="K937" s="67" t="s">
        <v>647</v>
      </c>
      <c r="L937" s="67" t="s">
        <v>87</v>
      </c>
      <c r="M937" s="67" t="s">
        <v>87</v>
      </c>
      <c r="N937" s="70">
        <v>1</v>
      </c>
      <c r="O937" s="70">
        <v>1</v>
      </c>
      <c r="P937" s="70"/>
      <c r="Q937" s="98">
        <v>50</v>
      </c>
      <c r="R937" s="70">
        <v>50</v>
      </c>
      <c r="S937" s="70">
        <v>0</v>
      </c>
    </row>
    <row r="938" spans="1:19" s="56" customFormat="1">
      <c r="A938" s="67" t="s">
        <v>652</v>
      </c>
      <c r="B938" s="68" t="s">
        <v>497</v>
      </c>
      <c r="C938" s="67" t="s">
        <v>184</v>
      </c>
      <c r="D938" s="67" t="s">
        <v>138</v>
      </c>
      <c r="E938" s="67" t="s">
        <v>139</v>
      </c>
      <c r="F938" s="67" t="s">
        <v>186</v>
      </c>
      <c r="G938" s="69" t="s">
        <v>184</v>
      </c>
      <c r="H938" s="67">
        <v>0</v>
      </c>
      <c r="I938" s="67">
        <v>10</v>
      </c>
      <c r="J938" s="67" t="s">
        <v>644</v>
      </c>
      <c r="K938" s="67" t="s">
        <v>645</v>
      </c>
      <c r="L938" s="67" t="s">
        <v>87</v>
      </c>
      <c r="M938" s="67" t="s">
        <v>87</v>
      </c>
      <c r="N938" s="70">
        <v>1</v>
      </c>
      <c r="O938" s="70">
        <v>1</v>
      </c>
      <c r="P938" s="70"/>
      <c r="Q938" s="98">
        <v>100</v>
      </c>
      <c r="R938" s="70">
        <v>100</v>
      </c>
      <c r="S938" s="70">
        <v>0</v>
      </c>
    </row>
    <row r="939" spans="1:19" s="56" customFormat="1">
      <c r="A939" s="67" t="s">
        <v>655</v>
      </c>
      <c r="B939" s="68" t="s">
        <v>499</v>
      </c>
      <c r="C939" s="67" t="s">
        <v>184</v>
      </c>
      <c r="D939" s="67" t="s">
        <v>138</v>
      </c>
      <c r="E939" s="67" t="s">
        <v>139</v>
      </c>
      <c r="F939" s="67" t="s">
        <v>159</v>
      </c>
      <c r="G939" s="69" t="s">
        <v>184</v>
      </c>
      <c r="H939" s="67">
        <v>0</v>
      </c>
      <c r="I939" s="67">
        <v>1</v>
      </c>
      <c r="J939" s="67" t="s">
        <v>189</v>
      </c>
      <c r="K939" s="67" t="s">
        <v>190</v>
      </c>
      <c r="L939" s="67" t="s">
        <v>91</v>
      </c>
      <c r="M939" s="67" t="s">
        <v>91</v>
      </c>
      <c r="N939" s="70">
        <v>1</v>
      </c>
      <c r="O939" s="70">
        <v>1</v>
      </c>
      <c r="P939" s="70"/>
      <c r="Q939" s="98">
        <v>1</v>
      </c>
      <c r="R939" s="70">
        <v>1</v>
      </c>
      <c r="S939" s="70">
        <v>0</v>
      </c>
    </row>
    <row r="940" spans="1:19" s="56" customFormat="1">
      <c r="A940" s="67" t="s">
        <v>655</v>
      </c>
      <c r="B940" s="68" t="s">
        <v>499</v>
      </c>
      <c r="C940" s="67" t="s">
        <v>184</v>
      </c>
      <c r="D940" s="67" t="s">
        <v>138</v>
      </c>
      <c r="E940" s="67" t="s">
        <v>139</v>
      </c>
      <c r="F940" s="67" t="s">
        <v>186</v>
      </c>
      <c r="G940" s="69" t="s">
        <v>184</v>
      </c>
      <c r="H940" s="67">
        <v>0</v>
      </c>
      <c r="I940" s="67">
        <v>2</v>
      </c>
      <c r="J940" s="67" t="s">
        <v>617</v>
      </c>
      <c r="K940" s="67" t="s">
        <v>618</v>
      </c>
      <c r="L940" s="67" t="s">
        <v>87</v>
      </c>
      <c r="M940" s="67" t="s">
        <v>87</v>
      </c>
      <c r="N940" s="70">
        <v>1</v>
      </c>
      <c r="O940" s="70">
        <v>1</v>
      </c>
      <c r="P940" s="70"/>
      <c r="Q940" s="98">
        <v>1</v>
      </c>
      <c r="R940" s="70">
        <v>1</v>
      </c>
      <c r="S940" s="70">
        <v>0</v>
      </c>
    </row>
    <row r="941" spans="1:19" s="56" customFormat="1">
      <c r="A941" s="67" t="s">
        <v>655</v>
      </c>
      <c r="B941" s="68" t="s">
        <v>499</v>
      </c>
      <c r="C941" s="67" t="s">
        <v>184</v>
      </c>
      <c r="D941" s="67" t="s">
        <v>138</v>
      </c>
      <c r="E941" s="67" t="s">
        <v>139</v>
      </c>
      <c r="F941" s="67" t="s">
        <v>166</v>
      </c>
      <c r="G941" s="69" t="s">
        <v>184</v>
      </c>
      <c r="H941" s="67">
        <v>0</v>
      </c>
      <c r="I941" s="67">
        <v>3</v>
      </c>
      <c r="J941" s="67" t="s">
        <v>384</v>
      </c>
      <c r="K941" s="67" t="s">
        <v>385</v>
      </c>
      <c r="L941" s="67" t="s">
        <v>386</v>
      </c>
      <c r="M941" s="67" t="s">
        <v>386</v>
      </c>
      <c r="N941" s="70">
        <v>1</v>
      </c>
      <c r="O941" s="70">
        <v>2707500</v>
      </c>
      <c r="P941" s="70"/>
      <c r="Q941" s="98">
        <v>1</v>
      </c>
      <c r="R941" s="70">
        <v>1</v>
      </c>
      <c r="S941" s="70">
        <v>0</v>
      </c>
    </row>
    <row r="942" spans="1:19" s="56" customFormat="1">
      <c r="A942" s="67" t="s">
        <v>655</v>
      </c>
      <c r="B942" s="68" t="s">
        <v>499</v>
      </c>
      <c r="C942" s="67" t="s">
        <v>184</v>
      </c>
      <c r="D942" s="67" t="s">
        <v>138</v>
      </c>
      <c r="E942" s="67" t="s">
        <v>139</v>
      </c>
      <c r="F942" s="67" t="s">
        <v>166</v>
      </c>
      <c r="G942" s="69" t="s">
        <v>184</v>
      </c>
      <c r="H942" s="67">
        <v>0</v>
      </c>
      <c r="I942" s="67">
        <v>4</v>
      </c>
      <c r="J942" s="67" t="s">
        <v>411</v>
      </c>
      <c r="K942" s="67" t="s">
        <v>182</v>
      </c>
      <c r="L942" s="67" t="s">
        <v>3</v>
      </c>
      <c r="M942" s="67" t="s">
        <v>142</v>
      </c>
      <c r="N942" s="70">
        <v>1000</v>
      </c>
      <c r="O942" s="70">
        <v>1E-3</v>
      </c>
      <c r="P942" s="70"/>
      <c r="Q942" s="98">
        <v>1000</v>
      </c>
      <c r="R942" s="70">
        <v>1</v>
      </c>
      <c r="S942" s="70">
        <v>0</v>
      </c>
    </row>
    <row r="943" spans="1:19" s="56" customFormat="1">
      <c r="A943" s="67" t="s">
        <v>655</v>
      </c>
      <c r="B943" s="68" t="s">
        <v>499</v>
      </c>
      <c r="C943" s="67" t="s">
        <v>184</v>
      </c>
      <c r="D943" s="67" t="s">
        <v>138</v>
      </c>
      <c r="E943" s="67" t="s">
        <v>139</v>
      </c>
      <c r="F943" s="67" t="s">
        <v>166</v>
      </c>
      <c r="G943" s="69" t="s">
        <v>184</v>
      </c>
      <c r="H943" s="67">
        <v>0</v>
      </c>
      <c r="I943" s="67">
        <v>5</v>
      </c>
      <c r="J943" s="67" t="s">
        <v>194</v>
      </c>
      <c r="K943" s="67" t="s">
        <v>99</v>
      </c>
      <c r="L943" s="67" t="s">
        <v>100</v>
      </c>
      <c r="M943" s="67" t="s">
        <v>100</v>
      </c>
      <c r="N943" s="70">
        <v>1</v>
      </c>
      <c r="O943" s="70">
        <v>23700</v>
      </c>
      <c r="P943" s="70"/>
      <c r="Q943" s="98">
        <v>72</v>
      </c>
      <c r="R943" s="70">
        <v>72</v>
      </c>
      <c r="S943" s="70">
        <v>0</v>
      </c>
    </row>
    <row r="944" spans="1:19" s="56" customFormat="1">
      <c r="A944" s="67" t="s">
        <v>655</v>
      </c>
      <c r="B944" s="68" t="s">
        <v>499</v>
      </c>
      <c r="C944" s="67" t="s">
        <v>184</v>
      </c>
      <c r="D944" s="67" t="s">
        <v>138</v>
      </c>
      <c r="E944" s="67" t="s">
        <v>139</v>
      </c>
      <c r="F944" s="67" t="s">
        <v>166</v>
      </c>
      <c r="G944" s="69" t="s">
        <v>184</v>
      </c>
      <c r="H944" s="67">
        <v>0</v>
      </c>
      <c r="I944" s="67">
        <v>6</v>
      </c>
      <c r="J944" s="67" t="s">
        <v>193</v>
      </c>
      <c r="K944" s="67" t="s">
        <v>101</v>
      </c>
      <c r="L944" s="67" t="s">
        <v>100</v>
      </c>
      <c r="M944" s="67" t="s">
        <v>100</v>
      </c>
      <c r="N944" s="70">
        <v>1</v>
      </c>
      <c r="O944" s="70">
        <v>33700</v>
      </c>
      <c r="P944" s="70"/>
      <c r="Q944" s="98">
        <v>52</v>
      </c>
      <c r="R944" s="70">
        <v>52</v>
      </c>
      <c r="S944" s="70">
        <v>0</v>
      </c>
    </row>
    <row r="945" spans="1:19" s="56" customFormat="1">
      <c r="A945" s="67" t="s">
        <v>655</v>
      </c>
      <c r="B945" s="68" t="s">
        <v>499</v>
      </c>
      <c r="C945" s="67" t="s">
        <v>184</v>
      </c>
      <c r="D945" s="67" t="s">
        <v>138</v>
      </c>
      <c r="E945" s="67" t="s">
        <v>139</v>
      </c>
      <c r="F945" s="67" t="s">
        <v>186</v>
      </c>
      <c r="G945" s="69" t="s">
        <v>184</v>
      </c>
      <c r="H945" s="67">
        <v>0</v>
      </c>
      <c r="I945" s="67">
        <v>7</v>
      </c>
      <c r="J945" s="67" t="s">
        <v>253</v>
      </c>
      <c r="K945" s="67" t="s">
        <v>254</v>
      </c>
      <c r="L945" s="67" t="s">
        <v>195</v>
      </c>
      <c r="M945" s="67" t="s">
        <v>195</v>
      </c>
      <c r="N945" s="70">
        <v>1</v>
      </c>
      <c r="O945" s="70">
        <v>1</v>
      </c>
      <c r="P945" s="70"/>
      <c r="Q945" s="98">
        <v>3</v>
      </c>
      <c r="R945" s="70">
        <v>3</v>
      </c>
      <c r="S945" s="70">
        <v>0</v>
      </c>
    </row>
    <row r="946" spans="1:19" s="56" customFormat="1">
      <c r="A946" s="67" t="s">
        <v>655</v>
      </c>
      <c r="B946" s="68" t="s">
        <v>499</v>
      </c>
      <c r="C946" s="67" t="s">
        <v>184</v>
      </c>
      <c r="D946" s="67" t="s">
        <v>138</v>
      </c>
      <c r="E946" s="67" t="s">
        <v>139</v>
      </c>
      <c r="F946" s="67" t="s">
        <v>167</v>
      </c>
      <c r="G946" s="69" t="s">
        <v>184</v>
      </c>
      <c r="H946" s="67">
        <v>0</v>
      </c>
      <c r="I946" s="67">
        <v>8</v>
      </c>
      <c r="J946" s="67" t="s">
        <v>185</v>
      </c>
      <c r="K946" s="67" t="s">
        <v>92</v>
      </c>
      <c r="L946" s="67" t="s">
        <v>88</v>
      </c>
      <c r="M946" s="67" t="s">
        <v>88</v>
      </c>
      <c r="N946" s="70">
        <v>1</v>
      </c>
      <c r="O946" s="70">
        <v>12500</v>
      </c>
      <c r="P946" s="70"/>
      <c r="Q946" s="98">
        <v>4</v>
      </c>
      <c r="R946" s="70">
        <v>4</v>
      </c>
      <c r="S946" s="70">
        <v>0</v>
      </c>
    </row>
    <row r="947" spans="1:19" s="56" customFormat="1">
      <c r="A947" s="67" t="s">
        <v>655</v>
      </c>
      <c r="B947" s="68" t="s">
        <v>499</v>
      </c>
      <c r="C947" s="67" t="s">
        <v>184</v>
      </c>
      <c r="D947" s="67" t="s">
        <v>138</v>
      </c>
      <c r="E947" s="67" t="s">
        <v>139</v>
      </c>
      <c r="F947" s="67" t="s">
        <v>186</v>
      </c>
      <c r="G947" s="69" t="s">
        <v>184</v>
      </c>
      <c r="H947" s="67">
        <v>0</v>
      </c>
      <c r="I947" s="67">
        <v>9</v>
      </c>
      <c r="J947" s="67" t="s">
        <v>445</v>
      </c>
      <c r="K947" s="67" t="s">
        <v>446</v>
      </c>
      <c r="L947" s="67" t="s">
        <v>87</v>
      </c>
      <c r="M947" s="67" t="s">
        <v>87</v>
      </c>
      <c r="N947" s="70">
        <v>1</v>
      </c>
      <c r="O947" s="70">
        <v>1</v>
      </c>
      <c r="P947" s="70"/>
      <c r="Q947" s="98">
        <v>8</v>
      </c>
      <c r="R947" s="70">
        <v>8</v>
      </c>
      <c r="S947" s="70">
        <v>0</v>
      </c>
    </row>
    <row r="948" spans="1:19" s="56" customFormat="1">
      <c r="A948" s="67" t="s">
        <v>655</v>
      </c>
      <c r="B948" s="68" t="s">
        <v>499</v>
      </c>
      <c r="C948" s="67" t="s">
        <v>184</v>
      </c>
      <c r="D948" s="67" t="s">
        <v>138</v>
      </c>
      <c r="E948" s="67" t="s">
        <v>139</v>
      </c>
      <c r="F948" s="67" t="s">
        <v>186</v>
      </c>
      <c r="G948" s="69" t="s">
        <v>184</v>
      </c>
      <c r="H948" s="67">
        <v>0</v>
      </c>
      <c r="I948" s="67">
        <v>10</v>
      </c>
      <c r="J948" s="67" t="s">
        <v>443</v>
      </c>
      <c r="K948" s="67" t="s">
        <v>444</v>
      </c>
      <c r="L948" s="67" t="s">
        <v>87</v>
      </c>
      <c r="M948" s="67" t="s">
        <v>87</v>
      </c>
      <c r="N948" s="70">
        <v>1</v>
      </c>
      <c r="O948" s="70">
        <v>1</v>
      </c>
      <c r="P948" s="70"/>
      <c r="Q948" s="98">
        <v>11</v>
      </c>
      <c r="R948" s="70">
        <v>11</v>
      </c>
      <c r="S948" s="70">
        <v>0</v>
      </c>
    </row>
    <row r="949" spans="1:19" s="56" customFormat="1">
      <c r="A949" s="67" t="s">
        <v>655</v>
      </c>
      <c r="B949" s="68" t="s">
        <v>499</v>
      </c>
      <c r="C949" s="67" t="s">
        <v>184</v>
      </c>
      <c r="D949" s="67" t="s">
        <v>138</v>
      </c>
      <c r="E949" s="67" t="s">
        <v>139</v>
      </c>
      <c r="F949" s="67" t="s">
        <v>186</v>
      </c>
      <c r="G949" s="69" t="s">
        <v>184</v>
      </c>
      <c r="H949" s="67">
        <v>0</v>
      </c>
      <c r="I949" s="67">
        <v>11</v>
      </c>
      <c r="J949" s="67" t="s">
        <v>294</v>
      </c>
      <c r="K949" s="67" t="s">
        <v>295</v>
      </c>
      <c r="L949" s="67" t="s">
        <v>87</v>
      </c>
      <c r="M949" s="67" t="s">
        <v>87</v>
      </c>
      <c r="N949" s="70">
        <v>1</v>
      </c>
      <c r="O949" s="70">
        <v>1</v>
      </c>
      <c r="P949" s="70"/>
      <c r="Q949" s="98">
        <v>1</v>
      </c>
      <c r="R949" s="70">
        <v>1</v>
      </c>
      <c r="S949" s="70">
        <v>0</v>
      </c>
    </row>
    <row r="950" spans="1:19" s="56" customFormat="1">
      <c r="A950" s="67" t="s">
        <v>655</v>
      </c>
      <c r="B950" s="68" t="s">
        <v>499</v>
      </c>
      <c r="C950" s="67" t="s">
        <v>184</v>
      </c>
      <c r="D950" s="67" t="s">
        <v>138</v>
      </c>
      <c r="E950" s="67" t="s">
        <v>139</v>
      </c>
      <c r="F950" s="67" t="s">
        <v>187</v>
      </c>
      <c r="G950" s="69" t="s">
        <v>184</v>
      </c>
      <c r="H950" s="67">
        <v>0</v>
      </c>
      <c r="I950" s="67">
        <v>12</v>
      </c>
      <c r="J950" s="67" t="s">
        <v>200</v>
      </c>
      <c r="K950" s="67" t="s">
        <v>201</v>
      </c>
      <c r="L950" s="67" t="s">
        <v>3</v>
      </c>
      <c r="M950" s="67" t="s">
        <v>142</v>
      </c>
      <c r="N950" s="70">
        <v>1000</v>
      </c>
      <c r="O950" s="70">
        <v>26.5</v>
      </c>
      <c r="P950" s="70"/>
      <c r="Q950" s="98">
        <v>48600</v>
      </c>
      <c r="R950" s="70">
        <v>48</v>
      </c>
      <c r="S950" s="70">
        <v>600</v>
      </c>
    </row>
    <row r="951" spans="1:19" s="56" customFormat="1">
      <c r="A951" s="67" t="s">
        <v>655</v>
      </c>
      <c r="B951" s="68" t="s">
        <v>499</v>
      </c>
      <c r="C951" s="67" t="s">
        <v>184</v>
      </c>
      <c r="D951" s="67" t="s">
        <v>138</v>
      </c>
      <c r="E951" s="67" t="s">
        <v>139</v>
      </c>
      <c r="F951" s="67" t="s">
        <v>186</v>
      </c>
      <c r="G951" s="69" t="s">
        <v>184</v>
      </c>
      <c r="H951" s="67">
        <v>0</v>
      </c>
      <c r="I951" s="67">
        <v>14</v>
      </c>
      <c r="J951" s="67" t="s">
        <v>656</v>
      </c>
      <c r="K951" s="67" t="s">
        <v>657</v>
      </c>
      <c r="L951" s="67" t="s">
        <v>87</v>
      </c>
      <c r="M951" s="67" t="s">
        <v>87</v>
      </c>
      <c r="N951" s="70">
        <v>1</v>
      </c>
      <c r="O951" s="70">
        <v>1</v>
      </c>
      <c r="P951" s="70"/>
      <c r="Q951" s="98">
        <v>1</v>
      </c>
      <c r="R951" s="70">
        <v>1</v>
      </c>
      <c r="S951" s="70">
        <v>0</v>
      </c>
    </row>
    <row r="952" spans="1:19" s="56" customFormat="1">
      <c r="A952" s="67" t="s">
        <v>658</v>
      </c>
      <c r="B952" s="68" t="s">
        <v>509</v>
      </c>
      <c r="C952" s="67" t="s">
        <v>184</v>
      </c>
      <c r="D952" s="67" t="s">
        <v>138</v>
      </c>
      <c r="E952" s="67" t="s">
        <v>139</v>
      </c>
      <c r="F952" s="67" t="s">
        <v>159</v>
      </c>
      <c r="G952" s="69" t="s">
        <v>184</v>
      </c>
      <c r="H952" s="67">
        <v>0</v>
      </c>
      <c r="I952" s="67">
        <v>1</v>
      </c>
      <c r="J952" s="67" t="s">
        <v>276</v>
      </c>
      <c r="K952" s="67" t="s">
        <v>277</v>
      </c>
      <c r="L952" s="67" t="s">
        <v>87</v>
      </c>
      <c r="M952" s="67" t="s">
        <v>87</v>
      </c>
      <c r="N952" s="70">
        <v>1</v>
      </c>
      <c r="O952" s="70">
        <v>1</v>
      </c>
      <c r="P952" s="70"/>
      <c r="Q952" s="98">
        <v>8</v>
      </c>
      <c r="R952" s="70">
        <v>8</v>
      </c>
      <c r="S952" s="70">
        <v>0</v>
      </c>
    </row>
    <row r="953" spans="1:19" s="56" customFormat="1">
      <c r="A953" s="67" t="s">
        <v>658</v>
      </c>
      <c r="B953" s="68" t="s">
        <v>509</v>
      </c>
      <c r="C953" s="67" t="s">
        <v>184</v>
      </c>
      <c r="D953" s="67" t="s">
        <v>138</v>
      </c>
      <c r="E953" s="67" t="s">
        <v>139</v>
      </c>
      <c r="F953" s="67" t="s">
        <v>167</v>
      </c>
      <c r="G953" s="69" t="s">
        <v>184</v>
      </c>
      <c r="H953" s="67">
        <v>0</v>
      </c>
      <c r="I953" s="67">
        <v>2</v>
      </c>
      <c r="J953" s="67" t="s">
        <v>185</v>
      </c>
      <c r="K953" s="67" t="s">
        <v>92</v>
      </c>
      <c r="L953" s="67" t="s">
        <v>88</v>
      </c>
      <c r="M953" s="67" t="s">
        <v>88</v>
      </c>
      <c r="N953" s="70">
        <v>1</v>
      </c>
      <c r="O953" s="70">
        <v>12500</v>
      </c>
      <c r="P953" s="70"/>
      <c r="Q953" s="98">
        <v>10</v>
      </c>
      <c r="R953" s="70">
        <v>10</v>
      </c>
      <c r="S953" s="70">
        <v>0</v>
      </c>
    </row>
    <row r="954" spans="1:19" s="56" customFormat="1">
      <c r="A954" s="67" t="s">
        <v>658</v>
      </c>
      <c r="B954" s="68" t="s">
        <v>509</v>
      </c>
      <c r="C954" s="67" t="s">
        <v>184</v>
      </c>
      <c r="D954" s="67" t="s">
        <v>138</v>
      </c>
      <c r="E954" s="67" t="s">
        <v>139</v>
      </c>
      <c r="F954" s="67" t="s">
        <v>186</v>
      </c>
      <c r="G954" s="69" t="s">
        <v>184</v>
      </c>
      <c r="H954" s="67">
        <v>0</v>
      </c>
      <c r="I954" s="67">
        <v>3</v>
      </c>
      <c r="J954" s="67" t="s">
        <v>615</v>
      </c>
      <c r="K954" s="67" t="s">
        <v>616</v>
      </c>
      <c r="L954" s="67" t="s">
        <v>88</v>
      </c>
      <c r="M954" s="67" t="s">
        <v>88</v>
      </c>
      <c r="N954" s="70">
        <v>1</v>
      </c>
      <c r="O954" s="70">
        <v>1</v>
      </c>
      <c r="P954" s="70"/>
      <c r="Q954" s="98">
        <v>4</v>
      </c>
      <c r="R954" s="70">
        <v>4</v>
      </c>
      <c r="S954" s="70">
        <v>0</v>
      </c>
    </row>
    <row r="955" spans="1:19" s="56" customFormat="1">
      <c r="A955" s="67" t="s">
        <v>658</v>
      </c>
      <c r="B955" s="68" t="s">
        <v>509</v>
      </c>
      <c r="C955" s="67" t="s">
        <v>184</v>
      </c>
      <c r="D955" s="67" t="s">
        <v>138</v>
      </c>
      <c r="E955" s="67" t="s">
        <v>139</v>
      </c>
      <c r="F955" s="67" t="s">
        <v>166</v>
      </c>
      <c r="G955" s="69" t="s">
        <v>184</v>
      </c>
      <c r="H955" s="67">
        <v>0</v>
      </c>
      <c r="I955" s="67">
        <v>4</v>
      </c>
      <c r="J955" s="67" t="s">
        <v>659</v>
      </c>
      <c r="K955" s="67" t="s">
        <v>660</v>
      </c>
      <c r="L955" s="67" t="s">
        <v>661</v>
      </c>
      <c r="M955" s="67" t="s">
        <v>661</v>
      </c>
      <c r="N955" s="70">
        <v>1</v>
      </c>
      <c r="O955" s="70">
        <v>1</v>
      </c>
      <c r="P955" s="70"/>
      <c r="Q955" s="98">
        <v>1</v>
      </c>
      <c r="R955" s="70">
        <v>1</v>
      </c>
      <c r="S955" s="70">
        <v>0</v>
      </c>
    </row>
    <row r="956" spans="1:19" s="56" customFormat="1">
      <c r="A956" s="67" t="s">
        <v>658</v>
      </c>
      <c r="B956" s="68" t="s">
        <v>509</v>
      </c>
      <c r="C956" s="67" t="s">
        <v>184</v>
      </c>
      <c r="D956" s="67" t="s">
        <v>138</v>
      </c>
      <c r="E956" s="67" t="s">
        <v>139</v>
      </c>
      <c r="F956" s="67" t="s">
        <v>202</v>
      </c>
      <c r="G956" s="69" t="s">
        <v>184</v>
      </c>
      <c r="H956" s="67">
        <v>0</v>
      </c>
      <c r="I956" s="67">
        <v>5</v>
      </c>
      <c r="J956" s="67" t="s">
        <v>434</v>
      </c>
      <c r="K956" s="67" t="s">
        <v>435</v>
      </c>
      <c r="L956" s="67" t="s">
        <v>88</v>
      </c>
      <c r="M956" s="67" t="s">
        <v>88</v>
      </c>
      <c r="N956" s="70">
        <v>1</v>
      </c>
      <c r="O956" s="70">
        <v>1</v>
      </c>
      <c r="P956" s="70"/>
      <c r="Q956" s="98">
        <v>1</v>
      </c>
      <c r="R956" s="70">
        <v>1</v>
      </c>
      <c r="S956" s="70">
        <v>0</v>
      </c>
    </row>
    <row r="957" spans="1:19" s="56" customFormat="1">
      <c r="A957" s="67" t="s">
        <v>658</v>
      </c>
      <c r="B957" s="68" t="s">
        <v>509</v>
      </c>
      <c r="C957" s="67" t="s">
        <v>184</v>
      </c>
      <c r="D957" s="67" t="s">
        <v>138</v>
      </c>
      <c r="E957" s="67" t="s">
        <v>139</v>
      </c>
      <c r="F957" s="67" t="s">
        <v>202</v>
      </c>
      <c r="G957" s="69" t="s">
        <v>184</v>
      </c>
      <c r="H957" s="67">
        <v>0</v>
      </c>
      <c r="I957" s="67">
        <v>6</v>
      </c>
      <c r="J957" s="67" t="s">
        <v>353</v>
      </c>
      <c r="K957" s="67" t="s">
        <v>354</v>
      </c>
      <c r="L957" s="67" t="s">
        <v>94</v>
      </c>
      <c r="M957" s="67" t="s">
        <v>94</v>
      </c>
      <c r="N957" s="70">
        <v>1</v>
      </c>
      <c r="O957" s="70">
        <v>1</v>
      </c>
      <c r="P957" s="70"/>
      <c r="Q957" s="98">
        <v>2</v>
      </c>
      <c r="R957" s="70">
        <v>2</v>
      </c>
      <c r="S957" s="70">
        <v>0</v>
      </c>
    </row>
    <row r="958" spans="1:19" s="56" customFormat="1">
      <c r="A958" s="67" t="s">
        <v>658</v>
      </c>
      <c r="B958" s="68" t="s">
        <v>509</v>
      </c>
      <c r="C958" s="67" t="s">
        <v>184</v>
      </c>
      <c r="D958" s="67" t="s">
        <v>138</v>
      </c>
      <c r="E958" s="67" t="s">
        <v>139</v>
      </c>
      <c r="F958" s="67" t="s">
        <v>186</v>
      </c>
      <c r="G958" s="69" t="s">
        <v>184</v>
      </c>
      <c r="H958" s="67">
        <v>0</v>
      </c>
      <c r="I958" s="67">
        <v>7</v>
      </c>
      <c r="J958" s="67" t="s">
        <v>424</v>
      </c>
      <c r="K958" s="67" t="s">
        <v>425</v>
      </c>
      <c r="L958" s="67" t="s">
        <v>87</v>
      </c>
      <c r="M958" s="67" t="s">
        <v>87</v>
      </c>
      <c r="N958" s="70">
        <v>1</v>
      </c>
      <c r="O958" s="70">
        <v>1</v>
      </c>
      <c r="P958" s="70"/>
      <c r="Q958" s="98">
        <v>1</v>
      </c>
      <c r="R958" s="70">
        <v>1</v>
      </c>
      <c r="S958" s="70">
        <v>0</v>
      </c>
    </row>
    <row r="959" spans="1:19" s="56" customFormat="1">
      <c r="A959" s="67" t="s">
        <v>658</v>
      </c>
      <c r="B959" s="68" t="s">
        <v>509</v>
      </c>
      <c r="C959" s="67" t="s">
        <v>184</v>
      </c>
      <c r="D959" s="67" t="s">
        <v>138</v>
      </c>
      <c r="E959" s="67" t="s">
        <v>139</v>
      </c>
      <c r="F959" s="67" t="s">
        <v>186</v>
      </c>
      <c r="G959" s="69" t="s">
        <v>184</v>
      </c>
      <c r="H959" s="67">
        <v>0</v>
      </c>
      <c r="I959" s="67">
        <v>8</v>
      </c>
      <c r="J959" s="67" t="s">
        <v>606</v>
      </c>
      <c r="K959" s="67" t="s">
        <v>607</v>
      </c>
      <c r="L959" s="67" t="s">
        <v>87</v>
      </c>
      <c r="M959" s="67" t="s">
        <v>87</v>
      </c>
      <c r="N959" s="70">
        <v>1</v>
      </c>
      <c r="O959" s="70">
        <v>1</v>
      </c>
      <c r="P959" s="70"/>
      <c r="Q959" s="98">
        <v>1</v>
      </c>
      <c r="R959" s="70">
        <v>1</v>
      </c>
      <c r="S959" s="70">
        <v>0</v>
      </c>
    </row>
    <row r="960" spans="1:19" s="56" customFormat="1">
      <c r="A960" s="67" t="s">
        <v>662</v>
      </c>
      <c r="B960" s="68" t="s">
        <v>512</v>
      </c>
      <c r="C960" s="67" t="s">
        <v>184</v>
      </c>
      <c r="D960" s="67" t="s">
        <v>138</v>
      </c>
      <c r="E960" s="67" t="s">
        <v>139</v>
      </c>
      <c r="F960" s="67" t="s">
        <v>159</v>
      </c>
      <c r="G960" s="69" t="s">
        <v>184</v>
      </c>
      <c r="H960" s="67">
        <v>0</v>
      </c>
      <c r="I960" s="67">
        <v>1</v>
      </c>
      <c r="J960" s="67" t="s">
        <v>416</v>
      </c>
      <c r="K960" s="67" t="s">
        <v>417</v>
      </c>
      <c r="L960" s="67" t="s">
        <v>88</v>
      </c>
      <c r="M960" s="67" t="s">
        <v>88</v>
      </c>
      <c r="N960" s="70">
        <v>1</v>
      </c>
      <c r="O960" s="70">
        <v>1</v>
      </c>
      <c r="P960" s="70"/>
      <c r="Q960" s="98">
        <v>2</v>
      </c>
      <c r="R960" s="70">
        <v>2</v>
      </c>
      <c r="S960" s="70">
        <v>0</v>
      </c>
    </row>
    <row r="961" spans="1:19" s="56" customFormat="1">
      <c r="A961" s="67" t="s">
        <v>662</v>
      </c>
      <c r="B961" s="68" t="s">
        <v>512</v>
      </c>
      <c r="C961" s="67" t="s">
        <v>184</v>
      </c>
      <c r="D961" s="67" t="s">
        <v>138</v>
      </c>
      <c r="E961" s="67" t="s">
        <v>139</v>
      </c>
      <c r="F961" s="67" t="s">
        <v>162</v>
      </c>
      <c r="G961" s="69" t="s">
        <v>184</v>
      </c>
      <c r="H961" s="67">
        <v>0</v>
      </c>
      <c r="I961" s="67">
        <v>2</v>
      </c>
      <c r="J961" s="67" t="s">
        <v>663</v>
      </c>
      <c r="K961" s="67" t="s">
        <v>664</v>
      </c>
      <c r="L961" s="67" t="s">
        <v>88</v>
      </c>
      <c r="M961" s="67" t="s">
        <v>88</v>
      </c>
      <c r="N961" s="70">
        <v>1</v>
      </c>
      <c r="O961" s="70">
        <v>1</v>
      </c>
      <c r="P961" s="70"/>
      <c r="Q961" s="98">
        <v>1</v>
      </c>
      <c r="R961" s="70">
        <v>1</v>
      </c>
      <c r="S961" s="70">
        <v>0</v>
      </c>
    </row>
    <row r="962" spans="1:19" s="56" customFormat="1">
      <c r="A962" s="67" t="s">
        <v>662</v>
      </c>
      <c r="B962" s="68" t="s">
        <v>512</v>
      </c>
      <c r="C962" s="67" t="s">
        <v>184</v>
      </c>
      <c r="D962" s="67" t="s">
        <v>138</v>
      </c>
      <c r="E962" s="67" t="s">
        <v>139</v>
      </c>
      <c r="F962" s="67" t="s">
        <v>162</v>
      </c>
      <c r="G962" s="69" t="s">
        <v>184</v>
      </c>
      <c r="H962" s="67">
        <v>0</v>
      </c>
      <c r="I962" s="67">
        <v>3</v>
      </c>
      <c r="J962" s="67" t="s">
        <v>665</v>
      </c>
      <c r="K962" s="67" t="s">
        <v>666</v>
      </c>
      <c r="L962" s="67" t="s">
        <v>87</v>
      </c>
      <c r="M962" s="67" t="s">
        <v>87</v>
      </c>
      <c r="N962" s="70">
        <v>1</v>
      </c>
      <c r="O962" s="70">
        <v>1</v>
      </c>
      <c r="P962" s="70"/>
      <c r="Q962" s="98">
        <v>1</v>
      </c>
      <c r="R962" s="70">
        <v>1</v>
      </c>
      <c r="S962" s="70">
        <v>0</v>
      </c>
    </row>
    <row r="963" spans="1:19" s="56" customFormat="1">
      <c r="A963" s="67" t="s">
        <v>662</v>
      </c>
      <c r="B963" s="68" t="s">
        <v>512</v>
      </c>
      <c r="C963" s="67" t="s">
        <v>184</v>
      </c>
      <c r="D963" s="67" t="s">
        <v>138</v>
      </c>
      <c r="E963" s="67" t="s">
        <v>139</v>
      </c>
      <c r="F963" s="67" t="s">
        <v>162</v>
      </c>
      <c r="G963" s="69" t="s">
        <v>184</v>
      </c>
      <c r="H963" s="67">
        <v>0</v>
      </c>
      <c r="I963" s="67">
        <v>4</v>
      </c>
      <c r="J963" s="67" t="s">
        <v>667</v>
      </c>
      <c r="K963" s="67" t="s">
        <v>668</v>
      </c>
      <c r="L963" s="67" t="s">
        <v>87</v>
      </c>
      <c r="M963" s="67" t="s">
        <v>87</v>
      </c>
      <c r="N963" s="70">
        <v>1</v>
      </c>
      <c r="O963" s="70">
        <v>1</v>
      </c>
      <c r="P963" s="70"/>
      <c r="Q963" s="98">
        <v>1</v>
      </c>
      <c r="R963" s="70">
        <v>1</v>
      </c>
      <c r="S963" s="70">
        <v>0</v>
      </c>
    </row>
    <row r="964" spans="1:19" s="56" customFormat="1">
      <c r="A964" s="67" t="s">
        <v>662</v>
      </c>
      <c r="B964" s="68" t="s">
        <v>512</v>
      </c>
      <c r="C964" s="67" t="s">
        <v>184</v>
      </c>
      <c r="D964" s="67" t="s">
        <v>138</v>
      </c>
      <c r="E964" s="67" t="s">
        <v>139</v>
      </c>
      <c r="F964" s="67" t="s">
        <v>167</v>
      </c>
      <c r="G964" s="69" t="s">
        <v>184</v>
      </c>
      <c r="H964" s="67">
        <v>0</v>
      </c>
      <c r="I964" s="67">
        <v>5</v>
      </c>
      <c r="J964" s="67" t="s">
        <v>185</v>
      </c>
      <c r="K964" s="67" t="s">
        <v>92</v>
      </c>
      <c r="L964" s="67" t="s">
        <v>88</v>
      </c>
      <c r="M964" s="67" t="s">
        <v>88</v>
      </c>
      <c r="N964" s="70">
        <v>1</v>
      </c>
      <c r="O964" s="70">
        <v>12500</v>
      </c>
      <c r="P964" s="70"/>
      <c r="Q964" s="98">
        <v>4</v>
      </c>
      <c r="R964" s="70">
        <v>4</v>
      </c>
      <c r="S964" s="70">
        <v>0</v>
      </c>
    </row>
    <row r="965" spans="1:19" s="56" customFormat="1">
      <c r="A965" s="67" t="s">
        <v>662</v>
      </c>
      <c r="B965" s="68" t="s">
        <v>512</v>
      </c>
      <c r="C965" s="67" t="s">
        <v>184</v>
      </c>
      <c r="D965" s="67" t="s">
        <v>138</v>
      </c>
      <c r="E965" s="67" t="s">
        <v>139</v>
      </c>
      <c r="F965" s="67" t="s">
        <v>186</v>
      </c>
      <c r="G965" s="69" t="s">
        <v>184</v>
      </c>
      <c r="H965" s="67">
        <v>0</v>
      </c>
      <c r="I965" s="67">
        <v>6</v>
      </c>
      <c r="J965" s="67" t="s">
        <v>188</v>
      </c>
      <c r="K965" s="67" t="s">
        <v>89</v>
      </c>
      <c r="L965" s="67" t="s">
        <v>87</v>
      </c>
      <c r="M965" s="67" t="s">
        <v>87</v>
      </c>
      <c r="N965" s="70">
        <v>1</v>
      </c>
      <c r="O965" s="70">
        <v>1</v>
      </c>
      <c r="P965" s="70"/>
      <c r="Q965" s="98">
        <v>5</v>
      </c>
      <c r="R965" s="70">
        <v>5</v>
      </c>
      <c r="S965" s="70">
        <v>0</v>
      </c>
    </row>
    <row r="966" spans="1:19" s="56" customFormat="1">
      <c r="A966" s="67" t="s">
        <v>662</v>
      </c>
      <c r="B966" s="68" t="s">
        <v>512</v>
      </c>
      <c r="C966" s="67" t="s">
        <v>184</v>
      </c>
      <c r="D966" s="67" t="s">
        <v>138</v>
      </c>
      <c r="E966" s="67" t="s">
        <v>139</v>
      </c>
      <c r="F966" s="67" t="s">
        <v>186</v>
      </c>
      <c r="G966" s="69" t="s">
        <v>184</v>
      </c>
      <c r="H966" s="67">
        <v>0</v>
      </c>
      <c r="I966" s="67">
        <v>7</v>
      </c>
      <c r="J966" s="67" t="s">
        <v>198</v>
      </c>
      <c r="K966" s="67" t="s">
        <v>199</v>
      </c>
      <c r="L966" s="67" t="s">
        <v>87</v>
      </c>
      <c r="M966" s="67" t="s">
        <v>87</v>
      </c>
      <c r="N966" s="70">
        <v>1</v>
      </c>
      <c r="O966" s="70">
        <v>13000</v>
      </c>
      <c r="P966" s="70"/>
      <c r="Q966" s="98">
        <v>1</v>
      </c>
      <c r="R966" s="70">
        <v>1</v>
      </c>
      <c r="S966" s="70">
        <v>0</v>
      </c>
    </row>
    <row r="967" spans="1:19" s="56" customFormat="1">
      <c r="A967" s="67" t="s">
        <v>662</v>
      </c>
      <c r="B967" s="68" t="s">
        <v>512</v>
      </c>
      <c r="C967" s="67" t="s">
        <v>184</v>
      </c>
      <c r="D967" s="67" t="s">
        <v>138</v>
      </c>
      <c r="E967" s="67" t="s">
        <v>139</v>
      </c>
      <c r="F967" s="67" t="s">
        <v>166</v>
      </c>
      <c r="G967" s="69" t="s">
        <v>184</v>
      </c>
      <c r="H967" s="67">
        <v>0</v>
      </c>
      <c r="I967" s="67">
        <v>8</v>
      </c>
      <c r="J967" s="67" t="s">
        <v>253</v>
      </c>
      <c r="K967" s="67" t="s">
        <v>254</v>
      </c>
      <c r="L967" s="67" t="s">
        <v>195</v>
      </c>
      <c r="M967" s="67" t="s">
        <v>195</v>
      </c>
      <c r="N967" s="70">
        <v>1</v>
      </c>
      <c r="O967" s="70">
        <v>1</v>
      </c>
      <c r="P967" s="70"/>
      <c r="Q967" s="98">
        <v>4</v>
      </c>
      <c r="R967" s="70">
        <v>4</v>
      </c>
      <c r="S967" s="70">
        <v>0</v>
      </c>
    </row>
    <row r="968" spans="1:19" s="56" customFormat="1">
      <c r="A968" s="67" t="s">
        <v>662</v>
      </c>
      <c r="B968" s="68" t="s">
        <v>512</v>
      </c>
      <c r="C968" s="67" t="s">
        <v>184</v>
      </c>
      <c r="D968" s="67" t="s">
        <v>138</v>
      </c>
      <c r="E968" s="67" t="s">
        <v>139</v>
      </c>
      <c r="F968" s="67" t="s">
        <v>166</v>
      </c>
      <c r="G968" s="69" t="s">
        <v>184</v>
      </c>
      <c r="H968" s="67">
        <v>0</v>
      </c>
      <c r="I968" s="67">
        <v>9</v>
      </c>
      <c r="J968" s="67" t="s">
        <v>285</v>
      </c>
      <c r="K968" s="67" t="s">
        <v>286</v>
      </c>
      <c r="L968" s="67" t="s">
        <v>195</v>
      </c>
      <c r="M968" s="67" t="s">
        <v>195</v>
      </c>
      <c r="N968" s="70">
        <v>1</v>
      </c>
      <c r="O968" s="70">
        <v>1</v>
      </c>
      <c r="P968" s="70"/>
      <c r="Q968" s="98">
        <v>1</v>
      </c>
      <c r="R968" s="70">
        <v>1</v>
      </c>
      <c r="S968" s="70">
        <v>0</v>
      </c>
    </row>
    <row r="969" spans="1:19" s="56" customFormat="1">
      <c r="A969" s="67" t="s">
        <v>662</v>
      </c>
      <c r="B969" s="68" t="s">
        <v>512</v>
      </c>
      <c r="C969" s="67" t="s">
        <v>184</v>
      </c>
      <c r="D969" s="67" t="s">
        <v>138</v>
      </c>
      <c r="E969" s="67" t="s">
        <v>139</v>
      </c>
      <c r="F969" s="67" t="s">
        <v>159</v>
      </c>
      <c r="G969" s="69" t="s">
        <v>184</v>
      </c>
      <c r="H969" s="67">
        <v>0</v>
      </c>
      <c r="I969" s="67">
        <v>10</v>
      </c>
      <c r="J969" s="67" t="s">
        <v>189</v>
      </c>
      <c r="K969" s="67" t="s">
        <v>190</v>
      </c>
      <c r="L969" s="67" t="s">
        <v>91</v>
      </c>
      <c r="M969" s="67" t="s">
        <v>91</v>
      </c>
      <c r="N969" s="70">
        <v>1</v>
      </c>
      <c r="O969" s="70">
        <v>1</v>
      </c>
      <c r="P969" s="70"/>
      <c r="Q969" s="98">
        <v>1</v>
      </c>
      <c r="R969" s="70">
        <v>1</v>
      </c>
      <c r="S969" s="70">
        <v>0</v>
      </c>
    </row>
    <row r="970" spans="1:19" s="56" customFormat="1">
      <c r="A970" s="67" t="s">
        <v>662</v>
      </c>
      <c r="B970" s="68" t="s">
        <v>512</v>
      </c>
      <c r="C970" s="67" t="s">
        <v>184</v>
      </c>
      <c r="D970" s="67" t="s">
        <v>138</v>
      </c>
      <c r="E970" s="67" t="s">
        <v>139</v>
      </c>
      <c r="F970" s="67" t="s">
        <v>186</v>
      </c>
      <c r="G970" s="69" t="s">
        <v>184</v>
      </c>
      <c r="H970" s="67">
        <v>0</v>
      </c>
      <c r="I970" s="67">
        <v>12</v>
      </c>
      <c r="J970" s="67" t="s">
        <v>669</v>
      </c>
      <c r="K970" s="67" t="s">
        <v>670</v>
      </c>
      <c r="L970" s="67" t="s">
        <v>87</v>
      </c>
      <c r="M970" s="67" t="s">
        <v>87</v>
      </c>
      <c r="N970" s="70">
        <v>1</v>
      </c>
      <c r="O970" s="70">
        <v>1</v>
      </c>
      <c r="P970" s="70"/>
      <c r="Q970" s="98">
        <v>3</v>
      </c>
      <c r="R970" s="70">
        <v>3</v>
      </c>
      <c r="S970" s="70">
        <v>0</v>
      </c>
    </row>
    <row r="971" spans="1:19" s="56" customFormat="1">
      <c r="A971" s="67" t="s">
        <v>662</v>
      </c>
      <c r="B971" s="68" t="s">
        <v>512</v>
      </c>
      <c r="C971" s="67" t="s">
        <v>184</v>
      </c>
      <c r="D971" s="67" t="s">
        <v>138</v>
      </c>
      <c r="E971" s="67" t="s">
        <v>139</v>
      </c>
      <c r="F971" s="67" t="s">
        <v>202</v>
      </c>
      <c r="G971" s="69" t="s">
        <v>184</v>
      </c>
      <c r="H971" s="67">
        <v>0</v>
      </c>
      <c r="I971" s="67">
        <v>14</v>
      </c>
      <c r="J971" s="67" t="s">
        <v>671</v>
      </c>
      <c r="K971" s="67" t="s">
        <v>672</v>
      </c>
      <c r="L971" s="67" t="s">
        <v>673</v>
      </c>
      <c r="M971" s="67" t="s">
        <v>673</v>
      </c>
      <c r="N971" s="70">
        <v>100</v>
      </c>
      <c r="O971" s="70">
        <v>0</v>
      </c>
      <c r="P971" s="70"/>
      <c r="Q971" s="98">
        <v>200</v>
      </c>
      <c r="R971" s="70">
        <v>2</v>
      </c>
      <c r="S971" s="70">
        <v>0</v>
      </c>
    </row>
    <row r="972" spans="1:19" s="56" customFormat="1">
      <c r="A972" s="67" t="s">
        <v>662</v>
      </c>
      <c r="B972" s="68" t="s">
        <v>512</v>
      </c>
      <c r="C972" s="67" t="s">
        <v>184</v>
      </c>
      <c r="D972" s="67" t="s">
        <v>138</v>
      </c>
      <c r="E972" s="67" t="s">
        <v>139</v>
      </c>
      <c r="F972" s="67" t="s">
        <v>186</v>
      </c>
      <c r="G972" s="69" t="s">
        <v>184</v>
      </c>
      <c r="H972" s="67">
        <v>0</v>
      </c>
      <c r="I972" s="67">
        <v>16</v>
      </c>
      <c r="J972" s="67" t="s">
        <v>674</v>
      </c>
      <c r="K972" s="67" t="s">
        <v>675</v>
      </c>
      <c r="L972" s="67" t="s">
        <v>87</v>
      </c>
      <c r="M972" s="67" t="s">
        <v>87</v>
      </c>
      <c r="N972" s="70">
        <v>1</v>
      </c>
      <c r="O972" s="70">
        <v>1</v>
      </c>
      <c r="P972" s="70"/>
      <c r="Q972" s="98">
        <v>2</v>
      </c>
      <c r="R972" s="70">
        <v>2</v>
      </c>
      <c r="S972" s="70">
        <v>0</v>
      </c>
    </row>
    <row r="973" spans="1:19" s="56" customFormat="1">
      <c r="A973" s="67" t="s">
        <v>662</v>
      </c>
      <c r="B973" s="68" t="s">
        <v>512</v>
      </c>
      <c r="C973" s="67" t="s">
        <v>184</v>
      </c>
      <c r="D973" s="67" t="s">
        <v>138</v>
      </c>
      <c r="E973" s="67" t="s">
        <v>139</v>
      </c>
      <c r="F973" s="67" t="s">
        <v>186</v>
      </c>
      <c r="G973" s="69" t="s">
        <v>184</v>
      </c>
      <c r="H973" s="67">
        <v>0</v>
      </c>
      <c r="I973" s="67">
        <v>17</v>
      </c>
      <c r="J973" s="67" t="s">
        <v>676</v>
      </c>
      <c r="K973" s="67" t="s">
        <v>677</v>
      </c>
      <c r="L973" s="67" t="s">
        <v>3</v>
      </c>
      <c r="M973" s="67" t="s">
        <v>142</v>
      </c>
      <c r="N973" s="70">
        <v>1000</v>
      </c>
      <c r="O973" s="70">
        <v>1E-3</v>
      </c>
      <c r="P973" s="70"/>
      <c r="Q973" s="98">
        <v>2000</v>
      </c>
      <c r="R973" s="70">
        <v>2</v>
      </c>
      <c r="S973" s="70">
        <v>0</v>
      </c>
    </row>
    <row r="974" spans="1:19" s="56" customFormat="1">
      <c r="A974" s="67" t="s">
        <v>662</v>
      </c>
      <c r="B974" s="68" t="s">
        <v>512</v>
      </c>
      <c r="C974" s="67" t="s">
        <v>184</v>
      </c>
      <c r="D974" s="67" t="s">
        <v>138</v>
      </c>
      <c r="E974" s="67" t="s">
        <v>139</v>
      </c>
      <c r="F974" s="67" t="s">
        <v>186</v>
      </c>
      <c r="G974" s="69" t="s">
        <v>184</v>
      </c>
      <c r="H974" s="67">
        <v>0</v>
      </c>
      <c r="I974" s="67">
        <v>18</v>
      </c>
      <c r="J974" s="67" t="s">
        <v>678</v>
      </c>
      <c r="K974" s="67" t="s">
        <v>679</v>
      </c>
      <c r="L974" s="67" t="s">
        <v>87</v>
      </c>
      <c r="M974" s="67" t="s">
        <v>87</v>
      </c>
      <c r="N974" s="70">
        <v>1</v>
      </c>
      <c r="O974" s="70">
        <v>1</v>
      </c>
      <c r="P974" s="70"/>
      <c r="Q974" s="98">
        <v>2</v>
      </c>
      <c r="R974" s="70">
        <v>2</v>
      </c>
      <c r="S974" s="70">
        <v>0</v>
      </c>
    </row>
    <row r="975" spans="1:19" s="56" customFormat="1">
      <c r="A975" s="67" t="s">
        <v>662</v>
      </c>
      <c r="B975" s="68" t="s">
        <v>512</v>
      </c>
      <c r="C975" s="67" t="s">
        <v>184</v>
      </c>
      <c r="D975" s="67" t="s">
        <v>138</v>
      </c>
      <c r="E975" s="67" t="s">
        <v>139</v>
      </c>
      <c r="F975" s="67" t="s">
        <v>186</v>
      </c>
      <c r="G975" s="69" t="s">
        <v>184</v>
      </c>
      <c r="H975" s="67">
        <v>0</v>
      </c>
      <c r="I975" s="67">
        <v>19</v>
      </c>
      <c r="J975" s="67" t="s">
        <v>680</v>
      </c>
      <c r="K975" s="67" t="s">
        <v>681</v>
      </c>
      <c r="L975" s="67" t="s">
        <v>87</v>
      </c>
      <c r="M975" s="67" t="s">
        <v>87</v>
      </c>
      <c r="N975" s="70">
        <v>1</v>
      </c>
      <c r="O975" s="70">
        <v>1</v>
      </c>
      <c r="P975" s="70"/>
      <c r="Q975" s="98">
        <v>1</v>
      </c>
      <c r="R975" s="70">
        <v>1</v>
      </c>
      <c r="S975" s="70">
        <v>0</v>
      </c>
    </row>
    <row r="976" spans="1:19" s="56" customFormat="1">
      <c r="A976" s="67" t="s">
        <v>662</v>
      </c>
      <c r="B976" s="68" t="s">
        <v>512</v>
      </c>
      <c r="C976" s="67" t="s">
        <v>184</v>
      </c>
      <c r="D976" s="67" t="s">
        <v>138</v>
      </c>
      <c r="E976" s="67" t="s">
        <v>139</v>
      </c>
      <c r="F976" s="67" t="s">
        <v>186</v>
      </c>
      <c r="G976" s="69" t="s">
        <v>184</v>
      </c>
      <c r="H976" s="67">
        <v>0</v>
      </c>
      <c r="I976" s="67">
        <v>20</v>
      </c>
      <c r="J976" s="67" t="s">
        <v>682</v>
      </c>
      <c r="K976" s="67" t="s">
        <v>683</v>
      </c>
      <c r="L976" s="67" t="s">
        <v>436</v>
      </c>
      <c r="M976" s="67" t="s">
        <v>436</v>
      </c>
      <c r="N976" s="70">
        <v>1</v>
      </c>
      <c r="O976" s="70">
        <v>1</v>
      </c>
      <c r="P976" s="70"/>
      <c r="Q976" s="98">
        <v>1</v>
      </c>
      <c r="R976" s="70">
        <v>1</v>
      </c>
      <c r="S976" s="70">
        <v>0</v>
      </c>
    </row>
    <row r="977" spans="1:19" s="56" customFormat="1">
      <c r="A977" s="67" t="s">
        <v>662</v>
      </c>
      <c r="B977" s="68" t="s">
        <v>512</v>
      </c>
      <c r="C977" s="67" t="s">
        <v>184</v>
      </c>
      <c r="D977" s="67" t="s">
        <v>138</v>
      </c>
      <c r="E977" s="67" t="s">
        <v>139</v>
      </c>
      <c r="F977" s="67" t="s">
        <v>186</v>
      </c>
      <c r="G977" s="69" t="s">
        <v>184</v>
      </c>
      <c r="H977" s="67">
        <v>0</v>
      </c>
      <c r="I977" s="67">
        <v>21</v>
      </c>
      <c r="J977" s="67" t="s">
        <v>684</v>
      </c>
      <c r="K977" s="67" t="s">
        <v>685</v>
      </c>
      <c r="L977" s="67" t="s">
        <v>293</v>
      </c>
      <c r="M977" s="67" t="s">
        <v>293</v>
      </c>
      <c r="N977" s="70">
        <v>1</v>
      </c>
      <c r="O977" s="70">
        <v>1</v>
      </c>
      <c r="P977" s="70"/>
      <c r="Q977" s="98">
        <v>1</v>
      </c>
      <c r="R977" s="70">
        <v>1</v>
      </c>
      <c r="S977" s="70">
        <v>0</v>
      </c>
    </row>
    <row r="978" spans="1:19" s="56" customFormat="1">
      <c r="A978" s="67" t="s">
        <v>662</v>
      </c>
      <c r="B978" s="68" t="s">
        <v>512</v>
      </c>
      <c r="C978" s="67" t="s">
        <v>184</v>
      </c>
      <c r="D978" s="67" t="s">
        <v>138</v>
      </c>
      <c r="E978" s="67" t="s">
        <v>139</v>
      </c>
      <c r="F978" s="67" t="s">
        <v>186</v>
      </c>
      <c r="G978" s="69" t="s">
        <v>184</v>
      </c>
      <c r="H978" s="67">
        <v>0</v>
      </c>
      <c r="I978" s="67">
        <v>22</v>
      </c>
      <c r="J978" s="67" t="s">
        <v>420</v>
      </c>
      <c r="K978" s="67" t="s">
        <v>421</v>
      </c>
      <c r="L978" s="67" t="s">
        <v>88</v>
      </c>
      <c r="M978" s="67" t="s">
        <v>88</v>
      </c>
      <c r="N978" s="70">
        <v>1</v>
      </c>
      <c r="O978" s="70">
        <v>1</v>
      </c>
      <c r="P978" s="70"/>
      <c r="Q978" s="98">
        <v>1</v>
      </c>
      <c r="R978" s="70">
        <v>1</v>
      </c>
      <c r="S978" s="70">
        <v>0</v>
      </c>
    </row>
    <row r="979" spans="1:19" s="56" customFormat="1">
      <c r="A979" s="67" t="s">
        <v>686</v>
      </c>
      <c r="B979" s="68" t="s">
        <v>514</v>
      </c>
      <c r="C979" s="67" t="s">
        <v>184</v>
      </c>
      <c r="D979" s="67" t="s">
        <v>138</v>
      </c>
      <c r="E979" s="67" t="s">
        <v>139</v>
      </c>
      <c r="F979" s="67" t="s">
        <v>167</v>
      </c>
      <c r="G979" s="69" t="s">
        <v>184</v>
      </c>
      <c r="H979" s="67">
        <v>0</v>
      </c>
      <c r="I979" s="67">
        <v>1</v>
      </c>
      <c r="J979" s="67" t="s">
        <v>185</v>
      </c>
      <c r="K979" s="67" t="s">
        <v>92</v>
      </c>
      <c r="L979" s="67" t="s">
        <v>88</v>
      </c>
      <c r="M979" s="67" t="s">
        <v>88</v>
      </c>
      <c r="N979" s="70">
        <v>1</v>
      </c>
      <c r="O979" s="70">
        <v>12500</v>
      </c>
      <c r="P979" s="70"/>
      <c r="Q979" s="98">
        <v>8</v>
      </c>
      <c r="R979" s="70">
        <v>8</v>
      </c>
      <c r="S979" s="70">
        <v>0</v>
      </c>
    </row>
    <row r="980" spans="1:19" s="56" customFormat="1">
      <c r="A980" s="67" t="s">
        <v>686</v>
      </c>
      <c r="B980" s="68" t="s">
        <v>514</v>
      </c>
      <c r="C980" s="67" t="s">
        <v>184</v>
      </c>
      <c r="D980" s="67" t="s">
        <v>138</v>
      </c>
      <c r="E980" s="67" t="s">
        <v>139</v>
      </c>
      <c r="F980" s="67" t="s">
        <v>187</v>
      </c>
      <c r="G980" s="69" t="s">
        <v>184</v>
      </c>
      <c r="H980" s="67">
        <v>0</v>
      </c>
      <c r="I980" s="67">
        <v>2</v>
      </c>
      <c r="J980" s="67" t="s">
        <v>266</v>
      </c>
      <c r="K980" s="67" t="s">
        <v>96</v>
      </c>
      <c r="L980" s="67" t="s">
        <v>97</v>
      </c>
      <c r="M980" s="67" t="s">
        <v>97</v>
      </c>
      <c r="N980" s="70">
        <v>1</v>
      </c>
      <c r="O980" s="70">
        <v>1</v>
      </c>
      <c r="P980" s="70"/>
      <c r="Q980" s="98">
        <v>12</v>
      </c>
      <c r="R980" s="70">
        <v>12</v>
      </c>
      <c r="S980" s="70">
        <v>0</v>
      </c>
    </row>
    <row r="981" spans="1:19" s="56" customFormat="1">
      <c r="A981" s="67" t="s">
        <v>686</v>
      </c>
      <c r="B981" s="68" t="s">
        <v>514</v>
      </c>
      <c r="C981" s="67" t="s">
        <v>184</v>
      </c>
      <c r="D981" s="67" t="s">
        <v>138</v>
      </c>
      <c r="E981" s="67" t="s">
        <v>139</v>
      </c>
      <c r="F981" s="67" t="s">
        <v>166</v>
      </c>
      <c r="G981" s="69" t="s">
        <v>184</v>
      </c>
      <c r="H981" s="67">
        <v>0</v>
      </c>
      <c r="I981" s="67">
        <v>3</v>
      </c>
      <c r="J981" s="67" t="s">
        <v>194</v>
      </c>
      <c r="K981" s="67" t="s">
        <v>99</v>
      </c>
      <c r="L981" s="67" t="s">
        <v>100</v>
      </c>
      <c r="M981" s="67" t="s">
        <v>100</v>
      </c>
      <c r="N981" s="70">
        <v>1</v>
      </c>
      <c r="O981" s="70">
        <v>23700</v>
      </c>
      <c r="P981" s="70"/>
      <c r="Q981" s="98">
        <v>77</v>
      </c>
      <c r="R981" s="70">
        <v>77</v>
      </c>
      <c r="S981" s="70">
        <v>0</v>
      </c>
    </row>
    <row r="982" spans="1:19" s="56" customFormat="1">
      <c r="A982" s="67" t="s">
        <v>686</v>
      </c>
      <c r="B982" s="68" t="s">
        <v>514</v>
      </c>
      <c r="C982" s="67" t="s">
        <v>184</v>
      </c>
      <c r="D982" s="67" t="s">
        <v>138</v>
      </c>
      <c r="E982" s="67" t="s">
        <v>139</v>
      </c>
      <c r="F982" s="67" t="s">
        <v>166</v>
      </c>
      <c r="G982" s="69" t="s">
        <v>184</v>
      </c>
      <c r="H982" s="67">
        <v>0</v>
      </c>
      <c r="I982" s="67">
        <v>4</v>
      </c>
      <c r="J982" s="67" t="s">
        <v>193</v>
      </c>
      <c r="K982" s="67" t="s">
        <v>101</v>
      </c>
      <c r="L982" s="67" t="s">
        <v>100</v>
      </c>
      <c r="M982" s="67" t="s">
        <v>100</v>
      </c>
      <c r="N982" s="70">
        <v>1</v>
      </c>
      <c r="O982" s="70">
        <v>33700</v>
      </c>
      <c r="P982" s="70"/>
      <c r="Q982" s="98">
        <v>70</v>
      </c>
      <c r="R982" s="70">
        <v>70</v>
      </c>
      <c r="S982" s="70">
        <v>0</v>
      </c>
    </row>
    <row r="983" spans="1:19" s="56" customFormat="1">
      <c r="A983" s="67" t="s">
        <v>686</v>
      </c>
      <c r="B983" s="68" t="s">
        <v>514</v>
      </c>
      <c r="C983" s="67" t="s">
        <v>184</v>
      </c>
      <c r="D983" s="67" t="s">
        <v>138</v>
      </c>
      <c r="E983" s="67" t="s">
        <v>139</v>
      </c>
      <c r="F983" s="67" t="s">
        <v>166</v>
      </c>
      <c r="G983" s="69" t="s">
        <v>184</v>
      </c>
      <c r="H983" s="67">
        <v>0</v>
      </c>
      <c r="I983" s="67">
        <v>5</v>
      </c>
      <c r="J983" s="67" t="s">
        <v>687</v>
      </c>
      <c r="K983" s="67" t="s">
        <v>688</v>
      </c>
      <c r="L983" s="67" t="s">
        <v>88</v>
      </c>
      <c r="M983" s="67" t="s">
        <v>88</v>
      </c>
      <c r="N983" s="70">
        <v>1</v>
      </c>
      <c r="O983" s="70">
        <v>1</v>
      </c>
      <c r="P983" s="70"/>
      <c r="Q983" s="98">
        <v>20</v>
      </c>
      <c r="R983" s="70">
        <v>20</v>
      </c>
      <c r="S983" s="70">
        <v>0</v>
      </c>
    </row>
    <row r="984" spans="1:19" s="56" customFormat="1">
      <c r="A984" s="67" t="s">
        <v>686</v>
      </c>
      <c r="B984" s="68" t="s">
        <v>514</v>
      </c>
      <c r="C984" s="67" t="s">
        <v>184</v>
      </c>
      <c r="D984" s="67" t="s">
        <v>138</v>
      </c>
      <c r="E984" s="67" t="s">
        <v>139</v>
      </c>
      <c r="F984" s="67" t="s">
        <v>186</v>
      </c>
      <c r="G984" s="69" t="s">
        <v>184</v>
      </c>
      <c r="H984" s="67">
        <v>0</v>
      </c>
      <c r="I984" s="67">
        <v>6</v>
      </c>
      <c r="J984" s="67" t="s">
        <v>253</v>
      </c>
      <c r="K984" s="67" t="s">
        <v>254</v>
      </c>
      <c r="L984" s="67" t="s">
        <v>195</v>
      </c>
      <c r="M984" s="67" t="s">
        <v>195</v>
      </c>
      <c r="N984" s="70">
        <v>1</v>
      </c>
      <c r="O984" s="70">
        <v>1</v>
      </c>
      <c r="P984" s="70"/>
      <c r="Q984" s="98">
        <v>2</v>
      </c>
      <c r="R984" s="70">
        <v>2</v>
      </c>
      <c r="S984" s="70">
        <v>0</v>
      </c>
    </row>
    <row r="985" spans="1:19" s="56" customFormat="1">
      <c r="A985" s="67" t="s">
        <v>686</v>
      </c>
      <c r="B985" s="68" t="s">
        <v>514</v>
      </c>
      <c r="C985" s="67" t="s">
        <v>184</v>
      </c>
      <c r="D985" s="67" t="s">
        <v>138</v>
      </c>
      <c r="E985" s="67" t="s">
        <v>139</v>
      </c>
      <c r="F985" s="67" t="s">
        <v>186</v>
      </c>
      <c r="G985" s="69" t="s">
        <v>184</v>
      </c>
      <c r="H985" s="67">
        <v>0</v>
      </c>
      <c r="I985" s="67">
        <v>7</v>
      </c>
      <c r="J985" s="67" t="s">
        <v>422</v>
      </c>
      <c r="K985" s="67" t="s">
        <v>423</v>
      </c>
      <c r="L985" s="67" t="s">
        <v>195</v>
      </c>
      <c r="M985" s="67" t="s">
        <v>195</v>
      </c>
      <c r="N985" s="70">
        <v>1</v>
      </c>
      <c r="O985" s="70">
        <v>1</v>
      </c>
      <c r="P985" s="70"/>
      <c r="Q985" s="98">
        <v>1</v>
      </c>
      <c r="R985" s="70">
        <v>1</v>
      </c>
      <c r="S985" s="70">
        <v>0</v>
      </c>
    </row>
    <row r="986" spans="1:19" s="56" customFormat="1">
      <c r="A986" s="67" t="s">
        <v>686</v>
      </c>
      <c r="B986" s="68" t="s">
        <v>514</v>
      </c>
      <c r="C986" s="67" t="s">
        <v>184</v>
      </c>
      <c r="D986" s="67" t="s">
        <v>138</v>
      </c>
      <c r="E986" s="67" t="s">
        <v>139</v>
      </c>
      <c r="F986" s="67" t="s">
        <v>186</v>
      </c>
      <c r="G986" s="69" t="s">
        <v>184</v>
      </c>
      <c r="H986" s="67">
        <v>0</v>
      </c>
      <c r="I986" s="67">
        <v>8</v>
      </c>
      <c r="J986" s="67" t="s">
        <v>689</v>
      </c>
      <c r="K986" s="67" t="s">
        <v>690</v>
      </c>
      <c r="L986" s="67" t="s">
        <v>87</v>
      </c>
      <c r="M986" s="67" t="s">
        <v>87</v>
      </c>
      <c r="N986" s="70">
        <v>1</v>
      </c>
      <c r="O986" s="70">
        <v>1</v>
      </c>
      <c r="P986" s="70"/>
      <c r="Q986" s="98">
        <v>1</v>
      </c>
      <c r="R986" s="70">
        <v>1</v>
      </c>
      <c r="S986" s="70">
        <v>0</v>
      </c>
    </row>
    <row r="987" spans="1:19" s="56" customFormat="1">
      <c r="A987" s="67" t="s">
        <v>686</v>
      </c>
      <c r="B987" s="68" t="s">
        <v>514</v>
      </c>
      <c r="C987" s="67" t="s">
        <v>184</v>
      </c>
      <c r="D987" s="67" t="s">
        <v>138</v>
      </c>
      <c r="E987" s="67" t="s">
        <v>139</v>
      </c>
      <c r="F987" s="67" t="s">
        <v>186</v>
      </c>
      <c r="G987" s="69" t="s">
        <v>184</v>
      </c>
      <c r="H987" s="67">
        <v>0</v>
      </c>
      <c r="I987" s="67">
        <v>9</v>
      </c>
      <c r="J987" s="67" t="s">
        <v>691</v>
      </c>
      <c r="K987" s="67" t="s">
        <v>692</v>
      </c>
      <c r="L987" s="67" t="s">
        <v>88</v>
      </c>
      <c r="M987" s="67" t="s">
        <v>88</v>
      </c>
      <c r="N987" s="70">
        <v>1</v>
      </c>
      <c r="O987" s="70">
        <v>1</v>
      </c>
      <c r="P987" s="70"/>
      <c r="Q987" s="98">
        <v>1</v>
      </c>
      <c r="R987" s="70">
        <v>1</v>
      </c>
      <c r="S987" s="70">
        <v>0</v>
      </c>
    </row>
    <row r="988" spans="1:19" s="56" customFormat="1">
      <c r="A988" s="67" t="s">
        <v>686</v>
      </c>
      <c r="B988" s="68" t="s">
        <v>514</v>
      </c>
      <c r="C988" s="67" t="s">
        <v>184</v>
      </c>
      <c r="D988" s="67" t="s">
        <v>138</v>
      </c>
      <c r="E988" s="67" t="s">
        <v>139</v>
      </c>
      <c r="F988" s="67" t="s">
        <v>186</v>
      </c>
      <c r="G988" s="69" t="s">
        <v>184</v>
      </c>
      <c r="H988" s="67">
        <v>0</v>
      </c>
      <c r="I988" s="67">
        <v>10</v>
      </c>
      <c r="J988" s="67" t="s">
        <v>188</v>
      </c>
      <c r="K988" s="67" t="s">
        <v>89</v>
      </c>
      <c r="L988" s="67" t="s">
        <v>87</v>
      </c>
      <c r="M988" s="67" t="s">
        <v>87</v>
      </c>
      <c r="N988" s="70">
        <v>1</v>
      </c>
      <c r="O988" s="70">
        <v>1</v>
      </c>
      <c r="P988" s="70"/>
      <c r="Q988" s="98">
        <v>3</v>
      </c>
      <c r="R988" s="70">
        <v>3</v>
      </c>
      <c r="S988" s="70">
        <v>0</v>
      </c>
    </row>
    <row r="989" spans="1:19" s="56" customFormat="1">
      <c r="A989" s="67" t="s">
        <v>686</v>
      </c>
      <c r="B989" s="68" t="s">
        <v>514</v>
      </c>
      <c r="C989" s="67" t="s">
        <v>184</v>
      </c>
      <c r="D989" s="67" t="s">
        <v>138</v>
      </c>
      <c r="E989" s="67" t="s">
        <v>139</v>
      </c>
      <c r="F989" s="67" t="s">
        <v>186</v>
      </c>
      <c r="G989" s="69" t="s">
        <v>184</v>
      </c>
      <c r="H989" s="67">
        <v>0</v>
      </c>
      <c r="I989" s="67">
        <v>11</v>
      </c>
      <c r="J989" s="67" t="s">
        <v>287</v>
      </c>
      <c r="K989" s="67" t="s">
        <v>288</v>
      </c>
      <c r="L989" s="67" t="s">
        <v>88</v>
      </c>
      <c r="M989" s="67" t="s">
        <v>88</v>
      </c>
      <c r="N989" s="70">
        <v>1</v>
      </c>
      <c r="O989" s="70">
        <v>1</v>
      </c>
      <c r="P989" s="70"/>
      <c r="Q989" s="98">
        <v>1</v>
      </c>
      <c r="R989" s="70">
        <v>1</v>
      </c>
      <c r="S989" s="70">
        <v>0</v>
      </c>
    </row>
    <row r="990" spans="1:19" s="56" customFormat="1">
      <c r="A990" s="67" t="s">
        <v>686</v>
      </c>
      <c r="B990" s="68" t="s">
        <v>514</v>
      </c>
      <c r="C990" s="67" t="s">
        <v>184</v>
      </c>
      <c r="D990" s="67" t="s">
        <v>138</v>
      </c>
      <c r="E990" s="67" t="s">
        <v>139</v>
      </c>
      <c r="F990" s="67" t="s">
        <v>187</v>
      </c>
      <c r="G990" s="69" t="s">
        <v>184</v>
      </c>
      <c r="H990" s="67">
        <v>0</v>
      </c>
      <c r="I990" s="67">
        <v>12</v>
      </c>
      <c r="J990" s="67" t="s">
        <v>200</v>
      </c>
      <c r="K990" s="67" t="s">
        <v>201</v>
      </c>
      <c r="L990" s="67" t="s">
        <v>3</v>
      </c>
      <c r="M990" s="67" t="s">
        <v>142</v>
      </c>
      <c r="N990" s="70">
        <v>1000</v>
      </c>
      <c r="O990" s="70">
        <v>26.5</v>
      </c>
      <c r="P990" s="70"/>
      <c r="Q990" s="98">
        <v>51250</v>
      </c>
      <c r="R990" s="70">
        <v>51</v>
      </c>
      <c r="S990" s="70">
        <v>250</v>
      </c>
    </row>
    <row r="991" spans="1:19" s="56" customFormat="1">
      <c r="A991" s="67" t="s">
        <v>686</v>
      </c>
      <c r="B991" s="68" t="s">
        <v>514</v>
      </c>
      <c r="C991" s="67" t="s">
        <v>184</v>
      </c>
      <c r="D991" s="67" t="s">
        <v>138</v>
      </c>
      <c r="E991" s="67" t="s">
        <v>139</v>
      </c>
      <c r="F991" s="67" t="s">
        <v>186</v>
      </c>
      <c r="G991" s="69" t="s">
        <v>184</v>
      </c>
      <c r="H991" s="67">
        <v>0</v>
      </c>
      <c r="I991" s="67">
        <v>13</v>
      </c>
      <c r="J991" s="67" t="s">
        <v>445</v>
      </c>
      <c r="K991" s="67" t="s">
        <v>446</v>
      </c>
      <c r="L991" s="67" t="s">
        <v>87</v>
      </c>
      <c r="M991" s="67" t="s">
        <v>87</v>
      </c>
      <c r="N991" s="70">
        <v>1</v>
      </c>
      <c r="O991" s="70">
        <v>1</v>
      </c>
      <c r="P991" s="70"/>
      <c r="Q991" s="98">
        <v>8</v>
      </c>
      <c r="R991" s="70">
        <v>8</v>
      </c>
      <c r="S991" s="70">
        <v>0</v>
      </c>
    </row>
    <row r="992" spans="1:19" s="56" customFormat="1">
      <c r="A992" s="67" t="s">
        <v>686</v>
      </c>
      <c r="B992" s="68" t="s">
        <v>514</v>
      </c>
      <c r="C992" s="67" t="s">
        <v>184</v>
      </c>
      <c r="D992" s="67" t="s">
        <v>138</v>
      </c>
      <c r="E992" s="67" t="s">
        <v>139</v>
      </c>
      <c r="F992" s="67" t="s">
        <v>186</v>
      </c>
      <c r="G992" s="69" t="s">
        <v>184</v>
      </c>
      <c r="H992" s="67">
        <v>0</v>
      </c>
      <c r="I992" s="67">
        <v>14</v>
      </c>
      <c r="J992" s="67" t="s">
        <v>443</v>
      </c>
      <c r="K992" s="67" t="s">
        <v>444</v>
      </c>
      <c r="L992" s="67" t="s">
        <v>87</v>
      </c>
      <c r="M992" s="67" t="s">
        <v>87</v>
      </c>
      <c r="N992" s="70">
        <v>1</v>
      </c>
      <c r="O992" s="70">
        <v>1</v>
      </c>
      <c r="P992" s="70"/>
      <c r="Q992" s="98">
        <v>8</v>
      </c>
      <c r="R992" s="70">
        <v>8</v>
      </c>
      <c r="S992" s="70">
        <v>0</v>
      </c>
    </row>
    <row r="993" spans="1:19" s="56" customFormat="1">
      <c r="A993" s="67" t="s">
        <v>686</v>
      </c>
      <c r="B993" s="68" t="s">
        <v>514</v>
      </c>
      <c r="C993" s="67" t="s">
        <v>184</v>
      </c>
      <c r="D993" s="67" t="s">
        <v>138</v>
      </c>
      <c r="E993" s="67" t="s">
        <v>139</v>
      </c>
      <c r="F993" s="67" t="s">
        <v>159</v>
      </c>
      <c r="G993" s="69" t="s">
        <v>184</v>
      </c>
      <c r="H993" s="67">
        <v>0</v>
      </c>
      <c r="I993" s="67">
        <v>15</v>
      </c>
      <c r="J993" s="67" t="s">
        <v>353</v>
      </c>
      <c r="K993" s="67" t="s">
        <v>354</v>
      </c>
      <c r="L993" s="67" t="s">
        <v>94</v>
      </c>
      <c r="M993" s="67" t="s">
        <v>94</v>
      </c>
      <c r="N993" s="70">
        <v>1</v>
      </c>
      <c r="O993" s="70">
        <v>1</v>
      </c>
      <c r="P993" s="70"/>
      <c r="Q993" s="98">
        <v>1</v>
      </c>
      <c r="R993" s="70">
        <v>1</v>
      </c>
      <c r="S993" s="70">
        <v>0</v>
      </c>
    </row>
    <row r="994" spans="1:19" s="56" customFormat="1">
      <c r="A994" s="67" t="s">
        <v>686</v>
      </c>
      <c r="B994" s="68" t="s">
        <v>514</v>
      </c>
      <c r="C994" s="67" t="s">
        <v>184</v>
      </c>
      <c r="D994" s="67" t="s">
        <v>138</v>
      </c>
      <c r="E994" s="67" t="s">
        <v>139</v>
      </c>
      <c r="F994" s="67" t="s">
        <v>187</v>
      </c>
      <c r="G994" s="69" t="s">
        <v>184</v>
      </c>
      <c r="H994" s="67">
        <v>0</v>
      </c>
      <c r="I994" s="67">
        <v>16</v>
      </c>
      <c r="J994" s="67" t="s">
        <v>358</v>
      </c>
      <c r="K994" s="67" t="s">
        <v>359</v>
      </c>
      <c r="L994" s="67" t="s">
        <v>3</v>
      </c>
      <c r="M994" s="67" t="s">
        <v>142</v>
      </c>
      <c r="N994" s="70">
        <v>1000</v>
      </c>
      <c r="O994" s="70">
        <v>1E-3</v>
      </c>
      <c r="P994" s="70"/>
      <c r="Q994" s="98">
        <v>25000</v>
      </c>
      <c r="R994" s="70">
        <v>25</v>
      </c>
      <c r="S994" s="70">
        <v>0</v>
      </c>
    </row>
    <row r="995" spans="1:19" s="56" customFormat="1">
      <c r="A995" s="67" t="s">
        <v>693</v>
      </c>
      <c r="B995" s="68" t="s">
        <v>516</v>
      </c>
      <c r="C995" s="67" t="s">
        <v>184</v>
      </c>
      <c r="D995" s="67" t="s">
        <v>138</v>
      </c>
      <c r="E995" s="67" t="s">
        <v>139</v>
      </c>
      <c r="F995" s="67" t="s">
        <v>187</v>
      </c>
      <c r="G995" s="69" t="s">
        <v>184</v>
      </c>
      <c r="H995" s="67">
        <v>0</v>
      </c>
      <c r="I995" s="67">
        <v>1</v>
      </c>
      <c r="J995" s="67" t="s">
        <v>266</v>
      </c>
      <c r="K995" s="67" t="s">
        <v>96</v>
      </c>
      <c r="L995" s="67" t="s">
        <v>97</v>
      </c>
      <c r="M995" s="67" t="s">
        <v>97</v>
      </c>
      <c r="N995" s="70">
        <v>1</v>
      </c>
      <c r="O995" s="70">
        <v>1</v>
      </c>
      <c r="P995" s="70"/>
      <c r="Q995" s="98">
        <v>6</v>
      </c>
      <c r="R995" s="70">
        <v>6</v>
      </c>
      <c r="S995" s="70">
        <v>0</v>
      </c>
    </row>
    <row r="996" spans="1:19" s="56" customFormat="1">
      <c r="A996" s="67" t="s">
        <v>693</v>
      </c>
      <c r="B996" s="68" t="s">
        <v>516</v>
      </c>
      <c r="C996" s="67" t="s">
        <v>184</v>
      </c>
      <c r="D996" s="67" t="s">
        <v>138</v>
      </c>
      <c r="E996" s="67" t="s">
        <v>139</v>
      </c>
      <c r="F996" s="67" t="s">
        <v>167</v>
      </c>
      <c r="G996" s="69" t="s">
        <v>184</v>
      </c>
      <c r="H996" s="67">
        <v>0</v>
      </c>
      <c r="I996" s="67">
        <v>2</v>
      </c>
      <c r="J996" s="67" t="s">
        <v>185</v>
      </c>
      <c r="K996" s="67" t="s">
        <v>92</v>
      </c>
      <c r="L996" s="67" t="s">
        <v>88</v>
      </c>
      <c r="M996" s="67" t="s">
        <v>88</v>
      </c>
      <c r="N996" s="70">
        <v>1</v>
      </c>
      <c r="O996" s="70">
        <v>12500</v>
      </c>
      <c r="P996" s="70"/>
      <c r="Q996" s="98">
        <v>6</v>
      </c>
      <c r="R996" s="70">
        <v>6</v>
      </c>
      <c r="S996" s="70">
        <v>0</v>
      </c>
    </row>
    <row r="997" spans="1:19" s="56" customFormat="1">
      <c r="A997" s="67" t="s">
        <v>693</v>
      </c>
      <c r="B997" s="68" t="s">
        <v>516</v>
      </c>
      <c r="C997" s="67" t="s">
        <v>184</v>
      </c>
      <c r="D997" s="67" t="s">
        <v>138</v>
      </c>
      <c r="E997" s="67" t="s">
        <v>139</v>
      </c>
      <c r="F997" s="67" t="s">
        <v>186</v>
      </c>
      <c r="G997" s="69" t="s">
        <v>184</v>
      </c>
      <c r="H997" s="67">
        <v>0</v>
      </c>
      <c r="I997" s="67">
        <v>3</v>
      </c>
      <c r="J997" s="67" t="s">
        <v>188</v>
      </c>
      <c r="K997" s="67" t="s">
        <v>89</v>
      </c>
      <c r="L997" s="67" t="s">
        <v>87</v>
      </c>
      <c r="M997" s="67" t="s">
        <v>87</v>
      </c>
      <c r="N997" s="70">
        <v>1</v>
      </c>
      <c r="O997" s="70">
        <v>1</v>
      </c>
      <c r="P997" s="70"/>
      <c r="Q997" s="98">
        <v>1</v>
      </c>
      <c r="R997" s="70">
        <v>1</v>
      </c>
      <c r="S997" s="70">
        <v>0</v>
      </c>
    </row>
    <row r="998" spans="1:19" s="56" customFormat="1">
      <c r="A998" s="67" t="s">
        <v>693</v>
      </c>
      <c r="B998" s="68" t="s">
        <v>516</v>
      </c>
      <c r="C998" s="67" t="s">
        <v>184</v>
      </c>
      <c r="D998" s="67" t="s">
        <v>138</v>
      </c>
      <c r="E998" s="67" t="s">
        <v>139</v>
      </c>
      <c r="F998" s="67" t="s">
        <v>166</v>
      </c>
      <c r="G998" s="69" t="s">
        <v>184</v>
      </c>
      <c r="H998" s="67">
        <v>0</v>
      </c>
      <c r="I998" s="67">
        <v>4</v>
      </c>
      <c r="J998" s="67" t="s">
        <v>274</v>
      </c>
      <c r="K998" s="67" t="s">
        <v>275</v>
      </c>
      <c r="L998" s="67" t="s">
        <v>87</v>
      </c>
      <c r="M998" s="67" t="s">
        <v>87</v>
      </c>
      <c r="N998" s="70">
        <v>1</v>
      </c>
      <c r="O998" s="70">
        <v>1</v>
      </c>
      <c r="P998" s="70"/>
      <c r="Q998" s="98">
        <v>1</v>
      </c>
      <c r="R998" s="70">
        <v>1</v>
      </c>
      <c r="S998" s="70">
        <v>0</v>
      </c>
    </row>
    <row r="999" spans="1:19" s="56" customFormat="1">
      <c r="A999" s="67" t="s">
        <v>693</v>
      </c>
      <c r="B999" s="68" t="s">
        <v>516</v>
      </c>
      <c r="C999" s="67" t="s">
        <v>184</v>
      </c>
      <c r="D999" s="67" t="s">
        <v>138</v>
      </c>
      <c r="E999" s="67" t="s">
        <v>139</v>
      </c>
      <c r="F999" s="67" t="s">
        <v>166</v>
      </c>
      <c r="G999" s="69" t="s">
        <v>184</v>
      </c>
      <c r="H999" s="67">
        <v>0</v>
      </c>
      <c r="I999" s="67">
        <v>5</v>
      </c>
      <c r="J999" s="67" t="s">
        <v>694</v>
      </c>
      <c r="K999" s="67" t="s">
        <v>695</v>
      </c>
      <c r="L999" s="67" t="s">
        <v>87</v>
      </c>
      <c r="M999" s="67" t="s">
        <v>87</v>
      </c>
      <c r="N999" s="70">
        <v>1</v>
      </c>
      <c r="O999" s="70">
        <v>1</v>
      </c>
      <c r="P999" s="70"/>
      <c r="Q999" s="98">
        <v>1</v>
      </c>
      <c r="R999" s="70">
        <v>1</v>
      </c>
      <c r="S999" s="70">
        <v>0</v>
      </c>
    </row>
    <row r="1000" spans="1:19" s="56" customFormat="1">
      <c r="A1000" s="67" t="s">
        <v>693</v>
      </c>
      <c r="B1000" s="68" t="s">
        <v>516</v>
      </c>
      <c r="C1000" s="67" t="s">
        <v>184</v>
      </c>
      <c r="D1000" s="67" t="s">
        <v>138</v>
      </c>
      <c r="E1000" s="67" t="s">
        <v>139</v>
      </c>
      <c r="F1000" s="67" t="s">
        <v>166</v>
      </c>
      <c r="G1000" s="69" t="s">
        <v>184</v>
      </c>
      <c r="H1000" s="67">
        <v>0</v>
      </c>
      <c r="I1000" s="67">
        <v>6</v>
      </c>
      <c r="J1000" s="67" t="s">
        <v>325</v>
      </c>
      <c r="K1000" s="67" t="s">
        <v>326</v>
      </c>
      <c r="L1000" s="67" t="s">
        <v>293</v>
      </c>
      <c r="M1000" s="67" t="s">
        <v>293</v>
      </c>
      <c r="N1000" s="70">
        <v>1</v>
      </c>
      <c r="O1000" s="70">
        <v>1</v>
      </c>
      <c r="P1000" s="70"/>
      <c r="Q1000" s="98">
        <v>2</v>
      </c>
      <c r="R1000" s="70">
        <v>2</v>
      </c>
      <c r="S1000" s="70">
        <v>0</v>
      </c>
    </row>
    <row r="1001" spans="1:19" s="56" customFormat="1">
      <c r="A1001" s="67" t="s">
        <v>693</v>
      </c>
      <c r="B1001" s="68" t="s">
        <v>516</v>
      </c>
      <c r="C1001" s="67" t="s">
        <v>184</v>
      </c>
      <c r="D1001" s="67" t="s">
        <v>138</v>
      </c>
      <c r="E1001" s="67" t="s">
        <v>139</v>
      </c>
      <c r="F1001" s="67" t="s">
        <v>186</v>
      </c>
      <c r="G1001" s="69" t="s">
        <v>184</v>
      </c>
      <c r="H1001" s="67">
        <v>0</v>
      </c>
      <c r="I1001" s="67">
        <v>7</v>
      </c>
      <c r="J1001" s="67" t="s">
        <v>273</v>
      </c>
      <c r="K1001" s="67" t="s">
        <v>269</v>
      </c>
      <c r="L1001" s="67" t="s">
        <v>95</v>
      </c>
      <c r="M1001" s="67" t="s">
        <v>95</v>
      </c>
      <c r="N1001" s="70">
        <v>1</v>
      </c>
      <c r="O1001" s="70">
        <v>1</v>
      </c>
      <c r="P1001" s="70"/>
      <c r="Q1001" s="98">
        <v>2</v>
      </c>
      <c r="R1001" s="70">
        <v>2</v>
      </c>
      <c r="S1001" s="70">
        <v>0</v>
      </c>
    </row>
    <row r="1002" spans="1:19" s="56" customFormat="1">
      <c r="A1002" s="67" t="s">
        <v>693</v>
      </c>
      <c r="B1002" s="68" t="s">
        <v>516</v>
      </c>
      <c r="C1002" s="67" t="s">
        <v>184</v>
      </c>
      <c r="D1002" s="67" t="s">
        <v>138</v>
      </c>
      <c r="E1002" s="67" t="s">
        <v>139</v>
      </c>
      <c r="F1002" s="67" t="s">
        <v>186</v>
      </c>
      <c r="G1002" s="69" t="s">
        <v>184</v>
      </c>
      <c r="H1002" s="67">
        <v>0</v>
      </c>
      <c r="I1002" s="67">
        <v>8</v>
      </c>
      <c r="J1002" s="67" t="s">
        <v>403</v>
      </c>
      <c r="K1002" s="67" t="s">
        <v>404</v>
      </c>
      <c r="L1002" s="67" t="s">
        <v>88</v>
      </c>
      <c r="M1002" s="67" t="s">
        <v>88</v>
      </c>
      <c r="N1002" s="70">
        <v>1</v>
      </c>
      <c r="O1002" s="70">
        <v>1</v>
      </c>
      <c r="P1002" s="70"/>
      <c r="Q1002" s="98">
        <v>6</v>
      </c>
      <c r="R1002" s="70">
        <v>6</v>
      </c>
      <c r="S1002" s="70">
        <v>0</v>
      </c>
    </row>
    <row r="1003" spans="1:19" s="56" customFormat="1">
      <c r="A1003" s="67" t="s">
        <v>696</v>
      </c>
      <c r="B1003" s="68" t="s">
        <v>519</v>
      </c>
      <c r="C1003" s="67" t="s">
        <v>184</v>
      </c>
      <c r="D1003" s="67" t="s">
        <v>138</v>
      </c>
      <c r="E1003" s="67" t="s">
        <v>139</v>
      </c>
      <c r="F1003" s="67" t="s">
        <v>186</v>
      </c>
      <c r="G1003" s="69" t="s">
        <v>184</v>
      </c>
      <c r="H1003" s="67">
        <v>0</v>
      </c>
      <c r="I1003" s="67">
        <v>1</v>
      </c>
      <c r="J1003" s="67" t="s">
        <v>697</v>
      </c>
      <c r="K1003" s="67" t="s">
        <v>698</v>
      </c>
      <c r="L1003" s="67" t="s">
        <v>87</v>
      </c>
      <c r="M1003" s="67" t="s">
        <v>87</v>
      </c>
      <c r="N1003" s="70">
        <v>1</v>
      </c>
      <c r="O1003" s="70">
        <v>1</v>
      </c>
      <c r="P1003" s="70"/>
      <c r="Q1003" s="98">
        <v>2</v>
      </c>
      <c r="R1003" s="70">
        <v>2</v>
      </c>
      <c r="S1003" s="70">
        <v>0</v>
      </c>
    </row>
    <row r="1004" spans="1:19" s="56" customFormat="1">
      <c r="A1004" s="67" t="s">
        <v>696</v>
      </c>
      <c r="B1004" s="68" t="s">
        <v>519</v>
      </c>
      <c r="C1004" s="67" t="s">
        <v>184</v>
      </c>
      <c r="D1004" s="67" t="s">
        <v>138</v>
      </c>
      <c r="E1004" s="67" t="s">
        <v>139</v>
      </c>
      <c r="F1004" s="67" t="s">
        <v>159</v>
      </c>
      <c r="G1004" s="69" t="s">
        <v>184</v>
      </c>
      <c r="H1004" s="67">
        <v>0</v>
      </c>
      <c r="I1004" s="67">
        <v>2</v>
      </c>
      <c r="J1004" s="67" t="s">
        <v>189</v>
      </c>
      <c r="K1004" s="67" t="s">
        <v>190</v>
      </c>
      <c r="L1004" s="67" t="s">
        <v>91</v>
      </c>
      <c r="M1004" s="67" t="s">
        <v>91</v>
      </c>
      <c r="N1004" s="70">
        <v>1</v>
      </c>
      <c r="O1004" s="70">
        <v>1</v>
      </c>
      <c r="P1004" s="70"/>
      <c r="Q1004" s="98">
        <v>1</v>
      </c>
      <c r="R1004" s="70">
        <v>1</v>
      </c>
      <c r="S1004" s="70">
        <v>0</v>
      </c>
    </row>
    <row r="1005" spans="1:19" s="56" customFormat="1">
      <c r="A1005" s="67" t="s">
        <v>696</v>
      </c>
      <c r="B1005" s="68" t="s">
        <v>519</v>
      </c>
      <c r="C1005" s="67" t="s">
        <v>184</v>
      </c>
      <c r="D1005" s="67" t="s">
        <v>138</v>
      </c>
      <c r="E1005" s="67" t="s">
        <v>139</v>
      </c>
      <c r="F1005" s="67" t="s">
        <v>186</v>
      </c>
      <c r="G1005" s="69" t="s">
        <v>184</v>
      </c>
      <c r="H1005" s="67">
        <v>0</v>
      </c>
      <c r="I1005" s="67">
        <v>3</v>
      </c>
      <c r="J1005" s="67" t="s">
        <v>271</v>
      </c>
      <c r="K1005" s="67" t="s">
        <v>272</v>
      </c>
      <c r="L1005" s="67" t="s">
        <v>87</v>
      </c>
      <c r="M1005" s="67" t="s">
        <v>87</v>
      </c>
      <c r="N1005" s="70">
        <v>1</v>
      </c>
      <c r="O1005" s="70">
        <v>1</v>
      </c>
      <c r="P1005" s="70"/>
      <c r="Q1005" s="98">
        <v>4</v>
      </c>
      <c r="R1005" s="70">
        <v>4</v>
      </c>
      <c r="S1005" s="70">
        <v>0</v>
      </c>
    </row>
    <row r="1006" spans="1:19" s="56" customFormat="1">
      <c r="A1006" s="67" t="s">
        <v>696</v>
      </c>
      <c r="B1006" s="68" t="s">
        <v>519</v>
      </c>
      <c r="C1006" s="67" t="s">
        <v>184</v>
      </c>
      <c r="D1006" s="67" t="s">
        <v>138</v>
      </c>
      <c r="E1006" s="67" t="s">
        <v>139</v>
      </c>
      <c r="F1006" s="67" t="s">
        <v>186</v>
      </c>
      <c r="G1006" s="69" t="s">
        <v>184</v>
      </c>
      <c r="H1006" s="67">
        <v>0</v>
      </c>
      <c r="I1006" s="67">
        <v>4</v>
      </c>
      <c r="J1006" s="67" t="s">
        <v>699</v>
      </c>
      <c r="K1006" s="67" t="s">
        <v>700</v>
      </c>
      <c r="L1006" s="67" t="s">
        <v>87</v>
      </c>
      <c r="M1006" s="67" t="s">
        <v>87</v>
      </c>
      <c r="N1006" s="70">
        <v>1</v>
      </c>
      <c r="O1006" s="70">
        <v>1</v>
      </c>
      <c r="P1006" s="70"/>
      <c r="Q1006" s="98">
        <v>1</v>
      </c>
      <c r="R1006" s="70">
        <v>1</v>
      </c>
      <c r="S1006" s="70">
        <v>0</v>
      </c>
    </row>
    <row r="1007" spans="1:19" s="56" customFormat="1">
      <c r="A1007" s="67" t="s">
        <v>696</v>
      </c>
      <c r="B1007" s="68" t="s">
        <v>519</v>
      </c>
      <c r="C1007" s="67" t="s">
        <v>184</v>
      </c>
      <c r="D1007" s="67" t="s">
        <v>138</v>
      </c>
      <c r="E1007" s="67" t="s">
        <v>139</v>
      </c>
      <c r="F1007" s="67" t="s">
        <v>186</v>
      </c>
      <c r="G1007" s="69" t="s">
        <v>184</v>
      </c>
      <c r="H1007" s="67">
        <v>0</v>
      </c>
      <c r="I1007" s="67">
        <v>5</v>
      </c>
      <c r="J1007" s="67" t="s">
        <v>323</v>
      </c>
      <c r="K1007" s="67" t="s">
        <v>324</v>
      </c>
      <c r="L1007" s="67" t="s">
        <v>88</v>
      </c>
      <c r="M1007" s="67" t="s">
        <v>88</v>
      </c>
      <c r="N1007" s="70">
        <v>1</v>
      </c>
      <c r="O1007" s="70">
        <v>55000</v>
      </c>
      <c r="P1007" s="70"/>
      <c r="Q1007" s="98">
        <v>4</v>
      </c>
      <c r="R1007" s="70">
        <v>4</v>
      </c>
      <c r="S1007" s="70">
        <v>0</v>
      </c>
    </row>
    <row r="1008" spans="1:19" s="56" customFormat="1">
      <c r="A1008" s="67" t="s">
        <v>696</v>
      </c>
      <c r="B1008" s="68" t="s">
        <v>519</v>
      </c>
      <c r="C1008" s="67" t="s">
        <v>184</v>
      </c>
      <c r="D1008" s="67" t="s">
        <v>138</v>
      </c>
      <c r="E1008" s="67" t="s">
        <v>139</v>
      </c>
      <c r="F1008" s="67" t="s">
        <v>166</v>
      </c>
      <c r="G1008" s="69" t="s">
        <v>184</v>
      </c>
      <c r="H1008" s="67">
        <v>0</v>
      </c>
      <c r="I1008" s="67">
        <v>6</v>
      </c>
      <c r="J1008" s="67" t="s">
        <v>253</v>
      </c>
      <c r="K1008" s="67" t="s">
        <v>254</v>
      </c>
      <c r="L1008" s="67" t="s">
        <v>195</v>
      </c>
      <c r="M1008" s="67" t="s">
        <v>195</v>
      </c>
      <c r="N1008" s="70">
        <v>1</v>
      </c>
      <c r="O1008" s="70">
        <v>1</v>
      </c>
      <c r="P1008" s="70"/>
      <c r="Q1008" s="98">
        <v>2</v>
      </c>
      <c r="R1008" s="70">
        <v>2</v>
      </c>
      <c r="S1008" s="70">
        <v>0</v>
      </c>
    </row>
    <row r="1009" spans="1:19" s="56" customFormat="1">
      <c r="A1009" s="67" t="s">
        <v>696</v>
      </c>
      <c r="B1009" s="68" t="s">
        <v>519</v>
      </c>
      <c r="C1009" s="67" t="s">
        <v>184</v>
      </c>
      <c r="D1009" s="67" t="s">
        <v>138</v>
      </c>
      <c r="E1009" s="67" t="s">
        <v>139</v>
      </c>
      <c r="F1009" s="67" t="s">
        <v>186</v>
      </c>
      <c r="G1009" s="69" t="s">
        <v>184</v>
      </c>
      <c r="H1009" s="67">
        <v>0</v>
      </c>
      <c r="I1009" s="67">
        <v>7</v>
      </c>
      <c r="J1009" s="67" t="s">
        <v>399</v>
      </c>
      <c r="K1009" s="67" t="s">
        <v>400</v>
      </c>
      <c r="L1009" s="67" t="s">
        <v>87</v>
      </c>
      <c r="M1009" s="67" t="s">
        <v>87</v>
      </c>
      <c r="N1009" s="70">
        <v>1</v>
      </c>
      <c r="O1009" s="70">
        <v>1</v>
      </c>
      <c r="P1009" s="70"/>
      <c r="Q1009" s="98">
        <v>10</v>
      </c>
      <c r="R1009" s="70">
        <v>10</v>
      </c>
      <c r="S1009" s="70">
        <v>0</v>
      </c>
    </row>
    <row r="1010" spans="1:19" s="56" customFormat="1">
      <c r="A1010" s="67" t="s">
        <v>696</v>
      </c>
      <c r="B1010" s="68" t="s">
        <v>519</v>
      </c>
      <c r="C1010" s="67" t="s">
        <v>184</v>
      </c>
      <c r="D1010" s="67" t="s">
        <v>138</v>
      </c>
      <c r="E1010" s="67" t="s">
        <v>139</v>
      </c>
      <c r="F1010" s="67" t="s">
        <v>187</v>
      </c>
      <c r="G1010" s="69" t="s">
        <v>184</v>
      </c>
      <c r="H1010" s="67">
        <v>0</v>
      </c>
      <c r="I1010" s="67">
        <v>8</v>
      </c>
      <c r="J1010" s="67" t="s">
        <v>266</v>
      </c>
      <c r="K1010" s="67" t="s">
        <v>96</v>
      </c>
      <c r="L1010" s="67" t="s">
        <v>97</v>
      </c>
      <c r="M1010" s="67" t="s">
        <v>97</v>
      </c>
      <c r="N1010" s="70">
        <v>1</v>
      </c>
      <c r="O1010" s="70">
        <v>1</v>
      </c>
      <c r="P1010" s="70"/>
      <c r="Q1010" s="98">
        <v>6</v>
      </c>
      <c r="R1010" s="70">
        <v>6</v>
      </c>
      <c r="S1010" s="70">
        <v>0</v>
      </c>
    </row>
    <row r="1011" spans="1:19" s="56" customFormat="1">
      <c r="A1011" s="67" t="s">
        <v>696</v>
      </c>
      <c r="B1011" s="68" t="s">
        <v>519</v>
      </c>
      <c r="C1011" s="67" t="s">
        <v>184</v>
      </c>
      <c r="D1011" s="67" t="s">
        <v>138</v>
      </c>
      <c r="E1011" s="67" t="s">
        <v>139</v>
      </c>
      <c r="F1011" s="67" t="s">
        <v>187</v>
      </c>
      <c r="G1011" s="69" t="s">
        <v>184</v>
      </c>
      <c r="H1011" s="67">
        <v>0</v>
      </c>
      <c r="I1011" s="67">
        <v>9</v>
      </c>
      <c r="J1011" s="67" t="s">
        <v>200</v>
      </c>
      <c r="K1011" s="67" t="s">
        <v>201</v>
      </c>
      <c r="L1011" s="67" t="s">
        <v>3</v>
      </c>
      <c r="M1011" s="67" t="s">
        <v>142</v>
      </c>
      <c r="N1011" s="70">
        <v>1000</v>
      </c>
      <c r="O1011" s="70">
        <v>26.5</v>
      </c>
      <c r="P1011" s="70"/>
      <c r="Q1011" s="98">
        <v>22300</v>
      </c>
      <c r="R1011" s="70">
        <v>22</v>
      </c>
      <c r="S1011" s="70">
        <v>300</v>
      </c>
    </row>
    <row r="1012" spans="1:19" s="56" customFormat="1">
      <c r="A1012" s="67" t="s">
        <v>696</v>
      </c>
      <c r="B1012" s="68" t="s">
        <v>519</v>
      </c>
      <c r="C1012" s="67" t="s">
        <v>184</v>
      </c>
      <c r="D1012" s="67" t="s">
        <v>138</v>
      </c>
      <c r="E1012" s="67" t="s">
        <v>139</v>
      </c>
      <c r="F1012" s="67" t="s">
        <v>186</v>
      </c>
      <c r="G1012" s="69" t="s">
        <v>184</v>
      </c>
      <c r="H1012" s="67">
        <v>0</v>
      </c>
      <c r="I1012" s="67">
        <v>10</v>
      </c>
      <c r="J1012" s="67" t="s">
        <v>403</v>
      </c>
      <c r="K1012" s="67" t="s">
        <v>404</v>
      </c>
      <c r="L1012" s="67" t="s">
        <v>88</v>
      </c>
      <c r="M1012" s="67" t="s">
        <v>88</v>
      </c>
      <c r="N1012" s="70">
        <v>1</v>
      </c>
      <c r="O1012" s="70">
        <v>1</v>
      </c>
      <c r="P1012" s="70"/>
      <c r="Q1012" s="98">
        <v>10</v>
      </c>
      <c r="R1012" s="70">
        <v>10</v>
      </c>
      <c r="S1012" s="70">
        <v>0</v>
      </c>
    </row>
    <row r="1013" spans="1:19" s="56" customFormat="1">
      <c r="A1013" s="67" t="s">
        <v>701</v>
      </c>
      <c r="B1013" s="68" t="s">
        <v>521</v>
      </c>
      <c r="C1013" s="67" t="s">
        <v>184</v>
      </c>
      <c r="D1013" s="67" t="s">
        <v>138</v>
      </c>
      <c r="E1013" s="67" t="s">
        <v>139</v>
      </c>
      <c r="F1013" s="67" t="s">
        <v>166</v>
      </c>
      <c r="G1013" s="69" t="s">
        <v>184</v>
      </c>
      <c r="H1013" s="67">
        <v>0</v>
      </c>
      <c r="I1013" s="67">
        <v>1</v>
      </c>
      <c r="J1013" s="67" t="s">
        <v>193</v>
      </c>
      <c r="K1013" s="67" t="s">
        <v>101</v>
      </c>
      <c r="L1013" s="67" t="s">
        <v>100</v>
      </c>
      <c r="M1013" s="67" t="s">
        <v>100</v>
      </c>
      <c r="N1013" s="70">
        <v>1</v>
      </c>
      <c r="O1013" s="70">
        <v>33700</v>
      </c>
      <c r="P1013" s="70"/>
      <c r="Q1013" s="98">
        <v>77</v>
      </c>
      <c r="R1013" s="70">
        <v>77</v>
      </c>
      <c r="S1013" s="70">
        <v>0</v>
      </c>
    </row>
    <row r="1014" spans="1:19" s="56" customFormat="1">
      <c r="A1014" s="67" t="s">
        <v>701</v>
      </c>
      <c r="B1014" s="68" t="s">
        <v>521</v>
      </c>
      <c r="C1014" s="67" t="s">
        <v>184</v>
      </c>
      <c r="D1014" s="67" t="s">
        <v>138</v>
      </c>
      <c r="E1014" s="67" t="s">
        <v>139</v>
      </c>
      <c r="F1014" s="67" t="s">
        <v>166</v>
      </c>
      <c r="G1014" s="69" t="s">
        <v>184</v>
      </c>
      <c r="H1014" s="67">
        <v>0</v>
      </c>
      <c r="I1014" s="67">
        <v>2</v>
      </c>
      <c r="J1014" s="67" t="s">
        <v>416</v>
      </c>
      <c r="K1014" s="67" t="s">
        <v>417</v>
      </c>
      <c r="L1014" s="67" t="s">
        <v>88</v>
      </c>
      <c r="M1014" s="67" t="s">
        <v>88</v>
      </c>
      <c r="N1014" s="70">
        <v>1</v>
      </c>
      <c r="O1014" s="70">
        <v>1</v>
      </c>
      <c r="P1014" s="70"/>
      <c r="Q1014" s="98">
        <v>1</v>
      </c>
      <c r="R1014" s="70">
        <v>1</v>
      </c>
      <c r="S1014" s="70">
        <v>0</v>
      </c>
    </row>
    <row r="1015" spans="1:19" s="56" customFormat="1">
      <c r="A1015" s="67" t="s">
        <v>701</v>
      </c>
      <c r="B1015" s="68" t="s">
        <v>521</v>
      </c>
      <c r="C1015" s="67" t="s">
        <v>184</v>
      </c>
      <c r="D1015" s="67" t="s">
        <v>138</v>
      </c>
      <c r="E1015" s="67" t="s">
        <v>139</v>
      </c>
      <c r="F1015" s="67" t="s">
        <v>159</v>
      </c>
      <c r="G1015" s="69" t="s">
        <v>184</v>
      </c>
      <c r="H1015" s="67">
        <v>0</v>
      </c>
      <c r="I1015" s="67">
        <v>3</v>
      </c>
      <c r="J1015" s="67" t="s">
        <v>407</v>
      </c>
      <c r="K1015" s="67" t="s">
        <v>408</v>
      </c>
      <c r="L1015" s="67" t="s">
        <v>88</v>
      </c>
      <c r="M1015" s="67" t="s">
        <v>88</v>
      </c>
      <c r="N1015" s="70">
        <v>1</v>
      </c>
      <c r="O1015" s="70">
        <v>1</v>
      </c>
      <c r="P1015" s="70"/>
      <c r="Q1015" s="98">
        <v>2</v>
      </c>
      <c r="R1015" s="70">
        <v>2</v>
      </c>
      <c r="S1015" s="70">
        <v>0</v>
      </c>
    </row>
    <row r="1016" spans="1:19" s="56" customFormat="1">
      <c r="A1016" s="67" t="s">
        <v>701</v>
      </c>
      <c r="B1016" s="68" t="s">
        <v>521</v>
      </c>
      <c r="C1016" s="67" t="s">
        <v>184</v>
      </c>
      <c r="D1016" s="67" t="s">
        <v>138</v>
      </c>
      <c r="E1016" s="67" t="s">
        <v>139</v>
      </c>
      <c r="F1016" s="67" t="s">
        <v>167</v>
      </c>
      <c r="G1016" s="69" t="s">
        <v>184</v>
      </c>
      <c r="H1016" s="67">
        <v>0</v>
      </c>
      <c r="I1016" s="67">
        <v>4</v>
      </c>
      <c r="J1016" s="67" t="s">
        <v>185</v>
      </c>
      <c r="K1016" s="67" t="s">
        <v>92</v>
      </c>
      <c r="L1016" s="67" t="s">
        <v>88</v>
      </c>
      <c r="M1016" s="67" t="s">
        <v>88</v>
      </c>
      <c r="N1016" s="70">
        <v>1</v>
      </c>
      <c r="O1016" s="70">
        <v>12500</v>
      </c>
      <c r="P1016" s="70"/>
      <c r="Q1016" s="98">
        <v>4</v>
      </c>
      <c r="R1016" s="70">
        <v>4</v>
      </c>
      <c r="S1016" s="70">
        <v>0</v>
      </c>
    </row>
    <row r="1017" spans="1:19" s="56" customFormat="1">
      <c r="A1017" s="67" t="s">
        <v>701</v>
      </c>
      <c r="B1017" s="68" t="s">
        <v>521</v>
      </c>
      <c r="C1017" s="67" t="s">
        <v>184</v>
      </c>
      <c r="D1017" s="67" t="s">
        <v>138</v>
      </c>
      <c r="E1017" s="67" t="s">
        <v>139</v>
      </c>
      <c r="F1017" s="67" t="s">
        <v>167</v>
      </c>
      <c r="G1017" s="69" t="s">
        <v>184</v>
      </c>
      <c r="H1017" s="67">
        <v>0</v>
      </c>
      <c r="I1017" s="67">
        <v>5</v>
      </c>
      <c r="J1017" s="67" t="s">
        <v>274</v>
      </c>
      <c r="K1017" s="67" t="s">
        <v>275</v>
      </c>
      <c r="L1017" s="67" t="s">
        <v>87</v>
      </c>
      <c r="M1017" s="67" t="s">
        <v>87</v>
      </c>
      <c r="N1017" s="70">
        <v>1</v>
      </c>
      <c r="O1017" s="70">
        <v>1</v>
      </c>
      <c r="P1017" s="70"/>
      <c r="Q1017" s="98">
        <v>1</v>
      </c>
      <c r="R1017" s="70">
        <v>1</v>
      </c>
      <c r="S1017" s="70">
        <v>0</v>
      </c>
    </row>
    <row r="1018" spans="1:19" s="56" customFormat="1">
      <c r="A1018" s="67" t="s">
        <v>701</v>
      </c>
      <c r="B1018" s="68" t="s">
        <v>521</v>
      </c>
      <c r="C1018" s="67" t="s">
        <v>184</v>
      </c>
      <c r="D1018" s="67" t="s">
        <v>138</v>
      </c>
      <c r="E1018" s="67" t="s">
        <v>139</v>
      </c>
      <c r="F1018" s="67" t="s">
        <v>187</v>
      </c>
      <c r="G1018" s="69" t="s">
        <v>184</v>
      </c>
      <c r="H1018" s="67">
        <v>0</v>
      </c>
      <c r="I1018" s="67">
        <v>6</v>
      </c>
      <c r="J1018" s="67" t="s">
        <v>266</v>
      </c>
      <c r="K1018" s="67" t="s">
        <v>96</v>
      </c>
      <c r="L1018" s="67" t="s">
        <v>97</v>
      </c>
      <c r="M1018" s="67" t="s">
        <v>97</v>
      </c>
      <c r="N1018" s="70">
        <v>1</v>
      </c>
      <c r="O1018" s="70">
        <v>1</v>
      </c>
      <c r="P1018" s="70"/>
      <c r="Q1018" s="98">
        <v>6</v>
      </c>
      <c r="R1018" s="70">
        <v>6</v>
      </c>
      <c r="S1018" s="70">
        <v>0</v>
      </c>
    </row>
    <row r="1019" spans="1:19" s="56" customFormat="1">
      <c r="A1019" s="67" t="s">
        <v>701</v>
      </c>
      <c r="B1019" s="68" t="s">
        <v>521</v>
      </c>
      <c r="C1019" s="67" t="s">
        <v>184</v>
      </c>
      <c r="D1019" s="67" t="s">
        <v>138</v>
      </c>
      <c r="E1019" s="67" t="s">
        <v>139</v>
      </c>
      <c r="F1019" s="67" t="s">
        <v>162</v>
      </c>
      <c r="G1019" s="69" t="s">
        <v>184</v>
      </c>
      <c r="H1019" s="67">
        <v>0</v>
      </c>
      <c r="I1019" s="67">
        <v>7</v>
      </c>
      <c r="J1019" s="67" t="s">
        <v>702</v>
      </c>
      <c r="K1019" s="67" t="s">
        <v>703</v>
      </c>
      <c r="L1019" s="67" t="s">
        <v>87</v>
      </c>
      <c r="M1019" s="67" t="s">
        <v>87</v>
      </c>
      <c r="N1019" s="70">
        <v>1</v>
      </c>
      <c r="O1019" s="70">
        <v>1</v>
      </c>
      <c r="P1019" s="70"/>
      <c r="Q1019" s="98">
        <v>1</v>
      </c>
      <c r="R1019" s="70">
        <v>1</v>
      </c>
      <c r="S1019" s="70">
        <v>0</v>
      </c>
    </row>
    <row r="1020" spans="1:19" s="56" customFormat="1">
      <c r="A1020" s="67" t="s">
        <v>701</v>
      </c>
      <c r="B1020" s="68" t="s">
        <v>521</v>
      </c>
      <c r="C1020" s="67" t="s">
        <v>184</v>
      </c>
      <c r="D1020" s="67" t="s">
        <v>138</v>
      </c>
      <c r="E1020" s="67" t="s">
        <v>139</v>
      </c>
      <c r="F1020" s="67" t="s">
        <v>162</v>
      </c>
      <c r="G1020" s="69" t="s">
        <v>184</v>
      </c>
      <c r="H1020" s="67">
        <v>0</v>
      </c>
      <c r="I1020" s="67">
        <v>8</v>
      </c>
      <c r="J1020" s="67" t="s">
        <v>612</v>
      </c>
      <c r="K1020" s="67" t="s">
        <v>613</v>
      </c>
      <c r="L1020" s="67" t="s">
        <v>87</v>
      </c>
      <c r="M1020" s="67" t="s">
        <v>87</v>
      </c>
      <c r="N1020" s="70">
        <v>1</v>
      </c>
      <c r="O1020" s="70">
        <v>1</v>
      </c>
      <c r="P1020" s="70"/>
      <c r="Q1020" s="98">
        <v>2</v>
      </c>
      <c r="R1020" s="70">
        <v>2</v>
      </c>
      <c r="S1020" s="70">
        <v>0</v>
      </c>
    </row>
    <row r="1021" spans="1:19" s="56" customFormat="1">
      <c r="A1021" s="67" t="s">
        <v>701</v>
      </c>
      <c r="B1021" s="68" t="s">
        <v>521</v>
      </c>
      <c r="C1021" s="67" t="s">
        <v>184</v>
      </c>
      <c r="D1021" s="67" t="s">
        <v>138</v>
      </c>
      <c r="E1021" s="67" t="s">
        <v>139</v>
      </c>
      <c r="F1021" s="67" t="s">
        <v>162</v>
      </c>
      <c r="G1021" s="69" t="s">
        <v>184</v>
      </c>
      <c r="H1021" s="67">
        <v>0</v>
      </c>
      <c r="I1021" s="67">
        <v>9</v>
      </c>
      <c r="J1021" s="67" t="s">
        <v>434</v>
      </c>
      <c r="K1021" s="67" t="s">
        <v>435</v>
      </c>
      <c r="L1021" s="67" t="s">
        <v>88</v>
      </c>
      <c r="M1021" s="67" t="s">
        <v>88</v>
      </c>
      <c r="N1021" s="70">
        <v>1</v>
      </c>
      <c r="O1021" s="70">
        <v>1</v>
      </c>
      <c r="P1021" s="70"/>
      <c r="Q1021" s="98">
        <v>1</v>
      </c>
      <c r="R1021" s="70">
        <v>1</v>
      </c>
      <c r="S1021" s="70">
        <v>0</v>
      </c>
    </row>
    <row r="1022" spans="1:19" s="56" customFormat="1">
      <c r="A1022" s="67" t="s">
        <v>701</v>
      </c>
      <c r="B1022" s="68" t="s">
        <v>521</v>
      </c>
      <c r="C1022" s="67" t="s">
        <v>184</v>
      </c>
      <c r="D1022" s="67" t="s">
        <v>138</v>
      </c>
      <c r="E1022" s="67" t="s">
        <v>139</v>
      </c>
      <c r="F1022" s="67" t="s">
        <v>186</v>
      </c>
      <c r="G1022" s="69" t="s">
        <v>184</v>
      </c>
      <c r="H1022" s="67">
        <v>0</v>
      </c>
      <c r="I1022" s="67">
        <v>10</v>
      </c>
      <c r="J1022" s="67" t="s">
        <v>198</v>
      </c>
      <c r="K1022" s="67" t="s">
        <v>199</v>
      </c>
      <c r="L1022" s="67" t="s">
        <v>87</v>
      </c>
      <c r="M1022" s="67" t="s">
        <v>87</v>
      </c>
      <c r="N1022" s="70">
        <v>1</v>
      </c>
      <c r="O1022" s="70">
        <v>13000</v>
      </c>
      <c r="P1022" s="70"/>
      <c r="Q1022" s="98">
        <v>2</v>
      </c>
      <c r="R1022" s="70">
        <v>2</v>
      </c>
      <c r="S1022" s="70">
        <v>0</v>
      </c>
    </row>
    <row r="1023" spans="1:19" s="56" customFormat="1">
      <c r="A1023" s="67" t="s">
        <v>701</v>
      </c>
      <c r="B1023" s="68" t="s">
        <v>521</v>
      </c>
      <c r="C1023" s="67" t="s">
        <v>184</v>
      </c>
      <c r="D1023" s="67" t="s">
        <v>138</v>
      </c>
      <c r="E1023" s="67" t="s">
        <v>139</v>
      </c>
      <c r="F1023" s="67" t="s">
        <v>186</v>
      </c>
      <c r="G1023" s="69" t="s">
        <v>184</v>
      </c>
      <c r="H1023" s="67">
        <v>0</v>
      </c>
      <c r="I1023" s="67">
        <v>11</v>
      </c>
      <c r="J1023" s="67" t="s">
        <v>203</v>
      </c>
      <c r="K1023" s="67" t="s">
        <v>204</v>
      </c>
      <c r="L1023" s="67" t="s">
        <v>87</v>
      </c>
      <c r="M1023" s="67" t="s">
        <v>87</v>
      </c>
      <c r="N1023" s="70">
        <v>1</v>
      </c>
      <c r="O1023" s="70">
        <v>1</v>
      </c>
      <c r="P1023" s="70"/>
      <c r="Q1023" s="98">
        <v>2</v>
      </c>
      <c r="R1023" s="70">
        <v>2</v>
      </c>
      <c r="S1023" s="70">
        <v>0</v>
      </c>
    </row>
    <row r="1024" spans="1:19" s="56" customFormat="1">
      <c r="A1024" s="67" t="s">
        <v>701</v>
      </c>
      <c r="B1024" s="68" t="s">
        <v>521</v>
      </c>
      <c r="C1024" s="67" t="s">
        <v>184</v>
      </c>
      <c r="D1024" s="67" t="s">
        <v>138</v>
      </c>
      <c r="E1024" s="67" t="s">
        <v>139</v>
      </c>
      <c r="F1024" s="67" t="s">
        <v>186</v>
      </c>
      <c r="G1024" s="69" t="s">
        <v>184</v>
      </c>
      <c r="H1024" s="67">
        <v>0</v>
      </c>
      <c r="I1024" s="67">
        <v>12</v>
      </c>
      <c r="J1024" s="67" t="s">
        <v>291</v>
      </c>
      <c r="K1024" s="67" t="s">
        <v>292</v>
      </c>
      <c r="L1024" s="67" t="s">
        <v>87</v>
      </c>
      <c r="M1024" s="67" t="s">
        <v>87</v>
      </c>
      <c r="N1024" s="70">
        <v>1</v>
      </c>
      <c r="O1024" s="70">
        <v>1</v>
      </c>
      <c r="P1024" s="70"/>
      <c r="Q1024" s="98">
        <v>1</v>
      </c>
      <c r="R1024" s="70">
        <v>1</v>
      </c>
      <c r="S1024" s="70">
        <v>0</v>
      </c>
    </row>
    <row r="1025" spans="1:19" s="56" customFormat="1">
      <c r="A1025" s="67" t="s">
        <v>701</v>
      </c>
      <c r="B1025" s="68" t="s">
        <v>521</v>
      </c>
      <c r="C1025" s="67" t="s">
        <v>184</v>
      </c>
      <c r="D1025" s="67" t="s">
        <v>138</v>
      </c>
      <c r="E1025" s="67" t="s">
        <v>139</v>
      </c>
      <c r="F1025" s="67" t="s">
        <v>186</v>
      </c>
      <c r="G1025" s="69" t="s">
        <v>184</v>
      </c>
      <c r="H1025" s="67">
        <v>0</v>
      </c>
      <c r="I1025" s="67">
        <v>13</v>
      </c>
      <c r="J1025" s="67" t="s">
        <v>287</v>
      </c>
      <c r="K1025" s="67" t="s">
        <v>288</v>
      </c>
      <c r="L1025" s="67" t="s">
        <v>88</v>
      </c>
      <c r="M1025" s="67" t="s">
        <v>88</v>
      </c>
      <c r="N1025" s="70">
        <v>1</v>
      </c>
      <c r="O1025" s="70">
        <v>1</v>
      </c>
      <c r="P1025" s="70"/>
      <c r="Q1025" s="98">
        <v>1</v>
      </c>
      <c r="R1025" s="70">
        <v>1</v>
      </c>
      <c r="S1025" s="70">
        <v>0</v>
      </c>
    </row>
    <row r="1026" spans="1:19" s="56" customFormat="1">
      <c r="A1026" s="67" t="s">
        <v>701</v>
      </c>
      <c r="B1026" s="68" t="s">
        <v>521</v>
      </c>
      <c r="C1026" s="67" t="s">
        <v>184</v>
      </c>
      <c r="D1026" s="67" t="s">
        <v>138</v>
      </c>
      <c r="E1026" s="67" t="s">
        <v>139</v>
      </c>
      <c r="F1026" s="67" t="s">
        <v>186</v>
      </c>
      <c r="G1026" s="69" t="s">
        <v>184</v>
      </c>
      <c r="H1026" s="67">
        <v>0</v>
      </c>
      <c r="I1026" s="67">
        <v>14</v>
      </c>
      <c r="J1026" s="67" t="s">
        <v>285</v>
      </c>
      <c r="K1026" s="67" t="s">
        <v>286</v>
      </c>
      <c r="L1026" s="67" t="s">
        <v>195</v>
      </c>
      <c r="M1026" s="67" t="s">
        <v>195</v>
      </c>
      <c r="N1026" s="70">
        <v>1</v>
      </c>
      <c r="O1026" s="70">
        <v>1</v>
      </c>
      <c r="P1026" s="70"/>
      <c r="Q1026" s="98">
        <v>1</v>
      </c>
      <c r="R1026" s="70">
        <v>1</v>
      </c>
      <c r="S1026" s="70">
        <v>0</v>
      </c>
    </row>
    <row r="1027" spans="1:19" s="56" customFormat="1">
      <c r="A1027" s="67" t="s">
        <v>701</v>
      </c>
      <c r="B1027" s="68" t="s">
        <v>521</v>
      </c>
      <c r="C1027" s="67" t="s">
        <v>184</v>
      </c>
      <c r="D1027" s="67" t="s">
        <v>138</v>
      </c>
      <c r="E1027" s="67" t="s">
        <v>139</v>
      </c>
      <c r="F1027" s="67" t="s">
        <v>186</v>
      </c>
      <c r="G1027" s="69" t="s">
        <v>184</v>
      </c>
      <c r="H1027" s="67">
        <v>0</v>
      </c>
      <c r="I1027" s="67">
        <v>15</v>
      </c>
      <c r="J1027" s="67" t="s">
        <v>428</v>
      </c>
      <c r="K1027" s="67" t="s">
        <v>429</v>
      </c>
      <c r="L1027" s="67" t="s">
        <v>5</v>
      </c>
      <c r="M1027" s="67" t="s">
        <v>5</v>
      </c>
      <c r="N1027" s="70">
        <v>1</v>
      </c>
      <c r="O1027" s="70">
        <v>1</v>
      </c>
      <c r="P1027" s="70"/>
      <c r="Q1027" s="98">
        <v>2</v>
      </c>
      <c r="R1027" s="70">
        <v>2</v>
      </c>
      <c r="S1027" s="70">
        <v>0</v>
      </c>
    </row>
    <row r="1028" spans="1:19" s="56" customFormat="1">
      <c r="A1028" s="67" t="s">
        <v>701</v>
      </c>
      <c r="B1028" s="68" t="s">
        <v>521</v>
      </c>
      <c r="C1028" s="67" t="s">
        <v>184</v>
      </c>
      <c r="D1028" s="67" t="s">
        <v>138</v>
      </c>
      <c r="E1028" s="67" t="s">
        <v>139</v>
      </c>
      <c r="F1028" s="67" t="s">
        <v>187</v>
      </c>
      <c r="G1028" s="69" t="s">
        <v>184</v>
      </c>
      <c r="H1028" s="67">
        <v>0</v>
      </c>
      <c r="I1028" s="67">
        <v>16</v>
      </c>
      <c r="J1028" s="67" t="s">
        <v>704</v>
      </c>
      <c r="K1028" s="67" t="s">
        <v>705</v>
      </c>
      <c r="L1028" s="67" t="s">
        <v>87</v>
      </c>
      <c r="M1028" s="67" t="s">
        <v>87</v>
      </c>
      <c r="N1028" s="70">
        <v>1</v>
      </c>
      <c r="O1028" s="70">
        <v>1</v>
      </c>
      <c r="P1028" s="70"/>
      <c r="Q1028" s="98">
        <v>1</v>
      </c>
      <c r="R1028" s="70">
        <v>1</v>
      </c>
      <c r="S1028" s="70">
        <v>0</v>
      </c>
    </row>
    <row r="1029" spans="1:19" s="56" customFormat="1">
      <c r="A1029" s="67" t="s">
        <v>701</v>
      </c>
      <c r="B1029" s="68" t="s">
        <v>521</v>
      </c>
      <c r="C1029" s="67" t="s">
        <v>184</v>
      </c>
      <c r="D1029" s="67" t="s">
        <v>138</v>
      </c>
      <c r="E1029" s="67" t="s">
        <v>139</v>
      </c>
      <c r="F1029" s="67" t="s">
        <v>187</v>
      </c>
      <c r="G1029" s="69" t="s">
        <v>184</v>
      </c>
      <c r="H1029" s="67">
        <v>0</v>
      </c>
      <c r="I1029" s="67">
        <v>18</v>
      </c>
      <c r="J1029" s="67" t="s">
        <v>358</v>
      </c>
      <c r="K1029" s="67" t="s">
        <v>359</v>
      </c>
      <c r="L1029" s="67" t="s">
        <v>3</v>
      </c>
      <c r="M1029" s="67" t="s">
        <v>142</v>
      </c>
      <c r="N1029" s="70">
        <v>1000</v>
      </c>
      <c r="O1029" s="70">
        <v>1E-3</v>
      </c>
      <c r="P1029" s="70"/>
      <c r="Q1029" s="98">
        <v>25000</v>
      </c>
      <c r="R1029" s="70">
        <v>25</v>
      </c>
      <c r="S1029" s="70">
        <v>0</v>
      </c>
    </row>
    <row r="1030" spans="1:19" s="56" customFormat="1">
      <c r="A1030" s="67" t="s">
        <v>701</v>
      </c>
      <c r="B1030" s="68" t="s">
        <v>521</v>
      </c>
      <c r="C1030" s="67" t="s">
        <v>184</v>
      </c>
      <c r="D1030" s="67" t="s">
        <v>138</v>
      </c>
      <c r="E1030" s="67" t="s">
        <v>139</v>
      </c>
      <c r="F1030" s="67" t="s">
        <v>166</v>
      </c>
      <c r="G1030" s="69" t="s">
        <v>184</v>
      </c>
      <c r="H1030" s="67">
        <v>0</v>
      </c>
      <c r="I1030" s="67">
        <v>19</v>
      </c>
      <c r="J1030" s="67" t="s">
        <v>706</v>
      </c>
      <c r="K1030" s="67" t="s">
        <v>707</v>
      </c>
      <c r="L1030" s="67" t="s">
        <v>87</v>
      </c>
      <c r="M1030" s="67" t="s">
        <v>87</v>
      </c>
      <c r="N1030" s="70">
        <v>1</v>
      </c>
      <c r="O1030" s="70">
        <v>1</v>
      </c>
      <c r="P1030" s="70"/>
      <c r="Q1030" s="98">
        <v>1</v>
      </c>
      <c r="R1030" s="70">
        <v>1</v>
      </c>
      <c r="S1030" s="70">
        <v>0</v>
      </c>
    </row>
    <row r="1031" spans="1:19" s="56" customFormat="1">
      <c r="A1031" s="67" t="s">
        <v>701</v>
      </c>
      <c r="B1031" s="68" t="s">
        <v>521</v>
      </c>
      <c r="C1031" s="67" t="s">
        <v>184</v>
      </c>
      <c r="D1031" s="67" t="s">
        <v>138</v>
      </c>
      <c r="E1031" s="67" t="s">
        <v>139</v>
      </c>
      <c r="F1031" s="67" t="s">
        <v>202</v>
      </c>
      <c r="G1031" s="69" t="s">
        <v>184</v>
      </c>
      <c r="H1031" s="67">
        <v>0</v>
      </c>
      <c r="I1031" s="67">
        <v>20</v>
      </c>
      <c r="J1031" s="67" t="s">
        <v>708</v>
      </c>
      <c r="K1031" s="67" t="s">
        <v>709</v>
      </c>
      <c r="L1031" s="67" t="s">
        <v>91</v>
      </c>
      <c r="M1031" s="67" t="s">
        <v>91</v>
      </c>
      <c r="N1031" s="70">
        <v>1</v>
      </c>
      <c r="O1031" s="70">
        <v>1</v>
      </c>
      <c r="P1031" s="70"/>
      <c r="Q1031" s="98">
        <v>1</v>
      </c>
      <c r="R1031" s="70">
        <v>1</v>
      </c>
      <c r="S1031" s="70">
        <v>0</v>
      </c>
    </row>
    <row r="1032" spans="1:19" s="56" customFormat="1">
      <c r="A1032" s="67" t="s">
        <v>710</v>
      </c>
      <c r="B1032" s="68" t="s">
        <v>523</v>
      </c>
      <c r="C1032" s="67" t="s">
        <v>184</v>
      </c>
      <c r="D1032" s="67" t="s">
        <v>138</v>
      </c>
      <c r="E1032" s="67" t="s">
        <v>139</v>
      </c>
      <c r="F1032" s="67" t="s">
        <v>187</v>
      </c>
      <c r="G1032" s="69" t="s">
        <v>184</v>
      </c>
      <c r="H1032" s="67">
        <v>0</v>
      </c>
      <c r="I1032" s="67">
        <v>1</v>
      </c>
      <c r="J1032" s="67" t="s">
        <v>266</v>
      </c>
      <c r="K1032" s="67" t="s">
        <v>96</v>
      </c>
      <c r="L1032" s="67" t="s">
        <v>97</v>
      </c>
      <c r="M1032" s="67" t="s">
        <v>97</v>
      </c>
      <c r="N1032" s="70">
        <v>1</v>
      </c>
      <c r="O1032" s="70">
        <v>1</v>
      </c>
      <c r="P1032" s="70"/>
      <c r="Q1032" s="98">
        <v>6</v>
      </c>
      <c r="R1032" s="70">
        <v>6</v>
      </c>
      <c r="S1032" s="70">
        <v>0</v>
      </c>
    </row>
    <row r="1033" spans="1:19" s="56" customFormat="1">
      <c r="A1033" s="67" t="s">
        <v>710</v>
      </c>
      <c r="B1033" s="68" t="s">
        <v>523</v>
      </c>
      <c r="C1033" s="67" t="s">
        <v>184</v>
      </c>
      <c r="D1033" s="67" t="s">
        <v>138</v>
      </c>
      <c r="E1033" s="67" t="s">
        <v>139</v>
      </c>
      <c r="F1033" s="67" t="s">
        <v>186</v>
      </c>
      <c r="G1033" s="69" t="s">
        <v>184</v>
      </c>
      <c r="H1033" s="67">
        <v>0</v>
      </c>
      <c r="I1033" s="67">
        <v>2</v>
      </c>
      <c r="J1033" s="67" t="s">
        <v>412</v>
      </c>
      <c r="K1033" s="67" t="s">
        <v>413</v>
      </c>
      <c r="L1033" s="67" t="s">
        <v>87</v>
      </c>
      <c r="M1033" s="67" t="s">
        <v>87</v>
      </c>
      <c r="N1033" s="70">
        <v>1</v>
      </c>
      <c r="O1033" s="70">
        <v>1</v>
      </c>
      <c r="P1033" s="70"/>
      <c r="Q1033" s="98">
        <v>1</v>
      </c>
      <c r="R1033" s="70">
        <v>1</v>
      </c>
      <c r="S1033" s="70">
        <v>0</v>
      </c>
    </row>
    <row r="1034" spans="1:19" s="56" customFormat="1">
      <c r="A1034" s="67" t="s">
        <v>710</v>
      </c>
      <c r="B1034" s="68" t="s">
        <v>523</v>
      </c>
      <c r="C1034" s="67" t="s">
        <v>184</v>
      </c>
      <c r="D1034" s="67" t="s">
        <v>138</v>
      </c>
      <c r="E1034" s="67" t="s">
        <v>139</v>
      </c>
      <c r="F1034" s="67" t="s">
        <v>186</v>
      </c>
      <c r="G1034" s="69" t="s">
        <v>184</v>
      </c>
      <c r="H1034" s="67">
        <v>0</v>
      </c>
      <c r="I1034" s="67">
        <v>3</v>
      </c>
      <c r="J1034" s="67" t="s">
        <v>191</v>
      </c>
      <c r="K1034" s="67" t="s">
        <v>192</v>
      </c>
      <c r="L1034" s="67" t="s">
        <v>87</v>
      </c>
      <c r="M1034" s="67" t="s">
        <v>87</v>
      </c>
      <c r="N1034" s="70">
        <v>1</v>
      </c>
      <c r="O1034" s="70">
        <v>1</v>
      </c>
      <c r="P1034" s="70"/>
      <c r="Q1034" s="98">
        <v>1</v>
      </c>
      <c r="R1034" s="70">
        <v>1</v>
      </c>
      <c r="S1034" s="70">
        <v>0</v>
      </c>
    </row>
    <row r="1035" spans="1:19" s="56" customFormat="1">
      <c r="A1035" s="67" t="s">
        <v>710</v>
      </c>
      <c r="B1035" s="68" t="s">
        <v>523</v>
      </c>
      <c r="C1035" s="67" t="s">
        <v>184</v>
      </c>
      <c r="D1035" s="67" t="s">
        <v>138</v>
      </c>
      <c r="E1035" s="67" t="s">
        <v>139</v>
      </c>
      <c r="F1035" s="67" t="s">
        <v>166</v>
      </c>
      <c r="G1035" s="69" t="s">
        <v>184</v>
      </c>
      <c r="H1035" s="67">
        <v>0</v>
      </c>
      <c r="I1035" s="67">
        <v>4</v>
      </c>
      <c r="J1035" s="67" t="s">
        <v>274</v>
      </c>
      <c r="K1035" s="67" t="s">
        <v>275</v>
      </c>
      <c r="L1035" s="67" t="s">
        <v>87</v>
      </c>
      <c r="M1035" s="67" t="s">
        <v>87</v>
      </c>
      <c r="N1035" s="70">
        <v>1</v>
      </c>
      <c r="O1035" s="70">
        <v>1</v>
      </c>
      <c r="P1035" s="70"/>
      <c r="Q1035" s="98">
        <v>1</v>
      </c>
      <c r="R1035" s="70">
        <v>1</v>
      </c>
      <c r="S1035" s="70">
        <v>0</v>
      </c>
    </row>
    <row r="1036" spans="1:19" s="56" customFormat="1">
      <c r="A1036" s="67" t="s">
        <v>710</v>
      </c>
      <c r="B1036" s="68" t="s">
        <v>523</v>
      </c>
      <c r="C1036" s="67" t="s">
        <v>184</v>
      </c>
      <c r="D1036" s="67" t="s">
        <v>138</v>
      </c>
      <c r="E1036" s="67" t="s">
        <v>139</v>
      </c>
      <c r="F1036" s="67" t="s">
        <v>166</v>
      </c>
      <c r="G1036" s="69" t="s">
        <v>184</v>
      </c>
      <c r="H1036" s="67">
        <v>0</v>
      </c>
      <c r="I1036" s="67">
        <v>5</v>
      </c>
      <c r="J1036" s="67" t="s">
        <v>659</v>
      </c>
      <c r="K1036" s="67" t="s">
        <v>660</v>
      </c>
      <c r="L1036" s="67" t="s">
        <v>661</v>
      </c>
      <c r="M1036" s="67" t="s">
        <v>661</v>
      </c>
      <c r="N1036" s="70">
        <v>1</v>
      </c>
      <c r="O1036" s="70">
        <v>1</v>
      </c>
      <c r="P1036" s="70"/>
      <c r="Q1036" s="98">
        <v>1</v>
      </c>
      <c r="R1036" s="70">
        <v>1</v>
      </c>
      <c r="S1036" s="70">
        <v>0</v>
      </c>
    </row>
    <row r="1037" spans="1:19">
      <c r="A1037" s="67" t="s">
        <v>710</v>
      </c>
      <c r="B1037" s="67" t="s">
        <v>523</v>
      </c>
      <c r="C1037" s="91" t="s">
        <v>184</v>
      </c>
      <c r="D1037" s="91" t="s">
        <v>138</v>
      </c>
      <c r="E1037" s="91" t="s">
        <v>139</v>
      </c>
      <c r="F1037" s="91" t="s">
        <v>186</v>
      </c>
      <c r="G1037" s="91" t="s">
        <v>184</v>
      </c>
      <c r="H1037" s="91">
        <v>0</v>
      </c>
      <c r="I1037" s="91">
        <v>6</v>
      </c>
      <c r="J1037" s="91" t="s">
        <v>198</v>
      </c>
      <c r="K1037" s="91" t="s">
        <v>199</v>
      </c>
      <c r="L1037" s="91" t="s">
        <v>87</v>
      </c>
      <c r="M1037" s="91" t="s">
        <v>87</v>
      </c>
      <c r="N1037" s="91">
        <v>1</v>
      </c>
      <c r="O1037" s="92">
        <v>13000</v>
      </c>
      <c r="Q1037" s="93">
        <v>2</v>
      </c>
      <c r="R1037" s="92">
        <v>2</v>
      </c>
      <c r="S1037" s="56">
        <v>0</v>
      </c>
    </row>
    <row r="1038" spans="1:19">
      <c r="A1038" s="67" t="s">
        <v>710</v>
      </c>
      <c r="B1038" s="67" t="s">
        <v>523</v>
      </c>
      <c r="C1038" s="91" t="s">
        <v>184</v>
      </c>
      <c r="D1038" s="91" t="s">
        <v>138</v>
      </c>
      <c r="E1038" s="91" t="s">
        <v>139</v>
      </c>
      <c r="F1038" s="91" t="s">
        <v>186</v>
      </c>
      <c r="G1038" s="91" t="s">
        <v>184</v>
      </c>
      <c r="H1038" s="91">
        <v>0</v>
      </c>
      <c r="I1038" s="91">
        <v>7</v>
      </c>
      <c r="J1038" s="91" t="s">
        <v>203</v>
      </c>
      <c r="K1038" s="91" t="s">
        <v>204</v>
      </c>
      <c r="L1038" s="91" t="s">
        <v>87</v>
      </c>
      <c r="M1038" s="91" t="s">
        <v>87</v>
      </c>
      <c r="N1038" s="91">
        <v>1</v>
      </c>
      <c r="O1038" s="92">
        <v>1</v>
      </c>
      <c r="Q1038" s="93">
        <v>1</v>
      </c>
      <c r="R1038" s="92">
        <v>1</v>
      </c>
      <c r="S1038" s="56">
        <v>0</v>
      </c>
    </row>
    <row r="1039" spans="1:19">
      <c r="A1039" s="67" t="s">
        <v>710</v>
      </c>
      <c r="B1039" s="67" t="s">
        <v>523</v>
      </c>
      <c r="C1039" s="91" t="s">
        <v>184</v>
      </c>
      <c r="D1039" s="91" t="s">
        <v>138</v>
      </c>
      <c r="E1039" s="91" t="s">
        <v>139</v>
      </c>
      <c r="F1039" s="91" t="s">
        <v>186</v>
      </c>
      <c r="G1039" s="91" t="s">
        <v>184</v>
      </c>
      <c r="H1039" s="91">
        <v>0</v>
      </c>
      <c r="I1039" s="91">
        <v>8</v>
      </c>
      <c r="J1039" s="91" t="s">
        <v>273</v>
      </c>
      <c r="K1039" s="91" t="s">
        <v>269</v>
      </c>
      <c r="L1039" s="91" t="s">
        <v>95</v>
      </c>
      <c r="M1039" s="91" t="s">
        <v>95</v>
      </c>
      <c r="N1039" s="91">
        <v>1</v>
      </c>
      <c r="O1039" s="92">
        <v>1</v>
      </c>
      <c r="Q1039" s="93">
        <v>2</v>
      </c>
      <c r="R1039" s="92">
        <v>2</v>
      </c>
      <c r="S1039" s="56">
        <v>0</v>
      </c>
    </row>
    <row r="1040" spans="1:19">
      <c r="A1040" s="67" t="s">
        <v>710</v>
      </c>
      <c r="B1040" s="67" t="s">
        <v>523</v>
      </c>
      <c r="C1040" s="91" t="s">
        <v>184</v>
      </c>
      <c r="D1040" s="91" t="s">
        <v>138</v>
      </c>
      <c r="E1040" s="91" t="s">
        <v>139</v>
      </c>
      <c r="F1040" s="91" t="s">
        <v>186</v>
      </c>
      <c r="G1040" s="91" t="s">
        <v>184</v>
      </c>
      <c r="H1040" s="91">
        <v>0</v>
      </c>
      <c r="I1040" s="91">
        <v>9</v>
      </c>
      <c r="J1040" s="91" t="s">
        <v>711</v>
      </c>
      <c r="K1040" s="91" t="s">
        <v>712</v>
      </c>
      <c r="L1040" s="91" t="s">
        <v>94</v>
      </c>
      <c r="M1040" s="91" t="s">
        <v>94</v>
      </c>
      <c r="N1040" s="91">
        <v>1</v>
      </c>
      <c r="O1040" s="92">
        <v>1</v>
      </c>
      <c r="Q1040" s="93">
        <v>1</v>
      </c>
      <c r="R1040" s="92">
        <v>1</v>
      </c>
      <c r="S1040" s="56">
        <v>0</v>
      </c>
    </row>
    <row r="1041" spans="1:19">
      <c r="A1041" s="67" t="s">
        <v>710</v>
      </c>
      <c r="B1041" s="67" t="s">
        <v>523</v>
      </c>
      <c r="C1041" s="91" t="s">
        <v>184</v>
      </c>
      <c r="D1041" s="91" t="s">
        <v>138</v>
      </c>
      <c r="E1041" s="91" t="s">
        <v>139</v>
      </c>
      <c r="F1041" s="91" t="s">
        <v>187</v>
      </c>
      <c r="G1041" s="91" t="s">
        <v>184</v>
      </c>
      <c r="H1041" s="91">
        <v>0</v>
      </c>
      <c r="I1041" s="91">
        <v>11</v>
      </c>
      <c r="J1041" s="91" t="s">
        <v>358</v>
      </c>
      <c r="K1041" s="91" t="s">
        <v>359</v>
      </c>
      <c r="L1041" s="91" t="s">
        <v>3</v>
      </c>
      <c r="M1041" s="91" t="s">
        <v>142</v>
      </c>
      <c r="N1041" s="91">
        <v>1000</v>
      </c>
      <c r="O1041" s="92">
        <v>1E-3</v>
      </c>
      <c r="Q1041" s="93">
        <v>25000</v>
      </c>
      <c r="R1041" s="92">
        <v>25</v>
      </c>
      <c r="S1041" s="56">
        <v>0</v>
      </c>
    </row>
    <row r="1042" spans="1:19">
      <c r="A1042" s="67" t="s">
        <v>710</v>
      </c>
      <c r="B1042" s="67" t="s">
        <v>523</v>
      </c>
      <c r="C1042" s="91" t="s">
        <v>184</v>
      </c>
      <c r="D1042" s="91" t="s">
        <v>138</v>
      </c>
      <c r="E1042" s="91" t="s">
        <v>139</v>
      </c>
      <c r="F1042" s="91" t="s">
        <v>187</v>
      </c>
      <c r="G1042" s="91" t="s">
        <v>184</v>
      </c>
      <c r="H1042" s="91">
        <v>0</v>
      </c>
      <c r="I1042" s="91">
        <v>12</v>
      </c>
      <c r="J1042" s="91" t="s">
        <v>200</v>
      </c>
      <c r="K1042" s="91" t="s">
        <v>201</v>
      </c>
      <c r="L1042" s="91" t="s">
        <v>3</v>
      </c>
      <c r="M1042" s="91" t="s">
        <v>142</v>
      </c>
      <c r="N1042" s="91">
        <v>1000</v>
      </c>
      <c r="O1042" s="92">
        <v>26.5</v>
      </c>
      <c r="Q1042" s="93">
        <v>25750</v>
      </c>
      <c r="R1042" s="92">
        <v>25</v>
      </c>
      <c r="S1042" s="56">
        <v>750</v>
      </c>
    </row>
    <row r="1043" spans="1:19">
      <c r="A1043" s="67" t="s">
        <v>713</v>
      </c>
      <c r="B1043" s="67" t="s">
        <v>525</v>
      </c>
      <c r="C1043" s="91" t="s">
        <v>184</v>
      </c>
      <c r="D1043" s="91" t="s">
        <v>138</v>
      </c>
      <c r="E1043" s="91" t="s">
        <v>139</v>
      </c>
      <c r="F1043" s="91" t="s">
        <v>166</v>
      </c>
      <c r="G1043" s="91" t="s">
        <v>184</v>
      </c>
      <c r="H1043" s="91">
        <v>0</v>
      </c>
      <c r="I1043" s="91">
        <v>1</v>
      </c>
      <c r="J1043" s="91" t="s">
        <v>426</v>
      </c>
      <c r="K1043" s="91" t="s">
        <v>427</v>
      </c>
      <c r="L1043" s="91" t="s">
        <v>293</v>
      </c>
      <c r="M1043" s="91" t="s">
        <v>293</v>
      </c>
      <c r="N1043" s="91">
        <v>1</v>
      </c>
      <c r="O1043" s="92">
        <v>1</v>
      </c>
      <c r="Q1043" s="93">
        <v>1</v>
      </c>
      <c r="R1043" s="92">
        <v>1</v>
      </c>
      <c r="S1043" s="56">
        <v>0</v>
      </c>
    </row>
    <row r="1044" spans="1:19">
      <c r="A1044" s="67" t="s">
        <v>713</v>
      </c>
      <c r="B1044" s="67" t="s">
        <v>525</v>
      </c>
      <c r="C1044" s="91" t="s">
        <v>184</v>
      </c>
      <c r="D1044" s="91" t="s">
        <v>138</v>
      </c>
      <c r="E1044" s="91" t="s">
        <v>139</v>
      </c>
      <c r="F1044" s="91" t="s">
        <v>159</v>
      </c>
      <c r="G1044" s="91" t="s">
        <v>184</v>
      </c>
      <c r="H1044" s="91">
        <v>0</v>
      </c>
      <c r="I1044" s="91">
        <v>2</v>
      </c>
      <c r="J1044" s="91" t="s">
        <v>189</v>
      </c>
      <c r="K1044" s="91" t="s">
        <v>190</v>
      </c>
      <c r="L1044" s="91" t="s">
        <v>91</v>
      </c>
      <c r="M1044" s="91" t="s">
        <v>91</v>
      </c>
      <c r="N1044" s="91">
        <v>1</v>
      </c>
      <c r="O1044" s="92">
        <v>1</v>
      </c>
      <c r="Q1044" s="93">
        <v>2</v>
      </c>
      <c r="R1044" s="92">
        <v>2</v>
      </c>
      <c r="S1044" s="56">
        <v>0</v>
      </c>
    </row>
    <row r="1045" spans="1:19">
      <c r="A1045" s="67" t="s">
        <v>713</v>
      </c>
      <c r="B1045" s="67" t="s">
        <v>525</v>
      </c>
      <c r="C1045" s="91" t="s">
        <v>184</v>
      </c>
      <c r="D1045" s="91" t="s">
        <v>138</v>
      </c>
      <c r="E1045" s="91" t="s">
        <v>139</v>
      </c>
      <c r="F1045" s="91" t="s">
        <v>186</v>
      </c>
      <c r="G1045" s="91" t="s">
        <v>184</v>
      </c>
      <c r="H1045" s="91">
        <v>0</v>
      </c>
      <c r="I1045" s="91">
        <v>3</v>
      </c>
      <c r="J1045" s="91" t="s">
        <v>382</v>
      </c>
      <c r="K1045" s="91" t="s">
        <v>383</v>
      </c>
      <c r="L1045" s="91" t="s">
        <v>87</v>
      </c>
      <c r="M1045" s="91" t="s">
        <v>87</v>
      </c>
      <c r="N1045" s="91">
        <v>1</v>
      </c>
      <c r="O1045" s="92">
        <v>12500</v>
      </c>
      <c r="Q1045" s="93">
        <v>1</v>
      </c>
      <c r="R1045" s="92">
        <v>1</v>
      </c>
      <c r="S1045" s="56">
        <v>0</v>
      </c>
    </row>
    <row r="1046" spans="1:19">
      <c r="A1046" s="67" t="s">
        <v>713</v>
      </c>
      <c r="B1046" s="67" t="s">
        <v>525</v>
      </c>
      <c r="C1046" s="91" t="s">
        <v>184</v>
      </c>
      <c r="D1046" s="91" t="s">
        <v>138</v>
      </c>
      <c r="E1046" s="91" t="s">
        <v>139</v>
      </c>
      <c r="F1046" s="91" t="s">
        <v>186</v>
      </c>
      <c r="G1046" s="91" t="s">
        <v>184</v>
      </c>
      <c r="H1046" s="91">
        <v>0</v>
      </c>
      <c r="I1046" s="91">
        <v>4</v>
      </c>
      <c r="J1046" s="91" t="s">
        <v>432</v>
      </c>
      <c r="K1046" s="91" t="s">
        <v>433</v>
      </c>
      <c r="L1046" s="91" t="s">
        <v>87</v>
      </c>
      <c r="M1046" s="91" t="s">
        <v>87</v>
      </c>
      <c r="N1046" s="91">
        <v>1</v>
      </c>
      <c r="O1046" s="92">
        <v>1</v>
      </c>
      <c r="Q1046" s="93">
        <v>1</v>
      </c>
      <c r="R1046" s="92">
        <v>1</v>
      </c>
      <c r="S1046" s="56">
        <v>0</v>
      </c>
    </row>
    <row r="1047" spans="1:19">
      <c r="A1047" s="67" t="s">
        <v>713</v>
      </c>
      <c r="B1047" s="67" t="s">
        <v>525</v>
      </c>
      <c r="C1047" s="91" t="s">
        <v>184</v>
      </c>
      <c r="D1047" s="91" t="s">
        <v>138</v>
      </c>
      <c r="E1047" s="91" t="s">
        <v>139</v>
      </c>
      <c r="F1047" s="91" t="s">
        <v>186</v>
      </c>
      <c r="G1047" s="91" t="s">
        <v>184</v>
      </c>
      <c r="H1047" s="91">
        <v>0</v>
      </c>
      <c r="I1047" s="91">
        <v>5</v>
      </c>
      <c r="J1047" s="91" t="s">
        <v>691</v>
      </c>
      <c r="K1047" s="91" t="s">
        <v>692</v>
      </c>
      <c r="L1047" s="91" t="s">
        <v>88</v>
      </c>
      <c r="M1047" s="91" t="s">
        <v>88</v>
      </c>
      <c r="N1047" s="91">
        <v>1</v>
      </c>
      <c r="O1047" s="92">
        <v>1</v>
      </c>
      <c r="Q1047" s="93">
        <v>2</v>
      </c>
      <c r="R1047" s="92">
        <v>2</v>
      </c>
      <c r="S1047" s="56">
        <v>0</v>
      </c>
    </row>
    <row r="1048" spans="1:19">
      <c r="A1048" s="67" t="s">
        <v>713</v>
      </c>
      <c r="B1048" s="67" t="s">
        <v>525</v>
      </c>
      <c r="C1048" s="91" t="s">
        <v>184</v>
      </c>
      <c r="D1048" s="91" t="s">
        <v>138</v>
      </c>
      <c r="E1048" s="91" t="s">
        <v>139</v>
      </c>
      <c r="F1048" s="91" t="s">
        <v>186</v>
      </c>
      <c r="G1048" s="91" t="s">
        <v>184</v>
      </c>
      <c r="H1048" s="91">
        <v>0</v>
      </c>
      <c r="I1048" s="91">
        <v>6</v>
      </c>
      <c r="J1048" s="91" t="s">
        <v>253</v>
      </c>
      <c r="K1048" s="91" t="s">
        <v>254</v>
      </c>
      <c r="L1048" s="91" t="s">
        <v>195</v>
      </c>
      <c r="M1048" s="91" t="s">
        <v>195</v>
      </c>
      <c r="N1048" s="91">
        <v>1</v>
      </c>
      <c r="O1048" s="92">
        <v>1</v>
      </c>
      <c r="Q1048" s="93">
        <v>2</v>
      </c>
      <c r="R1048" s="92">
        <v>2</v>
      </c>
      <c r="S1048" s="56">
        <v>0</v>
      </c>
    </row>
    <row r="1049" spans="1:19">
      <c r="A1049" s="67" t="s">
        <v>713</v>
      </c>
      <c r="B1049" s="67" t="s">
        <v>525</v>
      </c>
      <c r="C1049" s="91" t="s">
        <v>184</v>
      </c>
      <c r="D1049" s="91" t="s">
        <v>138</v>
      </c>
      <c r="E1049" s="91" t="s">
        <v>139</v>
      </c>
      <c r="F1049" s="91" t="s">
        <v>186</v>
      </c>
      <c r="G1049" s="91" t="s">
        <v>184</v>
      </c>
      <c r="H1049" s="91">
        <v>0</v>
      </c>
      <c r="I1049" s="91">
        <v>7</v>
      </c>
      <c r="J1049" s="91" t="s">
        <v>276</v>
      </c>
      <c r="K1049" s="91" t="s">
        <v>277</v>
      </c>
      <c r="L1049" s="91" t="s">
        <v>87</v>
      </c>
      <c r="M1049" s="91" t="s">
        <v>87</v>
      </c>
      <c r="N1049" s="91">
        <v>1</v>
      </c>
      <c r="O1049" s="92">
        <v>1</v>
      </c>
      <c r="Q1049" s="93">
        <v>8</v>
      </c>
      <c r="R1049" s="92">
        <v>8</v>
      </c>
      <c r="S1049" s="56">
        <v>0</v>
      </c>
    </row>
    <row r="1050" spans="1:19">
      <c r="A1050" s="67" t="s">
        <v>713</v>
      </c>
      <c r="B1050" s="67" t="s">
        <v>525</v>
      </c>
      <c r="C1050" s="91" t="s">
        <v>184</v>
      </c>
      <c r="D1050" s="91" t="s">
        <v>138</v>
      </c>
      <c r="E1050" s="91" t="s">
        <v>139</v>
      </c>
      <c r="F1050" s="91" t="s">
        <v>186</v>
      </c>
      <c r="G1050" s="91" t="s">
        <v>184</v>
      </c>
      <c r="H1050" s="91">
        <v>0</v>
      </c>
      <c r="I1050" s="91">
        <v>8</v>
      </c>
      <c r="J1050" s="91" t="s">
        <v>714</v>
      </c>
      <c r="K1050" s="91" t="s">
        <v>715</v>
      </c>
      <c r="L1050" s="91" t="s">
        <v>716</v>
      </c>
      <c r="M1050" s="91" t="s">
        <v>716</v>
      </c>
      <c r="N1050" s="91">
        <v>1</v>
      </c>
      <c r="O1050" s="92">
        <v>1</v>
      </c>
      <c r="Q1050" s="93">
        <v>1</v>
      </c>
      <c r="R1050" s="92">
        <v>1</v>
      </c>
      <c r="S1050" s="56">
        <v>0</v>
      </c>
    </row>
    <row r="1051" spans="1:19">
      <c r="A1051" s="67" t="s">
        <v>713</v>
      </c>
      <c r="B1051" s="67" t="s">
        <v>525</v>
      </c>
      <c r="C1051" s="91" t="s">
        <v>184</v>
      </c>
      <c r="D1051" s="91" t="s">
        <v>138</v>
      </c>
      <c r="E1051" s="91" t="s">
        <v>139</v>
      </c>
      <c r="F1051" s="91" t="s">
        <v>187</v>
      </c>
      <c r="G1051" s="91" t="s">
        <v>184</v>
      </c>
      <c r="H1051" s="91">
        <v>0</v>
      </c>
      <c r="I1051" s="91">
        <v>10</v>
      </c>
      <c r="J1051" s="91" t="s">
        <v>200</v>
      </c>
      <c r="K1051" s="91" t="s">
        <v>201</v>
      </c>
      <c r="L1051" s="91" t="s">
        <v>3</v>
      </c>
      <c r="M1051" s="91" t="s">
        <v>142</v>
      </c>
      <c r="N1051" s="91">
        <v>1000</v>
      </c>
      <c r="O1051" s="92">
        <v>26.5</v>
      </c>
      <c r="Q1051" s="93">
        <v>28350</v>
      </c>
      <c r="R1051" s="92">
        <v>28</v>
      </c>
      <c r="S1051" s="56">
        <v>350</v>
      </c>
    </row>
    <row r="1052" spans="1:19">
      <c r="A1052" s="67" t="s">
        <v>713</v>
      </c>
      <c r="B1052" s="67" t="s">
        <v>525</v>
      </c>
      <c r="C1052" s="91" t="s">
        <v>184</v>
      </c>
      <c r="D1052" s="91" t="s">
        <v>138</v>
      </c>
      <c r="E1052" s="91" t="s">
        <v>139</v>
      </c>
      <c r="F1052" s="91" t="s">
        <v>187</v>
      </c>
      <c r="G1052" s="91" t="s">
        <v>184</v>
      </c>
      <c r="H1052" s="91">
        <v>0</v>
      </c>
      <c r="I1052" s="91">
        <v>11</v>
      </c>
      <c r="J1052" s="91" t="s">
        <v>633</v>
      </c>
      <c r="K1052" s="91" t="s">
        <v>634</v>
      </c>
      <c r="L1052" s="91" t="s">
        <v>3</v>
      </c>
      <c r="M1052" s="91" t="s">
        <v>142</v>
      </c>
      <c r="N1052" s="91">
        <v>1000</v>
      </c>
      <c r="O1052" s="92">
        <v>1E-3</v>
      </c>
      <c r="Q1052" s="93">
        <v>25000</v>
      </c>
      <c r="R1052" s="92">
        <v>25</v>
      </c>
      <c r="S1052" s="56">
        <v>0</v>
      </c>
    </row>
    <row r="1053" spans="1:19">
      <c r="A1053" s="67" t="s">
        <v>717</v>
      </c>
      <c r="B1053" s="67" t="s">
        <v>527</v>
      </c>
      <c r="C1053" s="91" t="s">
        <v>184</v>
      </c>
      <c r="D1053" s="91" t="s">
        <v>138</v>
      </c>
      <c r="E1053" s="91" t="s">
        <v>139</v>
      </c>
      <c r="F1053" s="91" t="s">
        <v>186</v>
      </c>
      <c r="G1053" s="91" t="s">
        <v>184</v>
      </c>
      <c r="H1053" s="91">
        <v>0</v>
      </c>
      <c r="I1053" s="91">
        <v>1</v>
      </c>
      <c r="J1053" s="91" t="s">
        <v>397</v>
      </c>
      <c r="K1053" s="91" t="s">
        <v>398</v>
      </c>
      <c r="L1053" s="91" t="s">
        <v>88</v>
      </c>
      <c r="M1053" s="91" t="s">
        <v>88</v>
      </c>
      <c r="N1053" s="91">
        <v>1</v>
      </c>
      <c r="O1053" s="92">
        <v>1</v>
      </c>
      <c r="Q1053" s="93">
        <v>2</v>
      </c>
      <c r="R1053" s="92">
        <v>2</v>
      </c>
      <c r="S1053" s="56">
        <v>0</v>
      </c>
    </row>
    <row r="1054" spans="1:19">
      <c r="A1054" s="67" t="s">
        <v>717</v>
      </c>
      <c r="B1054" s="67" t="s">
        <v>527</v>
      </c>
      <c r="C1054" s="91" t="s">
        <v>184</v>
      </c>
      <c r="D1054" s="91" t="s">
        <v>138</v>
      </c>
      <c r="E1054" s="91" t="s">
        <v>139</v>
      </c>
      <c r="F1054" s="91" t="s">
        <v>166</v>
      </c>
      <c r="G1054" s="91" t="s">
        <v>184</v>
      </c>
      <c r="H1054" s="91">
        <v>0</v>
      </c>
      <c r="I1054" s="91">
        <v>2</v>
      </c>
      <c r="J1054" s="91" t="s">
        <v>193</v>
      </c>
      <c r="K1054" s="91" t="s">
        <v>101</v>
      </c>
      <c r="L1054" s="91" t="s">
        <v>100</v>
      </c>
      <c r="M1054" s="91" t="s">
        <v>100</v>
      </c>
      <c r="N1054" s="91">
        <v>1</v>
      </c>
      <c r="O1054" s="92">
        <v>33700</v>
      </c>
      <c r="Q1054" s="93">
        <v>77</v>
      </c>
      <c r="R1054" s="92">
        <v>77</v>
      </c>
      <c r="S1054" s="56">
        <v>0</v>
      </c>
    </row>
    <row r="1055" spans="1:19">
      <c r="A1055" s="67" t="s">
        <v>717</v>
      </c>
      <c r="B1055" s="67" t="s">
        <v>527</v>
      </c>
      <c r="C1055" s="91" t="s">
        <v>184</v>
      </c>
      <c r="D1055" s="91" t="s">
        <v>138</v>
      </c>
      <c r="E1055" s="91" t="s">
        <v>139</v>
      </c>
      <c r="F1055" s="91" t="s">
        <v>166</v>
      </c>
      <c r="G1055" s="91" t="s">
        <v>184</v>
      </c>
      <c r="H1055" s="91">
        <v>0</v>
      </c>
      <c r="I1055" s="91">
        <v>3</v>
      </c>
      <c r="J1055" s="91" t="s">
        <v>194</v>
      </c>
      <c r="K1055" s="91" t="s">
        <v>99</v>
      </c>
      <c r="L1055" s="91" t="s">
        <v>100</v>
      </c>
      <c r="M1055" s="91" t="s">
        <v>100</v>
      </c>
      <c r="N1055" s="91">
        <v>1</v>
      </c>
      <c r="O1055" s="92">
        <v>23700</v>
      </c>
      <c r="Q1055" s="93">
        <v>72</v>
      </c>
      <c r="R1055" s="92">
        <v>72</v>
      </c>
      <c r="S1055" s="56">
        <v>0</v>
      </c>
    </row>
    <row r="1056" spans="1:19">
      <c r="A1056" s="67" t="s">
        <v>717</v>
      </c>
      <c r="B1056" s="67" t="s">
        <v>527</v>
      </c>
      <c r="C1056" s="91" t="s">
        <v>184</v>
      </c>
      <c r="D1056" s="91" t="s">
        <v>138</v>
      </c>
      <c r="E1056" s="91" t="s">
        <v>139</v>
      </c>
      <c r="F1056" s="91" t="s">
        <v>186</v>
      </c>
      <c r="G1056" s="91" t="s">
        <v>184</v>
      </c>
      <c r="H1056" s="91">
        <v>0</v>
      </c>
      <c r="I1056" s="91">
        <v>4</v>
      </c>
      <c r="J1056" s="91" t="s">
        <v>274</v>
      </c>
      <c r="K1056" s="91" t="s">
        <v>275</v>
      </c>
      <c r="L1056" s="91" t="s">
        <v>87</v>
      </c>
      <c r="M1056" s="91" t="s">
        <v>87</v>
      </c>
      <c r="N1056" s="91">
        <v>1</v>
      </c>
      <c r="O1056" s="92">
        <v>1</v>
      </c>
      <c r="Q1056" s="93">
        <v>1</v>
      </c>
      <c r="R1056" s="92">
        <v>1</v>
      </c>
      <c r="S1056" s="56">
        <v>0</v>
      </c>
    </row>
    <row r="1057" spans="1:19">
      <c r="A1057" s="67" t="s">
        <v>717</v>
      </c>
      <c r="B1057" s="67" t="s">
        <v>527</v>
      </c>
      <c r="C1057" s="91" t="s">
        <v>184</v>
      </c>
      <c r="D1057" s="91" t="s">
        <v>138</v>
      </c>
      <c r="E1057" s="91" t="s">
        <v>139</v>
      </c>
      <c r="F1057" s="91" t="s">
        <v>186</v>
      </c>
      <c r="G1057" s="91" t="s">
        <v>184</v>
      </c>
      <c r="H1057" s="91">
        <v>0</v>
      </c>
      <c r="I1057" s="91">
        <v>5</v>
      </c>
      <c r="J1057" s="91" t="s">
        <v>380</v>
      </c>
      <c r="K1057" s="91" t="s">
        <v>381</v>
      </c>
      <c r="L1057" s="91" t="s">
        <v>293</v>
      </c>
      <c r="M1057" s="91" t="s">
        <v>293</v>
      </c>
      <c r="N1057" s="91">
        <v>1</v>
      </c>
      <c r="O1057" s="92">
        <v>1</v>
      </c>
      <c r="Q1057" s="93">
        <v>1</v>
      </c>
      <c r="R1057" s="92">
        <v>1</v>
      </c>
      <c r="S1057" s="56">
        <v>0</v>
      </c>
    </row>
    <row r="1058" spans="1:19">
      <c r="A1058" s="67" t="s">
        <v>717</v>
      </c>
      <c r="B1058" s="67" t="s">
        <v>527</v>
      </c>
      <c r="C1058" s="91" t="s">
        <v>184</v>
      </c>
      <c r="D1058" s="91" t="s">
        <v>138</v>
      </c>
      <c r="E1058" s="91" t="s">
        <v>139</v>
      </c>
      <c r="F1058" s="91" t="s">
        <v>187</v>
      </c>
      <c r="G1058" s="91" t="s">
        <v>184</v>
      </c>
      <c r="H1058" s="91">
        <v>0</v>
      </c>
      <c r="I1058" s="91">
        <v>6</v>
      </c>
      <c r="J1058" s="91" t="s">
        <v>266</v>
      </c>
      <c r="K1058" s="91" t="s">
        <v>96</v>
      </c>
      <c r="L1058" s="91" t="s">
        <v>97</v>
      </c>
      <c r="M1058" s="91" t="s">
        <v>97</v>
      </c>
      <c r="N1058" s="91">
        <v>1</v>
      </c>
      <c r="O1058" s="92">
        <v>1</v>
      </c>
      <c r="Q1058" s="93">
        <v>6</v>
      </c>
      <c r="R1058" s="92">
        <v>6</v>
      </c>
      <c r="S1058" s="56">
        <v>0</v>
      </c>
    </row>
    <row r="1059" spans="1:19">
      <c r="A1059" s="67" t="s">
        <v>717</v>
      </c>
      <c r="B1059" s="67" t="s">
        <v>527</v>
      </c>
      <c r="C1059" s="91" t="s">
        <v>184</v>
      </c>
      <c r="D1059" s="91" t="s">
        <v>138</v>
      </c>
      <c r="E1059" s="91" t="s">
        <v>139</v>
      </c>
      <c r="F1059" s="91" t="s">
        <v>186</v>
      </c>
      <c r="G1059" s="91" t="s">
        <v>184</v>
      </c>
      <c r="H1059" s="91">
        <v>0</v>
      </c>
      <c r="I1059" s="91">
        <v>7</v>
      </c>
      <c r="J1059" s="91" t="s">
        <v>198</v>
      </c>
      <c r="K1059" s="91" t="s">
        <v>199</v>
      </c>
      <c r="L1059" s="91" t="s">
        <v>87</v>
      </c>
      <c r="M1059" s="91" t="s">
        <v>87</v>
      </c>
      <c r="N1059" s="91">
        <v>1</v>
      </c>
      <c r="O1059" s="92">
        <v>13000</v>
      </c>
      <c r="Q1059" s="93">
        <v>1</v>
      </c>
      <c r="R1059" s="92">
        <v>1</v>
      </c>
      <c r="S1059" s="56">
        <v>0</v>
      </c>
    </row>
    <row r="1060" spans="1:19">
      <c r="A1060" s="67" t="s">
        <v>717</v>
      </c>
      <c r="B1060" s="67" t="s">
        <v>527</v>
      </c>
      <c r="C1060" s="91" t="s">
        <v>184</v>
      </c>
      <c r="D1060" s="91" t="s">
        <v>138</v>
      </c>
      <c r="E1060" s="91" t="s">
        <v>139</v>
      </c>
      <c r="F1060" s="91" t="s">
        <v>186</v>
      </c>
      <c r="G1060" s="91" t="s">
        <v>184</v>
      </c>
      <c r="H1060" s="91">
        <v>0</v>
      </c>
      <c r="I1060" s="91">
        <v>8</v>
      </c>
      <c r="J1060" s="91" t="s">
        <v>395</v>
      </c>
      <c r="K1060" s="91" t="s">
        <v>396</v>
      </c>
      <c r="L1060" s="91" t="s">
        <v>95</v>
      </c>
      <c r="M1060" s="91" t="s">
        <v>95</v>
      </c>
      <c r="N1060" s="91">
        <v>1</v>
      </c>
      <c r="O1060" s="92">
        <v>1</v>
      </c>
      <c r="Q1060" s="93">
        <v>2</v>
      </c>
      <c r="R1060" s="92">
        <v>2</v>
      </c>
      <c r="S1060" s="56">
        <v>0</v>
      </c>
    </row>
    <row r="1061" spans="1:19">
      <c r="A1061" s="67" t="s">
        <v>735</v>
      </c>
      <c r="B1061" s="67" t="s">
        <v>529</v>
      </c>
      <c r="C1061" s="91" t="s">
        <v>184</v>
      </c>
      <c r="D1061" s="91" t="s">
        <v>138</v>
      </c>
      <c r="E1061" s="91" t="s">
        <v>139</v>
      </c>
      <c r="F1061" s="91" t="s">
        <v>186</v>
      </c>
      <c r="G1061" s="91" t="s">
        <v>184</v>
      </c>
      <c r="H1061" s="91">
        <v>0</v>
      </c>
      <c r="I1061" s="91">
        <v>1</v>
      </c>
      <c r="J1061" s="91" t="s">
        <v>399</v>
      </c>
      <c r="K1061" s="91" t="s">
        <v>400</v>
      </c>
      <c r="L1061" s="91" t="s">
        <v>87</v>
      </c>
      <c r="M1061" s="91" t="s">
        <v>87</v>
      </c>
      <c r="N1061" s="91">
        <v>1</v>
      </c>
      <c r="O1061" s="92">
        <v>1</v>
      </c>
      <c r="Q1061" s="93">
        <v>2</v>
      </c>
      <c r="R1061" s="92">
        <v>2</v>
      </c>
      <c r="S1061" s="56">
        <v>0</v>
      </c>
    </row>
    <row r="1062" spans="1:19">
      <c r="A1062" s="67" t="s">
        <v>735</v>
      </c>
      <c r="B1062" s="67" t="s">
        <v>529</v>
      </c>
      <c r="C1062" s="91" t="s">
        <v>184</v>
      </c>
      <c r="D1062" s="91" t="s">
        <v>138</v>
      </c>
      <c r="E1062" s="91" t="s">
        <v>139</v>
      </c>
      <c r="F1062" s="91" t="s">
        <v>186</v>
      </c>
      <c r="G1062" s="91" t="s">
        <v>184</v>
      </c>
      <c r="H1062" s="91">
        <v>0</v>
      </c>
      <c r="I1062" s="91">
        <v>2</v>
      </c>
      <c r="J1062" s="91" t="s">
        <v>310</v>
      </c>
      <c r="K1062" s="91" t="s">
        <v>311</v>
      </c>
      <c r="L1062" s="91" t="s">
        <v>87</v>
      </c>
      <c r="M1062" s="91" t="s">
        <v>87</v>
      </c>
      <c r="N1062" s="91">
        <v>1</v>
      </c>
      <c r="O1062" s="92">
        <v>1</v>
      </c>
      <c r="Q1062" s="93">
        <v>2</v>
      </c>
      <c r="R1062" s="92">
        <v>2</v>
      </c>
      <c r="S1062" s="56">
        <v>0</v>
      </c>
    </row>
    <row r="1063" spans="1:19">
      <c r="A1063" s="67" t="s">
        <v>735</v>
      </c>
      <c r="B1063" s="67" t="s">
        <v>529</v>
      </c>
      <c r="C1063" s="91" t="s">
        <v>184</v>
      </c>
      <c r="D1063" s="91" t="s">
        <v>138</v>
      </c>
      <c r="E1063" s="91" t="s">
        <v>139</v>
      </c>
      <c r="F1063" s="91" t="s">
        <v>186</v>
      </c>
      <c r="G1063" s="91" t="s">
        <v>184</v>
      </c>
      <c r="H1063" s="91">
        <v>0</v>
      </c>
      <c r="I1063" s="91">
        <v>3</v>
      </c>
      <c r="J1063" s="91" t="s">
        <v>736</v>
      </c>
      <c r="K1063" s="91" t="s">
        <v>737</v>
      </c>
      <c r="L1063" s="91" t="s">
        <v>87</v>
      </c>
      <c r="M1063" s="91" t="s">
        <v>87</v>
      </c>
      <c r="N1063" s="91">
        <v>1</v>
      </c>
      <c r="O1063" s="92">
        <v>1</v>
      </c>
      <c r="Q1063" s="93">
        <v>5</v>
      </c>
      <c r="R1063" s="92">
        <v>5</v>
      </c>
      <c r="S1063" s="56">
        <v>0</v>
      </c>
    </row>
    <row r="1064" spans="1:19">
      <c r="A1064" s="67" t="s">
        <v>735</v>
      </c>
      <c r="B1064" s="67" t="s">
        <v>529</v>
      </c>
      <c r="C1064" s="91" t="s">
        <v>184</v>
      </c>
      <c r="D1064" s="91" t="s">
        <v>138</v>
      </c>
      <c r="E1064" s="91" t="s">
        <v>139</v>
      </c>
      <c r="F1064" s="91" t="s">
        <v>186</v>
      </c>
      <c r="G1064" s="91" t="s">
        <v>184</v>
      </c>
      <c r="H1064" s="91">
        <v>0</v>
      </c>
      <c r="I1064" s="91">
        <v>4</v>
      </c>
      <c r="J1064" s="91" t="s">
        <v>442</v>
      </c>
      <c r="K1064" s="91" t="s">
        <v>312</v>
      </c>
      <c r="L1064" s="91" t="s">
        <v>87</v>
      </c>
      <c r="M1064" s="91" t="s">
        <v>87</v>
      </c>
      <c r="N1064" s="91">
        <v>1</v>
      </c>
      <c r="O1064" s="92">
        <v>1</v>
      </c>
      <c r="Q1064" s="93">
        <v>15</v>
      </c>
      <c r="R1064" s="92">
        <v>15</v>
      </c>
      <c r="S1064" s="56">
        <v>0</v>
      </c>
    </row>
    <row r="1065" spans="1:19">
      <c r="A1065" s="67" t="s">
        <v>735</v>
      </c>
      <c r="B1065" s="67" t="s">
        <v>529</v>
      </c>
      <c r="C1065" s="91" t="s">
        <v>184</v>
      </c>
      <c r="D1065" s="91" t="s">
        <v>138</v>
      </c>
      <c r="E1065" s="91" t="s">
        <v>139</v>
      </c>
      <c r="F1065" s="91" t="s">
        <v>162</v>
      </c>
      <c r="G1065" s="91" t="s">
        <v>184</v>
      </c>
      <c r="H1065" s="91">
        <v>0</v>
      </c>
      <c r="I1065" s="91">
        <v>5</v>
      </c>
      <c r="J1065" s="91" t="s">
        <v>363</v>
      </c>
      <c r="K1065" s="91" t="s">
        <v>364</v>
      </c>
      <c r="L1065" s="91" t="s">
        <v>88</v>
      </c>
      <c r="M1065" s="91" t="s">
        <v>88</v>
      </c>
      <c r="N1065" s="91">
        <v>1</v>
      </c>
      <c r="O1065" s="92">
        <v>1</v>
      </c>
      <c r="Q1065" s="93">
        <v>10</v>
      </c>
      <c r="R1065" s="92">
        <v>10</v>
      </c>
      <c r="S1065" s="56">
        <v>0</v>
      </c>
    </row>
    <row r="1066" spans="1:19">
      <c r="A1066" s="67" t="s">
        <v>735</v>
      </c>
      <c r="B1066" s="67" t="s">
        <v>529</v>
      </c>
      <c r="C1066" s="91" t="s">
        <v>184</v>
      </c>
      <c r="D1066" s="91" t="s">
        <v>138</v>
      </c>
      <c r="E1066" s="91" t="s">
        <v>139</v>
      </c>
      <c r="F1066" s="91" t="s">
        <v>186</v>
      </c>
      <c r="G1066" s="91" t="s">
        <v>184</v>
      </c>
      <c r="H1066" s="91">
        <v>0</v>
      </c>
      <c r="I1066" s="91">
        <v>6</v>
      </c>
      <c r="J1066" s="91" t="s">
        <v>349</v>
      </c>
      <c r="K1066" s="91" t="s">
        <v>350</v>
      </c>
      <c r="L1066" s="91" t="s">
        <v>87</v>
      </c>
      <c r="M1066" s="91" t="s">
        <v>87</v>
      </c>
      <c r="N1066" s="91">
        <v>1</v>
      </c>
      <c r="O1066" s="92">
        <v>1</v>
      </c>
      <c r="Q1066" s="93">
        <v>4</v>
      </c>
      <c r="R1066" s="92">
        <v>4</v>
      </c>
      <c r="S1066" s="56">
        <v>0</v>
      </c>
    </row>
    <row r="1067" spans="1:19">
      <c r="A1067" s="94" t="s">
        <v>735</v>
      </c>
      <c r="B1067" s="94" t="s">
        <v>529</v>
      </c>
      <c r="C1067" s="95" t="s">
        <v>184</v>
      </c>
      <c r="D1067" s="95" t="s">
        <v>138</v>
      </c>
      <c r="E1067" s="95" t="s">
        <v>139</v>
      </c>
      <c r="F1067" s="95" t="s">
        <v>186</v>
      </c>
      <c r="G1067" s="95" t="s">
        <v>184</v>
      </c>
      <c r="H1067" s="95">
        <v>0</v>
      </c>
      <c r="I1067" s="95">
        <v>7</v>
      </c>
      <c r="J1067" s="95" t="s">
        <v>623</v>
      </c>
      <c r="K1067" s="95" t="s">
        <v>624</v>
      </c>
      <c r="L1067" s="95" t="s">
        <v>87</v>
      </c>
      <c r="M1067" s="95" t="s">
        <v>87</v>
      </c>
      <c r="N1067" s="95">
        <v>1</v>
      </c>
      <c r="O1067" s="92">
        <v>1</v>
      </c>
      <c r="Q1067" s="96">
        <v>1</v>
      </c>
      <c r="R1067" s="92">
        <v>1</v>
      </c>
      <c r="S1067" s="56">
        <v>0</v>
      </c>
    </row>
    <row r="1068" spans="1:19">
      <c r="A1068" s="94" t="s">
        <v>735</v>
      </c>
      <c r="B1068" s="94" t="s">
        <v>529</v>
      </c>
      <c r="C1068" s="95" t="s">
        <v>184</v>
      </c>
      <c r="D1068" s="95" t="s">
        <v>138</v>
      </c>
      <c r="E1068" s="95" t="s">
        <v>139</v>
      </c>
      <c r="F1068" s="95" t="s">
        <v>186</v>
      </c>
      <c r="G1068" s="95" t="s">
        <v>184</v>
      </c>
      <c r="H1068" s="95">
        <v>0</v>
      </c>
      <c r="I1068" s="95">
        <v>8</v>
      </c>
      <c r="J1068" s="95" t="s">
        <v>625</v>
      </c>
      <c r="K1068" s="95" t="s">
        <v>626</v>
      </c>
      <c r="L1068" s="95" t="s">
        <v>87</v>
      </c>
      <c r="M1068" s="95" t="s">
        <v>87</v>
      </c>
      <c r="N1068" s="95">
        <v>1</v>
      </c>
      <c r="O1068" s="92">
        <v>1</v>
      </c>
      <c r="Q1068" s="96">
        <v>1</v>
      </c>
      <c r="R1068" s="92">
        <v>1</v>
      </c>
      <c r="S1068" s="56">
        <v>0</v>
      </c>
    </row>
    <row r="1069" spans="1:19">
      <c r="A1069" s="94" t="s">
        <v>735</v>
      </c>
      <c r="B1069" s="94" t="s">
        <v>529</v>
      </c>
      <c r="C1069" s="95" t="s">
        <v>184</v>
      </c>
      <c r="D1069" s="95" t="s">
        <v>138</v>
      </c>
      <c r="E1069" s="95" t="s">
        <v>139</v>
      </c>
      <c r="F1069" s="95" t="s">
        <v>186</v>
      </c>
      <c r="G1069" s="95" t="s">
        <v>184</v>
      </c>
      <c r="H1069" s="95">
        <v>0</v>
      </c>
      <c r="I1069" s="95">
        <v>9</v>
      </c>
      <c r="J1069" s="95" t="s">
        <v>627</v>
      </c>
      <c r="K1069" s="95" t="s">
        <v>628</v>
      </c>
      <c r="L1069" s="95" t="s">
        <v>87</v>
      </c>
      <c r="M1069" s="95" t="s">
        <v>87</v>
      </c>
      <c r="N1069" s="95">
        <v>1</v>
      </c>
      <c r="O1069" s="92">
        <v>1</v>
      </c>
      <c r="Q1069" s="96">
        <v>1</v>
      </c>
      <c r="R1069" s="92">
        <v>1</v>
      </c>
      <c r="S1069" s="56">
        <v>0</v>
      </c>
    </row>
    <row r="1070" spans="1:19">
      <c r="A1070" s="94" t="s">
        <v>735</v>
      </c>
      <c r="B1070" s="94" t="s">
        <v>529</v>
      </c>
      <c r="C1070" s="95" t="s">
        <v>184</v>
      </c>
      <c r="D1070" s="95" t="s">
        <v>138</v>
      </c>
      <c r="E1070" s="95" t="s">
        <v>139</v>
      </c>
      <c r="F1070" s="95" t="s">
        <v>187</v>
      </c>
      <c r="G1070" s="95" t="s">
        <v>184</v>
      </c>
      <c r="H1070" s="95">
        <v>0</v>
      </c>
      <c r="I1070" s="95">
        <v>11</v>
      </c>
      <c r="J1070" s="95" t="s">
        <v>358</v>
      </c>
      <c r="K1070" s="95" t="s">
        <v>359</v>
      </c>
      <c r="L1070" s="95" t="s">
        <v>3</v>
      </c>
      <c r="M1070" s="95" t="s">
        <v>142</v>
      </c>
      <c r="N1070" s="95">
        <v>1000</v>
      </c>
      <c r="O1070" s="92">
        <v>1E-3</v>
      </c>
      <c r="Q1070" s="96">
        <v>25000</v>
      </c>
      <c r="R1070" s="92">
        <v>25</v>
      </c>
      <c r="S1070" s="56">
        <v>0</v>
      </c>
    </row>
    <row r="1071" spans="1:19">
      <c r="A1071" s="94" t="s">
        <v>735</v>
      </c>
      <c r="B1071" s="94" t="s">
        <v>529</v>
      </c>
      <c r="C1071" s="95" t="s">
        <v>184</v>
      </c>
      <c r="D1071" s="95" t="s">
        <v>138</v>
      </c>
      <c r="E1071" s="95" t="s">
        <v>139</v>
      </c>
      <c r="F1071" s="95" t="s">
        <v>186</v>
      </c>
      <c r="G1071" s="95" t="s">
        <v>184</v>
      </c>
      <c r="H1071" s="95">
        <v>0</v>
      </c>
      <c r="I1071" s="95">
        <v>12</v>
      </c>
      <c r="J1071" s="95" t="s">
        <v>738</v>
      </c>
      <c r="K1071" s="95" t="s">
        <v>739</v>
      </c>
      <c r="L1071" s="95" t="s">
        <v>94</v>
      </c>
      <c r="M1071" s="95" t="s">
        <v>94</v>
      </c>
      <c r="N1071" s="95">
        <v>1</v>
      </c>
      <c r="O1071" s="92">
        <v>1</v>
      </c>
      <c r="Q1071" s="96">
        <v>1</v>
      </c>
      <c r="R1071" s="92">
        <v>1</v>
      </c>
      <c r="S1071" s="56">
        <v>0</v>
      </c>
    </row>
    <row r="1072" spans="1:19">
      <c r="A1072" s="94" t="s">
        <v>735</v>
      </c>
      <c r="B1072" s="94" t="s">
        <v>529</v>
      </c>
      <c r="C1072" s="95" t="s">
        <v>184</v>
      </c>
      <c r="D1072" s="95" t="s">
        <v>138</v>
      </c>
      <c r="E1072" s="95" t="s">
        <v>139</v>
      </c>
      <c r="F1072" s="95" t="s">
        <v>186</v>
      </c>
      <c r="G1072" s="95" t="s">
        <v>184</v>
      </c>
      <c r="H1072" s="95">
        <v>0</v>
      </c>
      <c r="I1072" s="95">
        <v>13</v>
      </c>
      <c r="J1072" s="95" t="s">
        <v>445</v>
      </c>
      <c r="K1072" s="95" t="s">
        <v>446</v>
      </c>
      <c r="L1072" s="95" t="s">
        <v>87</v>
      </c>
      <c r="M1072" s="95" t="s">
        <v>87</v>
      </c>
      <c r="N1072" s="95">
        <v>1</v>
      </c>
      <c r="O1072" s="92">
        <v>1</v>
      </c>
      <c r="Q1072" s="96">
        <v>1</v>
      </c>
      <c r="R1072" s="92">
        <v>1</v>
      </c>
      <c r="S1072" s="56">
        <v>0</v>
      </c>
    </row>
    <row r="1073" spans="1:19">
      <c r="A1073" s="94" t="s">
        <v>735</v>
      </c>
      <c r="B1073" s="94" t="s">
        <v>529</v>
      </c>
      <c r="C1073" s="95" t="s">
        <v>184</v>
      </c>
      <c r="D1073" s="95" t="s">
        <v>138</v>
      </c>
      <c r="E1073" s="95" t="s">
        <v>139</v>
      </c>
      <c r="F1073" s="95" t="s">
        <v>162</v>
      </c>
      <c r="G1073" s="95" t="s">
        <v>184</v>
      </c>
      <c r="H1073" s="95">
        <v>0</v>
      </c>
      <c r="I1073" s="95">
        <v>14</v>
      </c>
      <c r="J1073" s="95" t="s">
        <v>740</v>
      </c>
      <c r="K1073" s="95" t="s">
        <v>741</v>
      </c>
      <c r="L1073" s="95" t="s">
        <v>87</v>
      </c>
      <c r="M1073" s="95" t="s">
        <v>87</v>
      </c>
      <c r="N1073" s="95">
        <v>1</v>
      </c>
      <c r="O1073" s="92">
        <v>1</v>
      </c>
      <c r="Q1073" s="96">
        <v>5</v>
      </c>
      <c r="R1073" s="92">
        <v>5</v>
      </c>
      <c r="S1073" s="56">
        <v>0</v>
      </c>
    </row>
    <row r="1074" spans="1:19">
      <c r="A1074" s="94" t="s">
        <v>735</v>
      </c>
      <c r="B1074" s="94" t="s">
        <v>529</v>
      </c>
      <c r="C1074" s="95" t="s">
        <v>184</v>
      </c>
      <c r="D1074" s="95" t="s">
        <v>138</v>
      </c>
      <c r="E1074" s="95" t="s">
        <v>139</v>
      </c>
      <c r="F1074" s="95" t="s">
        <v>186</v>
      </c>
      <c r="G1074" s="95" t="s">
        <v>184</v>
      </c>
      <c r="H1074" s="95">
        <v>0</v>
      </c>
      <c r="I1074" s="95">
        <v>15</v>
      </c>
      <c r="J1074" s="95" t="s">
        <v>401</v>
      </c>
      <c r="K1074" s="95" t="s">
        <v>402</v>
      </c>
      <c r="L1074" s="95" t="s">
        <v>87</v>
      </c>
      <c r="M1074" s="95" t="s">
        <v>87</v>
      </c>
      <c r="N1074" s="95">
        <v>1</v>
      </c>
      <c r="O1074" s="92">
        <v>1</v>
      </c>
      <c r="Q1074" s="96">
        <v>3</v>
      </c>
      <c r="R1074" s="92">
        <v>3</v>
      </c>
      <c r="S1074" s="56">
        <v>0</v>
      </c>
    </row>
    <row r="1075" spans="1:19">
      <c r="A1075" s="94" t="s">
        <v>735</v>
      </c>
      <c r="B1075" s="94" t="s">
        <v>529</v>
      </c>
      <c r="C1075" s="95" t="s">
        <v>184</v>
      </c>
      <c r="D1075" s="95" t="s">
        <v>138</v>
      </c>
      <c r="E1075" s="95" t="s">
        <v>139</v>
      </c>
      <c r="F1075" s="95" t="s">
        <v>162</v>
      </c>
      <c r="G1075" s="95" t="s">
        <v>184</v>
      </c>
      <c r="H1075" s="95">
        <v>0</v>
      </c>
      <c r="I1075" s="95">
        <v>16</v>
      </c>
      <c r="J1075" s="95" t="s">
        <v>447</v>
      </c>
      <c r="K1075" s="95" t="s">
        <v>448</v>
      </c>
      <c r="L1075" s="95" t="s">
        <v>87</v>
      </c>
      <c r="M1075" s="95" t="s">
        <v>87</v>
      </c>
      <c r="N1075" s="95">
        <v>1</v>
      </c>
      <c r="O1075" s="92">
        <v>1</v>
      </c>
      <c r="Q1075" s="96">
        <v>5</v>
      </c>
      <c r="R1075" s="92">
        <v>5</v>
      </c>
      <c r="S1075" s="56">
        <v>0</v>
      </c>
    </row>
    <row r="1076" spans="1:19">
      <c r="A1076" s="94" t="s">
        <v>735</v>
      </c>
      <c r="B1076" s="94" t="s">
        <v>529</v>
      </c>
      <c r="C1076" s="95" t="s">
        <v>184</v>
      </c>
      <c r="D1076" s="95" t="s">
        <v>138</v>
      </c>
      <c r="E1076" s="95" t="s">
        <v>139</v>
      </c>
      <c r="F1076" s="95" t="s">
        <v>186</v>
      </c>
      <c r="G1076" s="95" t="s">
        <v>184</v>
      </c>
      <c r="H1076" s="95">
        <v>0</v>
      </c>
      <c r="I1076" s="95">
        <v>17</v>
      </c>
      <c r="J1076" s="95" t="s">
        <v>271</v>
      </c>
      <c r="K1076" s="95" t="s">
        <v>272</v>
      </c>
      <c r="L1076" s="95" t="s">
        <v>87</v>
      </c>
      <c r="M1076" s="95" t="s">
        <v>87</v>
      </c>
      <c r="N1076" s="95">
        <v>1</v>
      </c>
      <c r="O1076" s="92">
        <v>1</v>
      </c>
      <c r="Q1076" s="96">
        <v>5</v>
      </c>
      <c r="R1076" s="92">
        <v>5</v>
      </c>
      <c r="S1076" s="56">
        <v>0</v>
      </c>
    </row>
    <row r="1077" spans="1:19">
      <c r="A1077" s="94" t="s">
        <v>735</v>
      </c>
      <c r="B1077" s="94" t="s">
        <v>529</v>
      </c>
      <c r="C1077" s="95" t="s">
        <v>184</v>
      </c>
      <c r="D1077" s="95" t="s">
        <v>138</v>
      </c>
      <c r="E1077" s="95" t="s">
        <v>139</v>
      </c>
      <c r="F1077" s="95" t="s">
        <v>186</v>
      </c>
      <c r="G1077" s="95" t="s">
        <v>184</v>
      </c>
      <c r="H1077" s="95">
        <v>0</v>
      </c>
      <c r="I1077" s="95">
        <v>18</v>
      </c>
      <c r="J1077" s="95" t="s">
        <v>742</v>
      </c>
      <c r="K1077" s="95" t="s">
        <v>743</v>
      </c>
      <c r="L1077" s="95" t="s">
        <v>744</v>
      </c>
      <c r="M1077" s="95" t="s">
        <v>744</v>
      </c>
      <c r="N1077" s="95">
        <v>1</v>
      </c>
      <c r="O1077" s="92">
        <v>1</v>
      </c>
      <c r="Q1077" s="96">
        <v>1</v>
      </c>
      <c r="R1077" s="92">
        <v>1</v>
      </c>
      <c r="S1077" s="56">
        <v>0</v>
      </c>
    </row>
    <row r="1078" spans="1:19">
      <c r="A1078" s="94" t="s">
        <v>735</v>
      </c>
      <c r="B1078" s="94" t="s">
        <v>529</v>
      </c>
      <c r="C1078" s="95" t="s">
        <v>184</v>
      </c>
      <c r="D1078" s="95" t="s">
        <v>138</v>
      </c>
      <c r="E1078" s="95" t="s">
        <v>139</v>
      </c>
      <c r="F1078" s="95" t="s">
        <v>186</v>
      </c>
      <c r="G1078" s="95" t="s">
        <v>184</v>
      </c>
      <c r="H1078" s="95">
        <v>0</v>
      </c>
      <c r="I1078" s="95">
        <v>19</v>
      </c>
      <c r="J1078" s="95" t="s">
        <v>745</v>
      </c>
      <c r="K1078" s="95" t="s">
        <v>746</v>
      </c>
      <c r="L1078" s="95" t="s">
        <v>87</v>
      </c>
      <c r="M1078" s="95" t="s">
        <v>87</v>
      </c>
      <c r="N1078" s="95">
        <v>1</v>
      </c>
      <c r="O1078" s="92">
        <v>1</v>
      </c>
      <c r="Q1078" s="96">
        <v>1</v>
      </c>
      <c r="R1078" s="92">
        <v>1</v>
      </c>
      <c r="S1078" s="56">
        <v>0</v>
      </c>
    </row>
    <row r="1079" spans="1:19">
      <c r="A1079" s="94" t="s">
        <v>735</v>
      </c>
      <c r="B1079" s="94" t="s">
        <v>529</v>
      </c>
      <c r="C1079" s="95" t="s">
        <v>184</v>
      </c>
      <c r="D1079" s="95" t="s">
        <v>138</v>
      </c>
      <c r="E1079" s="95" t="s">
        <v>139</v>
      </c>
      <c r="F1079" s="95" t="s">
        <v>186</v>
      </c>
      <c r="G1079" s="95" t="s">
        <v>184</v>
      </c>
      <c r="H1079" s="95">
        <v>0</v>
      </c>
      <c r="I1079" s="95">
        <v>20</v>
      </c>
      <c r="J1079" s="95" t="s">
        <v>449</v>
      </c>
      <c r="K1079" s="95" t="s">
        <v>450</v>
      </c>
      <c r="L1079" s="95" t="s">
        <v>309</v>
      </c>
      <c r="M1079" s="95" t="s">
        <v>309</v>
      </c>
      <c r="N1079" s="95">
        <v>1</v>
      </c>
      <c r="O1079" s="92">
        <v>1</v>
      </c>
      <c r="Q1079" s="96">
        <v>1</v>
      </c>
      <c r="R1079" s="92">
        <v>1</v>
      </c>
      <c r="S1079" s="56">
        <v>0</v>
      </c>
    </row>
    <row r="1080" spans="1:19">
      <c r="A1080" s="94" t="s">
        <v>735</v>
      </c>
      <c r="B1080" s="94" t="s">
        <v>529</v>
      </c>
      <c r="C1080" s="95" t="s">
        <v>184</v>
      </c>
      <c r="D1080" s="95" t="s">
        <v>138</v>
      </c>
      <c r="E1080" s="95" t="s">
        <v>139</v>
      </c>
      <c r="F1080" s="95" t="s">
        <v>186</v>
      </c>
      <c r="G1080" s="95" t="s">
        <v>184</v>
      </c>
      <c r="H1080" s="95">
        <v>0</v>
      </c>
      <c r="I1080" s="95">
        <v>21</v>
      </c>
      <c r="J1080" s="95" t="s">
        <v>327</v>
      </c>
      <c r="K1080" s="95" t="s">
        <v>328</v>
      </c>
      <c r="L1080" s="95" t="s">
        <v>87</v>
      </c>
      <c r="M1080" s="95" t="s">
        <v>87</v>
      </c>
      <c r="N1080" s="95">
        <v>1</v>
      </c>
      <c r="O1080" s="92">
        <v>1</v>
      </c>
      <c r="Q1080" s="96">
        <v>4</v>
      </c>
      <c r="R1080" s="92">
        <v>4</v>
      </c>
      <c r="S1080" s="56">
        <v>0</v>
      </c>
    </row>
    <row r="1081" spans="1:19">
      <c r="A1081" s="94" t="s">
        <v>735</v>
      </c>
      <c r="B1081" s="94" t="s">
        <v>529</v>
      </c>
      <c r="C1081" s="95" t="s">
        <v>184</v>
      </c>
      <c r="D1081" s="95" t="s">
        <v>138</v>
      </c>
      <c r="E1081" s="95" t="s">
        <v>139</v>
      </c>
      <c r="F1081" s="95" t="s">
        <v>186</v>
      </c>
      <c r="G1081" s="95" t="s">
        <v>184</v>
      </c>
      <c r="H1081" s="95">
        <v>0</v>
      </c>
      <c r="I1081" s="95">
        <v>22</v>
      </c>
      <c r="J1081" s="95" t="s">
        <v>747</v>
      </c>
      <c r="K1081" s="95" t="s">
        <v>748</v>
      </c>
      <c r="L1081" s="95" t="s">
        <v>87</v>
      </c>
      <c r="M1081" s="95" t="s">
        <v>87</v>
      </c>
      <c r="N1081" s="95">
        <v>1</v>
      </c>
      <c r="O1081" s="92">
        <v>1</v>
      </c>
      <c r="Q1081" s="96">
        <v>10</v>
      </c>
      <c r="R1081" s="92">
        <v>10</v>
      </c>
      <c r="S1081" s="56">
        <v>0</v>
      </c>
    </row>
    <row r="1082" spans="1:19">
      <c r="A1082" s="94" t="s">
        <v>735</v>
      </c>
      <c r="B1082" s="94" t="s">
        <v>529</v>
      </c>
      <c r="C1082" s="95" t="s">
        <v>184</v>
      </c>
      <c r="D1082" s="95" t="s">
        <v>138</v>
      </c>
      <c r="E1082" s="95" t="s">
        <v>139</v>
      </c>
      <c r="F1082" s="95" t="s">
        <v>186</v>
      </c>
      <c r="G1082" s="95" t="s">
        <v>184</v>
      </c>
      <c r="H1082" s="95">
        <v>0</v>
      </c>
      <c r="I1082" s="95">
        <v>23</v>
      </c>
      <c r="J1082" s="95" t="s">
        <v>749</v>
      </c>
      <c r="K1082" s="95" t="s">
        <v>750</v>
      </c>
      <c r="L1082" s="95" t="s">
        <v>87</v>
      </c>
      <c r="M1082" s="95" t="s">
        <v>87</v>
      </c>
      <c r="N1082" s="95">
        <v>1</v>
      </c>
      <c r="O1082" s="92">
        <v>1</v>
      </c>
      <c r="Q1082" s="96">
        <v>1</v>
      </c>
      <c r="R1082" s="92">
        <v>1</v>
      </c>
      <c r="S1082" s="56">
        <v>0</v>
      </c>
    </row>
    <row r="1083" spans="1:19">
      <c r="A1083" s="94" t="s">
        <v>735</v>
      </c>
      <c r="B1083" s="94" t="s">
        <v>529</v>
      </c>
      <c r="C1083" s="95" t="s">
        <v>184</v>
      </c>
      <c r="D1083" s="95" t="s">
        <v>138</v>
      </c>
      <c r="E1083" s="95" t="s">
        <v>139</v>
      </c>
      <c r="F1083" s="95" t="s">
        <v>186</v>
      </c>
      <c r="G1083" s="95" t="s">
        <v>184</v>
      </c>
      <c r="H1083" s="95">
        <v>0</v>
      </c>
      <c r="I1083" s="95">
        <v>24</v>
      </c>
      <c r="J1083" s="95" t="s">
        <v>751</v>
      </c>
      <c r="K1083" s="95" t="s">
        <v>752</v>
      </c>
      <c r="L1083" s="95" t="s">
        <v>542</v>
      </c>
      <c r="M1083" s="95" t="s">
        <v>543</v>
      </c>
      <c r="N1083" s="95">
        <v>100</v>
      </c>
      <c r="O1083" s="92">
        <v>0.01</v>
      </c>
      <c r="Q1083" s="96">
        <v>1000</v>
      </c>
      <c r="R1083" s="92">
        <v>10</v>
      </c>
      <c r="S1083" s="56">
        <v>0</v>
      </c>
    </row>
    <row r="1084" spans="1:19">
      <c r="A1084" s="94" t="s">
        <v>735</v>
      </c>
      <c r="B1084" s="94" t="s">
        <v>529</v>
      </c>
      <c r="C1084" s="95" t="s">
        <v>184</v>
      </c>
      <c r="D1084" s="95" t="s">
        <v>138</v>
      </c>
      <c r="E1084" s="95" t="s">
        <v>139</v>
      </c>
      <c r="F1084" s="95" t="s">
        <v>186</v>
      </c>
      <c r="G1084" s="95" t="s">
        <v>184</v>
      </c>
      <c r="H1084" s="95">
        <v>0</v>
      </c>
      <c r="I1084" s="95">
        <v>25</v>
      </c>
      <c r="J1084" s="95" t="s">
        <v>414</v>
      </c>
      <c r="K1084" s="95" t="s">
        <v>415</v>
      </c>
      <c r="L1084" s="95" t="s">
        <v>87</v>
      </c>
      <c r="M1084" s="95" t="s">
        <v>87</v>
      </c>
      <c r="N1084" s="95">
        <v>1</v>
      </c>
      <c r="O1084" s="92">
        <v>1</v>
      </c>
      <c r="Q1084" s="96">
        <v>8</v>
      </c>
      <c r="R1084" s="92">
        <v>8</v>
      </c>
      <c r="S1084" s="56">
        <v>0</v>
      </c>
    </row>
    <row r="1085" spans="1:19">
      <c r="A1085" s="94" t="s">
        <v>735</v>
      </c>
      <c r="B1085" s="94" t="s">
        <v>529</v>
      </c>
      <c r="C1085" s="95" t="s">
        <v>184</v>
      </c>
      <c r="D1085" s="95" t="s">
        <v>138</v>
      </c>
      <c r="E1085" s="95" t="s">
        <v>139</v>
      </c>
      <c r="F1085" s="95" t="s">
        <v>186</v>
      </c>
      <c r="G1085" s="95" t="s">
        <v>184</v>
      </c>
      <c r="H1085" s="95">
        <v>0</v>
      </c>
      <c r="I1085" s="95">
        <v>26</v>
      </c>
      <c r="J1085" s="95" t="s">
        <v>443</v>
      </c>
      <c r="K1085" s="95" t="s">
        <v>444</v>
      </c>
      <c r="L1085" s="95" t="s">
        <v>87</v>
      </c>
      <c r="M1085" s="95" t="s">
        <v>87</v>
      </c>
      <c r="N1085" s="95">
        <v>1</v>
      </c>
      <c r="O1085" s="92">
        <v>1</v>
      </c>
      <c r="Q1085" s="96">
        <v>6</v>
      </c>
      <c r="R1085" s="92">
        <v>6</v>
      </c>
      <c r="S1085" s="56">
        <v>0</v>
      </c>
    </row>
    <row r="1086" spans="1:19">
      <c r="A1086" s="94" t="s">
        <v>735</v>
      </c>
      <c r="B1086" s="94" t="s">
        <v>529</v>
      </c>
      <c r="C1086" s="95" t="s">
        <v>184</v>
      </c>
      <c r="D1086" s="95" t="s">
        <v>138</v>
      </c>
      <c r="E1086" s="95" t="s">
        <v>139</v>
      </c>
      <c r="F1086" s="95" t="s">
        <v>186</v>
      </c>
      <c r="G1086" s="95" t="s">
        <v>184</v>
      </c>
      <c r="H1086" s="95">
        <v>0</v>
      </c>
      <c r="I1086" s="95">
        <v>27</v>
      </c>
      <c r="J1086" s="95" t="s">
        <v>592</v>
      </c>
      <c r="K1086" s="95" t="s">
        <v>593</v>
      </c>
      <c r="L1086" s="95" t="s">
        <v>87</v>
      </c>
      <c r="M1086" s="95" t="s">
        <v>87</v>
      </c>
      <c r="N1086" s="95">
        <v>1</v>
      </c>
      <c r="O1086" s="92">
        <v>1</v>
      </c>
      <c r="Q1086" s="96">
        <v>6</v>
      </c>
      <c r="R1086" s="92">
        <v>6</v>
      </c>
      <c r="S1086" s="56">
        <v>0</v>
      </c>
    </row>
    <row r="1087" spans="1:19">
      <c r="A1087" s="94" t="s">
        <v>735</v>
      </c>
      <c r="B1087" s="94" t="s">
        <v>529</v>
      </c>
      <c r="C1087" s="95" t="s">
        <v>184</v>
      </c>
      <c r="D1087" s="95" t="s">
        <v>138</v>
      </c>
      <c r="E1087" s="95" t="s">
        <v>139</v>
      </c>
      <c r="F1087" s="95" t="s">
        <v>159</v>
      </c>
      <c r="G1087" s="95" t="s">
        <v>184</v>
      </c>
      <c r="H1087" s="95">
        <v>0</v>
      </c>
      <c r="I1087" s="95">
        <v>29</v>
      </c>
      <c r="J1087" s="95" t="s">
        <v>253</v>
      </c>
      <c r="K1087" s="95" t="s">
        <v>254</v>
      </c>
      <c r="L1087" s="95" t="s">
        <v>195</v>
      </c>
      <c r="M1087" s="95" t="s">
        <v>195</v>
      </c>
      <c r="N1087" s="95">
        <v>1</v>
      </c>
      <c r="O1087" s="92">
        <v>1</v>
      </c>
      <c r="Q1087" s="96">
        <v>6</v>
      </c>
      <c r="R1087" s="92">
        <v>6</v>
      </c>
      <c r="S1087" s="56">
        <v>0</v>
      </c>
    </row>
    <row r="1088" spans="1:19">
      <c r="A1088" s="94" t="s">
        <v>735</v>
      </c>
      <c r="B1088" s="94" t="s">
        <v>529</v>
      </c>
      <c r="C1088" s="95" t="s">
        <v>184</v>
      </c>
      <c r="D1088" s="95" t="s">
        <v>138</v>
      </c>
      <c r="E1088" s="95" t="s">
        <v>139</v>
      </c>
      <c r="F1088" s="95" t="s">
        <v>166</v>
      </c>
      <c r="G1088" s="95" t="s">
        <v>184</v>
      </c>
      <c r="H1088" s="95">
        <v>0</v>
      </c>
      <c r="I1088" s="95">
        <v>30</v>
      </c>
      <c r="J1088" s="95" t="s">
        <v>194</v>
      </c>
      <c r="K1088" s="95" t="s">
        <v>99</v>
      </c>
      <c r="L1088" s="95" t="s">
        <v>100</v>
      </c>
      <c r="M1088" s="95" t="s">
        <v>100</v>
      </c>
      <c r="N1088" s="95">
        <v>1</v>
      </c>
      <c r="O1088" s="92">
        <v>23700</v>
      </c>
      <c r="Q1088" s="96">
        <v>80</v>
      </c>
      <c r="R1088" s="92">
        <v>80</v>
      </c>
      <c r="S1088" s="56">
        <v>0</v>
      </c>
    </row>
    <row r="1089" spans="1:19">
      <c r="A1089" s="94" t="s">
        <v>735</v>
      </c>
      <c r="B1089" s="94" t="s">
        <v>529</v>
      </c>
      <c r="C1089" s="95" t="s">
        <v>184</v>
      </c>
      <c r="D1089" s="95" t="s">
        <v>138</v>
      </c>
      <c r="E1089" s="95" t="s">
        <v>139</v>
      </c>
      <c r="F1089" s="95" t="s">
        <v>186</v>
      </c>
      <c r="G1089" s="95" t="s">
        <v>184</v>
      </c>
      <c r="H1089" s="95">
        <v>0</v>
      </c>
      <c r="I1089" s="95">
        <v>31</v>
      </c>
      <c r="J1089" s="95" t="s">
        <v>378</v>
      </c>
      <c r="K1089" s="95" t="s">
        <v>379</v>
      </c>
      <c r="L1089" s="95" t="s">
        <v>309</v>
      </c>
      <c r="M1089" s="95" t="s">
        <v>309</v>
      </c>
      <c r="N1089" s="95">
        <v>1</v>
      </c>
      <c r="O1089" s="92">
        <v>1</v>
      </c>
      <c r="Q1089" s="96">
        <v>2</v>
      </c>
      <c r="R1089" s="92">
        <v>2</v>
      </c>
      <c r="S1089" s="56">
        <v>0</v>
      </c>
    </row>
    <row r="1090" spans="1:19">
      <c r="A1090" s="94" t="s">
        <v>735</v>
      </c>
      <c r="B1090" s="94" t="s">
        <v>529</v>
      </c>
      <c r="C1090" s="95" t="s">
        <v>184</v>
      </c>
      <c r="D1090" s="95" t="s">
        <v>138</v>
      </c>
      <c r="E1090" s="95" t="s">
        <v>139</v>
      </c>
      <c r="F1090" s="95" t="s">
        <v>153</v>
      </c>
      <c r="G1090" s="95" t="s">
        <v>184</v>
      </c>
      <c r="H1090" s="95">
        <v>0</v>
      </c>
      <c r="I1090" s="95">
        <v>32</v>
      </c>
      <c r="J1090" s="95" t="s">
        <v>355</v>
      </c>
      <c r="K1090" s="95" t="s">
        <v>356</v>
      </c>
      <c r="L1090" s="95" t="s">
        <v>100</v>
      </c>
      <c r="M1090" s="95" t="s">
        <v>357</v>
      </c>
      <c r="N1090" s="95">
        <v>1000</v>
      </c>
      <c r="O1090" s="92">
        <v>1E-3</v>
      </c>
      <c r="Q1090" s="96">
        <v>15000</v>
      </c>
      <c r="R1090" s="92">
        <v>15</v>
      </c>
      <c r="S1090" s="56">
        <v>0</v>
      </c>
    </row>
    <row r="1091" spans="1:19">
      <c r="A1091" s="94" t="s">
        <v>735</v>
      </c>
      <c r="B1091" s="94" t="s">
        <v>529</v>
      </c>
      <c r="C1091" s="95" t="s">
        <v>184</v>
      </c>
      <c r="D1091" s="95" t="s">
        <v>138</v>
      </c>
      <c r="E1091" s="95" t="s">
        <v>139</v>
      </c>
      <c r="F1091" s="95" t="s">
        <v>153</v>
      </c>
      <c r="G1091" s="95" t="s">
        <v>184</v>
      </c>
      <c r="H1091" s="95">
        <v>0</v>
      </c>
      <c r="I1091" s="95">
        <v>33</v>
      </c>
      <c r="J1091" s="95" t="s">
        <v>753</v>
      </c>
      <c r="K1091" s="95" t="s">
        <v>754</v>
      </c>
      <c r="L1091" s="95" t="s">
        <v>309</v>
      </c>
      <c r="M1091" s="95" t="s">
        <v>309</v>
      </c>
      <c r="N1091" s="95">
        <v>1</v>
      </c>
      <c r="O1091" s="92">
        <v>1</v>
      </c>
      <c r="Q1091" s="96">
        <v>5</v>
      </c>
      <c r="R1091" s="92">
        <v>5</v>
      </c>
      <c r="S1091" s="56">
        <v>0</v>
      </c>
    </row>
    <row r="1092" spans="1:19">
      <c r="A1092" s="94" t="s">
        <v>735</v>
      </c>
      <c r="B1092" s="94" t="s">
        <v>529</v>
      </c>
      <c r="C1092" s="95" t="s">
        <v>184</v>
      </c>
      <c r="D1092" s="95" t="s">
        <v>138</v>
      </c>
      <c r="E1092" s="95" t="s">
        <v>139</v>
      </c>
      <c r="F1092" s="95" t="s">
        <v>167</v>
      </c>
      <c r="G1092" s="95" t="s">
        <v>184</v>
      </c>
      <c r="H1092" s="95">
        <v>0</v>
      </c>
      <c r="I1092" s="95">
        <v>34</v>
      </c>
      <c r="J1092" s="95" t="s">
        <v>185</v>
      </c>
      <c r="K1092" s="95" t="s">
        <v>92</v>
      </c>
      <c r="L1092" s="95" t="s">
        <v>88</v>
      </c>
      <c r="M1092" s="95" t="s">
        <v>88</v>
      </c>
      <c r="N1092" s="95">
        <v>1</v>
      </c>
      <c r="O1092" s="92">
        <v>12500</v>
      </c>
      <c r="Q1092" s="96">
        <v>2</v>
      </c>
      <c r="R1092" s="92">
        <v>2</v>
      </c>
      <c r="S1092" s="56">
        <v>0</v>
      </c>
    </row>
    <row r="1093" spans="1:19">
      <c r="A1093" s="94" t="s">
        <v>735</v>
      </c>
      <c r="B1093" s="94" t="s">
        <v>529</v>
      </c>
      <c r="C1093" s="95" t="s">
        <v>184</v>
      </c>
      <c r="D1093" s="95" t="s">
        <v>138</v>
      </c>
      <c r="E1093" s="95" t="s">
        <v>139</v>
      </c>
      <c r="F1093" s="95" t="s">
        <v>162</v>
      </c>
      <c r="G1093" s="95" t="s">
        <v>184</v>
      </c>
      <c r="H1093" s="95">
        <v>0</v>
      </c>
      <c r="I1093" s="95">
        <v>35</v>
      </c>
      <c r="J1093" s="95" t="s">
        <v>755</v>
      </c>
      <c r="K1093" s="95" t="s">
        <v>756</v>
      </c>
      <c r="L1093" s="95" t="s">
        <v>88</v>
      </c>
      <c r="M1093" s="95" t="s">
        <v>88</v>
      </c>
      <c r="N1093" s="95">
        <v>1</v>
      </c>
      <c r="O1093" s="92">
        <v>1</v>
      </c>
      <c r="Q1093" s="96">
        <v>1</v>
      </c>
      <c r="R1093" s="92">
        <v>1</v>
      </c>
      <c r="S1093" s="56">
        <v>0</v>
      </c>
    </row>
    <row r="1094" spans="1:19">
      <c r="A1094" s="94" t="s">
        <v>735</v>
      </c>
      <c r="B1094" s="94" t="s">
        <v>529</v>
      </c>
      <c r="C1094" s="95" t="s">
        <v>184</v>
      </c>
      <c r="D1094" s="95" t="s">
        <v>138</v>
      </c>
      <c r="E1094" s="95" t="s">
        <v>139</v>
      </c>
      <c r="F1094" s="95" t="s">
        <v>202</v>
      </c>
      <c r="G1094" s="95" t="s">
        <v>184</v>
      </c>
      <c r="H1094" s="95">
        <v>0</v>
      </c>
      <c r="I1094" s="95">
        <v>36</v>
      </c>
      <c r="J1094" s="95" t="s">
        <v>283</v>
      </c>
      <c r="K1094" s="95" t="s">
        <v>284</v>
      </c>
      <c r="L1094" s="95" t="s">
        <v>88</v>
      </c>
      <c r="M1094" s="95" t="s">
        <v>88</v>
      </c>
      <c r="N1094" s="95">
        <v>1</v>
      </c>
      <c r="O1094" s="92">
        <v>1</v>
      </c>
      <c r="Q1094" s="96">
        <v>1</v>
      </c>
      <c r="R1094" s="92">
        <v>1</v>
      </c>
      <c r="S1094" s="56">
        <v>0</v>
      </c>
    </row>
    <row r="1095" spans="1:19">
      <c r="A1095" s="94" t="s">
        <v>735</v>
      </c>
      <c r="B1095" s="94" t="s">
        <v>529</v>
      </c>
      <c r="C1095" s="95" t="s">
        <v>184</v>
      </c>
      <c r="D1095" s="95" t="s">
        <v>138</v>
      </c>
      <c r="E1095" s="95" t="s">
        <v>139</v>
      </c>
      <c r="F1095" s="95" t="s">
        <v>166</v>
      </c>
      <c r="G1095" s="95" t="s">
        <v>184</v>
      </c>
      <c r="H1095" s="95">
        <v>0</v>
      </c>
      <c r="I1095" s="95">
        <v>37</v>
      </c>
      <c r="J1095" s="95" t="s">
        <v>320</v>
      </c>
      <c r="K1095" s="95" t="s">
        <v>321</v>
      </c>
      <c r="L1095" s="95" t="s">
        <v>6</v>
      </c>
      <c r="M1095" s="95" t="s">
        <v>6</v>
      </c>
      <c r="N1095" s="95">
        <v>1</v>
      </c>
      <c r="O1095" s="92">
        <v>800000</v>
      </c>
      <c r="Q1095" s="96">
        <v>2</v>
      </c>
      <c r="R1095" s="92">
        <v>2</v>
      </c>
      <c r="S1095" s="56">
        <v>0</v>
      </c>
    </row>
    <row r="1096" spans="1:19">
      <c r="A1096" s="94" t="s">
        <v>735</v>
      </c>
      <c r="B1096" s="94" t="s">
        <v>529</v>
      </c>
      <c r="C1096" s="95" t="s">
        <v>184</v>
      </c>
      <c r="D1096" s="95" t="s">
        <v>138</v>
      </c>
      <c r="E1096" s="95" t="s">
        <v>139</v>
      </c>
      <c r="F1096" s="95" t="s">
        <v>162</v>
      </c>
      <c r="G1096" s="95" t="s">
        <v>184</v>
      </c>
      <c r="H1096" s="95">
        <v>0</v>
      </c>
      <c r="I1096" s="95">
        <v>38</v>
      </c>
      <c r="J1096" s="95" t="s">
        <v>757</v>
      </c>
      <c r="K1096" s="95" t="s">
        <v>758</v>
      </c>
      <c r="L1096" s="95" t="s">
        <v>88</v>
      </c>
      <c r="M1096" s="95" t="s">
        <v>88</v>
      </c>
      <c r="N1096" s="95">
        <v>1</v>
      </c>
      <c r="O1096" s="92">
        <v>1</v>
      </c>
      <c r="Q1096" s="96">
        <v>1</v>
      </c>
      <c r="R1096" s="92">
        <v>1</v>
      </c>
      <c r="S1096" s="56">
        <v>0</v>
      </c>
    </row>
    <row r="1097" spans="1:19">
      <c r="A1097" s="94" t="s">
        <v>735</v>
      </c>
      <c r="B1097" s="94" t="s">
        <v>529</v>
      </c>
      <c r="C1097" s="95" t="s">
        <v>184</v>
      </c>
      <c r="D1097" s="95" t="s">
        <v>138</v>
      </c>
      <c r="E1097" s="95" t="s">
        <v>139</v>
      </c>
      <c r="F1097" s="95" t="s">
        <v>186</v>
      </c>
      <c r="G1097" s="95" t="s">
        <v>184</v>
      </c>
      <c r="H1097" s="95">
        <v>0</v>
      </c>
      <c r="I1097" s="95">
        <v>39</v>
      </c>
      <c r="J1097" s="95" t="s">
        <v>759</v>
      </c>
      <c r="K1097" s="95" t="s">
        <v>760</v>
      </c>
      <c r="L1097" s="95" t="s">
        <v>87</v>
      </c>
      <c r="M1097" s="95" t="s">
        <v>87</v>
      </c>
      <c r="N1097" s="95">
        <v>1</v>
      </c>
      <c r="O1097" s="92">
        <v>1</v>
      </c>
      <c r="Q1097" s="96">
        <v>1</v>
      </c>
      <c r="R1097" s="92">
        <v>1</v>
      </c>
      <c r="S1097" s="56">
        <v>0</v>
      </c>
    </row>
    <row r="1098" spans="1:19">
      <c r="A1098" s="94" t="s">
        <v>735</v>
      </c>
      <c r="B1098" s="94" t="s">
        <v>529</v>
      </c>
      <c r="C1098" s="95" t="s">
        <v>184</v>
      </c>
      <c r="D1098" s="95" t="s">
        <v>138</v>
      </c>
      <c r="E1098" s="95" t="s">
        <v>139</v>
      </c>
      <c r="F1098" s="95" t="s">
        <v>186</v>
      </c>
      <c r="G1098" s="95" t="s">
        <v>184</v>
      </c>
      <c r="H1098" s="95">
        <v>0</v>
      </c>
      <c r="I1098" s="95">
        <v>40</v>
      </c>
      <c r="J1098" s="95" t="s">
        <v>648</v>
      </c>
      <c r="K1098" s="95" t="s">
        <v>649</v>
      </c>
      <c r="L1098" s="95" t="s">
        <v>87</v>
      </c>
      <c r="M1098" s="95" t="s">
        <v>87</v>
      </c>
      <c r="N1098" s="95">
        <v>1</v>
      </c>
      <c r="O1098" s="92">
        <v>1</v>
      </c>
      <c r="Q1098" s="96">
        <v>1</v>
      </c>
      <c r="R1098" s="92">
        <v>1</v>
      </c>
      <c r="S1098" s="56">
        <v>0</v>
      </c>
    </row>
    <row r="1099" spans="1:19">
      <c r="A1099" s="94" t="s">
        <v>735</v>
      </c>
      <c r="B1099" s="94" t="s">
        <v>529</v>
      </c>
      <c r="C1099" s="95" t="s">
        <v>184</v>
      </c>
      <c r="D1099" s="95" t="s">
        <v>138</v>
      </c>
      <c r="E1099" s="95" t="s">
        <v>139</v>
      </c>
      <c r="F1099" s="95" t="s">
        <v>186</v>
      </c>
      <c r="G1099" s="95" t="s">
        <v>184</v>
      </c>
      <c r="H1099" s="95">
        <v>0</v>
      </c>
      <c r="I1099" s="95">
        <v>41</v>
      </c>
      <c r="J1099" s="95" t="s">
        <v>189</v>
      </c>
      <c r="K1099" s="95" t="s">
        <v>190</v>
      </c>
      <c r="L1099" s="95" t="s">
        <v>91</v>
      </c>
      <c r="M1099" s="95" t="s">
        <v>91</v>
      </c>
      <c r="N1099" s="95">
        <v>1</v>
      </c>
      <c r="O1099" s="92">
        <v>1</v>
      </c>
      <c r="Q1099" s="96">
        <v>2</v>
      </c>
      <c r="R1099" s="92">
        <v>2</v>
      </c>
      <c r="S1099" s="56">
        <v>0</v>
      </c>
    </row>
    <row r="1100" spans="1:19">
      <c r="A1100" s="94" t="s">
        <v>761</v>
      </c>
      <c r="B1100" s="94" t="s">
        <v>732</v>
      </c>
      <c r="C1100" s="95" t="s">
        <v>184</v>
      </c>
      <c r="D1100" s="95" t="s">
        <v>138</v>
      </c>
      <c r="E1100" s="95" t="s">
        <v>139</v>
      </c>
      <c r="F1100" s="95" t="s">
        <v>162</v>
      </c>
      <c r="G1100" s="95" t="s">
        <v>184</v>
      </c>
      <c r="H1100" s="95">
        <v>0</v>
      </c>
      <c r="I1100" s="95">
        <v>1</v>
      </c>
      <c r="J1100" s="95" t="s">
        <v>409</v>
      </c>
      <c r="K1100" s="95" t="s">
        <v>410</v>
      </c>
      <c r="L1100" s="95" t="s">
        <v>87</v>
      </c>
      <c r="M1100" s="95" t="s">
        <v>87</v>
      </c>
      <c r="N1100" s="95">
        <v>1</v>
      </c>
      <c r="O1100" s="92">
        <v>1</v>
      </c>
      <c r="Q1100" s="96">
        <v>1</v>
      </c>
      <c r="R1100" s="92">
        <v>1</v>
      </c>
      <c r="S1100" s="56">
        <v>0</v>
      </c>
    </row>
    <row r="1101" spans="1:19">
      <c r="A1101" s="94" t="s">
        <v>761</v>
      </c>
      <c r="B1101" s="94" t="s">
        <v>732</v>
      </c>
      <c r="C1101" s="95" t="s">
        <v>184</v>
      </c>
      <c r="D1101" s="95" t="s">
        <v>138</v>
      </c>
      <c r="E1101" s="95" t="s">
        <v>139</v>
      </c>
      <c r="F1101" s="95" t="s">
        <v>162</v>
      </c>
      <c r="G1101" s="95" t="s">
        <v>184</v>
      </c>
      <c r="H1101" s="95">
        <v>0</v>
      </c>
      <c r="I1101" s="95">
        <v>2</v>
      </c>
      <c r="J1101" s="95" t="s">
        <v>762</v>
      </c>
      <c r="K1101" s="95" t="s">
        <v>763</v>
      </c>
      <c r="L1101" s="95" t="s">
        <v>88</v>
      </c>
      <c r="M1101" s="95" t="s">
        <v>88</v>
      </c>
      <c r="N1101" s="95">
        <v>1</v>
      </c>
      <c r="O1101" s="92">
        <v>1</v>
      </c>
      <c r="Q1101" s="96">
        <v>2</v>
      </c>
      <c r="R1101" s="92">
        <v>2</v>
      </c>
      <c r="S1101" s="56">
        <v>0</v>
      </c>
    </row>
    <row r="1102" spans="1:19">
      <c r="A1102" s="94" t="s">
        <v>761</v>
      </c>
      <c r="B1102" s="94" t="s">
        <v>732</v>
      </c>
      <c r="C1102" s="95" t="s">
        <v>184</v>
      </c>
      <c r="D1102" s="95" t="s">
        <v>138</v>
      </c>
      <c r="E1102" s="95" t="s">
        <v>139</v>
      </c>
      <c r="F1102" s="95" t="s">
        <v>186</v>
      </c>
      <c r="G1102" s="95" t="s">
        <v>184</v>
      </c>
      <c r="H1102" s="95">
        <v>0</v>
      </c>
      <c r="I1102" s="95">
        <v>3</v>
      </c>
      <c r="J1102" s="95" t="s">
        <v>399</v>
      </c>
      <c r="K1102" s="95" t="s">
        <v>400</v>
      </c>
      <c r="L1102" s="95" t="s">
        <v>87</v>
      </c>
      <c r="M1102" s="95" t="s">
        <v>87</v>
      </c>
      <c r="N1102" s="95">
        <v>1</v>
      </c>
      <c r="O1102" s="92">
        <v>1</v>
      </c>
      <c r="Q1102" s="96">
        <v>3</v>
      </c>
      <c r="R1102" s="92">
        <v>3</v>
      </c>
      <c r="S1102" s="56">
        <v>0</v>
      </c>
    </row>
    <row r="1103" spans="1:19">
      <c r="A1103" s="94" t="s">
        <v>761</v>
      </c>
      <c r="B1103" s="94" t="s">
        <v>732</v>
      </c>
      <c r="C1103" s="95" t="s">
        <v>184</v>
      </c>
      <c r="D1103" s="95" t="s">
        <v>138</v>
      </c>
      <c r="E1103" s="95" t="s">
        <v>139</v>
      </c>
      <c r="F1103" s="95" t="s">
        <v>159</v>
      </c>
      <c r="G1103" s="95" t="s">
        <v>184</v>
      </c>
      <c r="H1103" s="95">
        <v>0</v>
      </c>
      <c r="I1103" s="95">
        <v>4</v>
      </c>
      <c r="J1103" s="95" t="s">
        <v>189</v>
      </c>
      <c r="K1103" s="95" t="s">
        <v>190</v>
      </c>
      <c r="L1103" s="95" t="s">
        <v>91</v>
      </c>
      <c r="M1103" s="95" t="s">
        <v>91</v>
      </c>
      <c r="N1103" s="95">
        <v>1</v>
      </c>
      <c r="O1103" s="92">
        <v>1</v>
      </c>
      <c r="Q1103" s="96">
        <v>1</v>
      </c>
      <c r="R1103" s="92">
        <v>1</v>
      </c>
      <c r="S1103" s="56">
        <v>0</v>
      </c>
    </row>
    <row r="1104" spans="1:19">
      <c r="A1104" s="94" t="s">
        <v>761</v>
      </c>
      <c r="B1104" s="94" t="s">
        <v>732</v>
      </c>
      <c r="C1104" s="95" t="s">
        <v>184</v>
      </c>
      <c r="D1104" s="95" t="s">
        <v>138</v>
      </c>
      <c r="E1104" s="95" t="s">
        <v>139</v>
      </c>
      <c r="F1104" s="95" t="s">
        <v>186</v>
      </c>
      <c r="G1104" s="95" t="s">
        <v>184</v>
      </c>
      <c r="H1104" s="95">
        <v>0</v>
      </c>
      <c r="I1104" s="95">
        <v>6</v>
      </c>
      <c r="J1104" s="95" t="s">
        <v>273</v>
      </c>
      <c r="K1104" s="95" t="s">
        <v>269</v>
      </c>
      <c r="L1104" s="95" t="s">
        <v>95</v>
      </c>
      <c r="M1104" s="95" t="s">
        <v>95</v>
      </c>
      <c r="N1104" s="95">
        <v>1</v>
      </c>
      <c r="O1104" s="92">
        <v>1</v>
      </c>
      <c r="Q1104" s="96">
        <v>2</v>
      </c>
      <c r="R1104" s="92">
        <v>2</v>
      </c>
      <c r="S1104" s="56">
        <v>0</v>
      </c>
    </row>
    <row r="1105" spans="1:19">
      <c r="A1105" s="94" t="s">
        <v>761</v>
      </c>
      <c r="B1105" s="94" t="s">
        <v>732</v>
      </c>
      <c r="C1105" s="95" t="s">
        <v>184</v>
      </c>
      <c r="D1105" s="95" t="s">
        <v>138</v>
      </c>
      <c r="E1105" s="95" t="s">
        <v>139</v>
      </c>
      <c r="F1105" s="95" t="s">
        <v>186</v>
      </c>
      <c r="G1105" s="95" t="s">
        <v>184</v>
      </c>
      <c r="H1105" s="95">
        <v>0</v>
      </c>
      <c r="I1105" s="95">
        <v>7</v>
      </c>
      <c r="J1105" s="95" t="s">
        <v>391</v>
      </c>
      <c r="K1105" s="95" t="s">
        <v>392</v>
      </c>
      <c r="L1105" s="95" t="s">
        <v>87</v>
      </c>
      <c r="M1105" s="95" t="s">
        <v>87</v>
      </c>
      <c r="N1105" s="95">
        <v>1</v>
      </c>
      <c r="O1105" s="92">
        <v>1</v>
      </c>
      <c r="Q1105" s="96">
        <v>1</v>
      </c>
      <c r="R1105" s="92">
        <v>1</v>
      </c>
      <c r="S1105" s="56">
        <v>0</v>
      </c>
    </row>
    <row r="1106" spans="1:19">
      <c r="A1106" s="94" t="s">
        <v>761</v>
      </c>
      <c r="B1106" s="94" t="s">
        <v>732</v>
      </c>
      <c r="C1106" s="95" t="s">
        <v>184</v>
      </c>
      <c r="D1106" s="95" t="s">
        <v>138</v>
      </c>
      <c r="E1106" s="95" t="s">
        <v>139</v>
      </c>
      <c r="F1106" s="95" t="s">
        <v>186</v>
      </c>
      <c r="G1106" s="95" t="s">
        <v>184</v>
      </c>
      <c r="H1106" s="95">
        <v>0</v>
      </c>
      <c r="I1106" s="95">
        <v>8</v>
      </c>
      <c r="J1106" s="95" t="s">
        <v>393</v>
      </c>
      <c r="K1106" s="95" t="s">
        <v>394</v>
      </c>
      <c r="L1106" s="95" t="s">
        <v>87</v>
      </c>
      <c r="M1106" s="95" t="s">
        <v>87</v>
      </c>
      <c r="N1106" s="95">
        <v>1</v>
      </c>
      <c r="O1106" s="92">
        <v>1</v>
      </c>
      <c r="Q1106" s="96">
        <v>1</v>
      </c>
      <c r="R1106" s="92">
        <v>1</v>
      </c>
      <c r="S1106" s="56">
        <v>0</v>
      </c>
    </row>
    <row r="1107" spans="1:19">
      <c r="A1107" s="94" t="s">
        <v>761</v>
      </c>
      <c r="B1107" s="94" t="s">
        <v>732</v>
      </c>
      <c r="C1107" s="95" t="s">
        <v>184</v>
      </c>
      <c r="D1107" s="95" t="s">
        <v>138</v>
      </c>
      <c r="E1107" s="95" t="s">
        <v>139</v>
      </c>
      <c r="F1107" s="95" t="s">
        <v>186</v>
      </c>
      <c r="G1107" s="95" t="s">
        <v>184</v>
      </c>
      <c r="H1107" s="95">
        <v>0</v>
      </c>
      <c r="I1107" s="95">
        <v>9</v>
      </c>
      <c r="J1107" s="95" t="s">
        <v>331</v>
      </c>
      <c r="K1107" s="95" t="s">
        <v>332</v>
      </c>
      <c r="L1107" s="95" t="s">
        <v>5</v>
      </c>
      <c r="M1107" s="95" t="s">
        <v>5</v>
      </c>
      <c r="N1107" s="95">
        <v>1</v>
      </c>
      <c r="O1107" s="92">
        <v>1</v>
      </c>
      <c r="Q1107" s="96">
        <v>2</v>
      </c>
      <c r="R1107" s="92">
        <v>2</v>
      </c>
      <c r="S1107" s="56">
        <v>0</v>
      </c>
    </row>
    <row r="1108" spans="1:19">
      <c r="A1108" s="94" t="s">
        <v>531</v>
      </c>
      <c r="B1108" s="94" t="s">
        <v>460</v>
      </c>
      <c r="C1108" s="95" t="s">
        <v>205</v>
      </c>
      <c r="D1108" s="95" t="s">
        <v>138</v>
      </c>
      <c r="E1108" s="95" t="s">
        <v>139</v>
      </c>
      <c r="F1108" s="95" t="s">
        <v>159</v>
      </c>
      <c r="G1108" s="95" t="s">
        <v>184</v>
      </c>
      <c r="H1108" s="95">
        <v>0</v>
      </c>
      <c r="I1108" s="95">
        <v>14</v>
      </c>
      <c r="J1108" s="95" t="s">
        <v>206</v>
      </c>
      <c r="K1108" s="95" t="s">
        <v>207</v>
      </c>
      <c r="L1108" s="95" t="s">
        <v>87</v>
      </c>
      <c r="M1108" s="95" t="s">
        <v>87</v>
      </c>
      <c r="N1108" s="95">
        <v>1</v>
      </c>
      <c r="O1108" s="92">
        <v>1</v>
      </c>
      <c r="Q1108" s="96">
        <v>500</v>
      </c>
      <c r="R1108" s="92">
        <v>500</v>
      </c>
      <c r="S1108" s="56">
        <v>0</v>
      </c>
    </row>
    <row r="1109" spans="1:19">
      <c r="A1109" s="94" t="s">
        <v>544</v>
      </c>
      <c r="B1109" s="94" t="s">
        <v>469</v>
      </c>
      <c r="C1109" s="95" t="s">
        <v>205</v>
      </c>
      <c r="D1109" s="95" t="s">
        <v>138</v>
      </c>
      <c r="E1109" s="95" t="s">
        <v>139</v>
      </c>
      <c r="F1109" s="95" t="s">
        <v>162</v>
      </c>
      <c r="G1109" s="95" t="s">
        <v>184</v>
      </c>
      <c r="H1109" s="95">
        <v>0</v>
      </c>
      <c r="I1109" s="95">
        <v>7</v>
      </c>
      <c r="J1109" s="95" t="s">
        <v>206</v>
      </c>
      <c r="K1109" s="95" t="s">
        <v>207</v>
      </c>
      <c r="L1109" s="95" t="s">
        <v>87</v>
      </c>
      <c r="M1109" s="95" t="s">
        <v>87</v>
      </c>
      <c r="N1109" s="95">
        <v>1</v>
      </c>
      <c r="O1109" s="92">
        <v>1</v>
      </c>
      <c r="Q1109" s="96">
        <v>500</v>
      </c>
      <c r="R1109" s="92">
        <v>500</v>
      </c>
      <c r="S1109" s="56">
        <v>0</v>
      </c>
    </row>
    <row r="1110" spans="1:19">
      <c r="A1110" s="94" t="s">
        <v>547</v>
      </c>
      <c r="B1110" s="94" t="s">
        <v>471</v>
      </c>
      <c r="C1110" s="95" t="s">
        <v>205</v>
      </c>
      <c r="D1110" s="95" t="s">
        <v>138</v>
      </c>
      <c r="E1110" s="95" t="s">
        <v>139</v>
      </c>
      <c r="F1110" s="95" t="s">
        <v>162</v>
      </c>
      <c r="G1110" s="95" t="s">
        <v>184</v>
      </c>
      <c r="H1110" s="95">
        <v>0</v>
      </c>
      <c r="I1110" s="95">
        <v>8</v>
      </c>
      <c r="J1110" s="95" t="s">
        <v>206</v>
      </c>
      <c r="K1110" s="95" t="s">
        <v>207</v>
      </c>
      <c r="L1110" s="95" t="s">
        <v>87</v>
      </c>
      <c r="M1110" s="95" t="s">
        <v>87</v>
      </c>
      <c r="N1110" s="95">
        <v>1</v>
      </c>
      <c r="O1110" s="92">
        <v>1</v>
      </c>
      <c r="Q1110" s="96">
        <v>300</v>
      </c>
      <c r="R1110" s="92">
        <v>300</v>
      </c>
      <c r="S1110" s="56">
        <v>0</v>
      </c>
    </row>
    <row r="1111" spans="1:19">
      <c r="A1111" s="94" t="s">
        <v>552</v>
      </c>
      <c r="B1111" s="94" t="s">
        <v>474</v>
      </c>
      <c r="C1111" s="95" t="s">
        <v>205</v>
      </c>
      <c r="D1111" s="95" t="s">
        <v>138</v>
      </c>
      <c r="E1111" s="95" t="s">
        <v>139</v>
      </c>
      <c r="F1111" s="95" t="s">
        <v>162</v>
      </c>
      <c r="G1111" s="95" t="s">
        <v>184</v>
      </c>
      <c r="H1111" s="95">
        <v>0</v>
      </c>
      <c r="I1111" s="95">
        <v>11</v>
      </c>
      <c r="J1111" s="95" t="s">
        <v>206</v>
      </c>
      <c r="K1111" s="95" t="s">
        <v>207</v>
      </c>
      <c r="L1111" s="95" t="s">
        <v>87</v>
      </c>
      <c r="M1111" s="95" t="s">
        <v>87</v>
      </c>
      <c r="N1111" s="95">
        <v>1</v>
      </c>
      <c r="O1111" s="92">
        <v>1</v>
      </c>
      <c r="Q1111" s="96">
        <v>500</v>
      </c>
      <c r="R1111" s="92">
        <v>500</v>
      </c>
      <c r="S1111" s="56">
        <v>0</v>
      </c>
    </row>
    <row r="1112" spans="1:19">
      <c r="A1112" s="94" t="s">
        <v>561</v>
      </c>
      <c r="B1112" s="94" t="s">
        <v>476</v>
      </c>
      <c r="C1112" s="95" t="s">
        <v>205</v>
      </c>
      <c r="D1112" s="95" t="s">
        <v>138</v>
      </c>
      <c r="E1112" s="95" t="s">
        <v>139</v>
      </c>
      <c r="F1112" s="95" t="s">
        <v>162</v>
      </c>
      <c r="G1112" s="95" t="s">
        <v>184</v>
      </c>
      <c r="H1112" s="95">
        <v>0</v>
      </c>
      <c r="I1112" s="95">
        <v>9</v>
      </c>
      <c r="J1112" s="95" t="s">
        <v>206</v>
      </c>
      <c r="K1112" s="95" t="s">
        <v>207</v>
      </c>
      <c r="L1112" s="95" t="s">
        <v>87</v>
      </c>
      <c r="M1112" s="95" t="s">
        <v>87</v>
      </c>
      <c r="N1112" s="95">
        <v>1</v>
      </c>
      <c r="O1112" s="92">
        <v>1</v>
      </c>
      <c r="Q1112" s="96">
        <v>200</v>
      </c>
      <c r="R1112" s="92">
        <v>200</v>
      </c>
      <c r="S1112" s="56">
        <v>0</v>
      </c>
    </row>
    <row r="1113" spans="1:19">
      <c r="A1113" s="94" t="s">
        <v>566</v>
      </c>
      <c r="B1113" s="94" t="s">
        <v>478</v>
      </c>
      <c r="C1113" s="95" t="s">
        <v>205</v>
      </c>
      <c r="D1113" s="95" t="s">
        <v>138</v>
      </c>
      <c r="E1113" s="95" t="s">
        <v>139</v>
      </c>
      <c r="F1113" s="95" t="s">
        <v>159</v>
      </c>
      <c r="G1113" s="95" t="s">
        <v>184</v>
      </c>
      <c r="H1113" s="95">
        <v>0</v>
      </c>
      <c r="I1113" s="95">
        <v>11</v>
      </c>
      <c r="J1113" s="95" t="s">
        <v>206</v>
      </c>
      <c r="K1113" s="95" t="s">
        <v>207</v>
      </c>
      <c r="L1113" s="95" t="s">
        <v>87</v>
      </c>
      <c r="M1113" s="95" t="s">
        <v>87</v>
      </c>
      <c r="N1113" s="95">
        <v>1</v>
      </c>
      <c r="O1113" s="92">
        <v>1</v>
      </c>
      <c r="Q1113" s="96">
        <v>400</v>
      </c>
      <c r="R1113" s="92">
        <v>400</v>
      </c>
      <c r="S1113" s="56">
        <v>0</v>
      </c>
    </row>
    <row r="1114" spans="1:19">
      <c r="A1114" s="94" t="s">
        <v>575</v>
      </c>
      <c r="B1114" s="94" t="s">
        <v>480</v>
      </c>
      <c r="C1114" s="95" t="s">
        <v>205</v>
      </c>
      <c r="D1114" s="95" t="s">
        <v>138</v>
      </c>
      <c r="E1114" s="95" t="s">
        <v>139</v>
      </c>
      <c r="F1114" s="95" t="s">
        <v>159</v>
      </c>
      <c r="G1114" s="95" t="s">
        <v>184</v>
      </c>
      <c r="H1114" s="95">
        <v>0</v>
      </c>
      <c r="I1114" s="95">
        <v>10</v>
      </c>
      <c r="J1114" s="95" t="s">
        <v>206</v>
      </c>
      <c r="K1114" s="95" t="s">
        <v>207</v>
      </c>
      <c r="L1114" s="95" t="s">
        <v>87</v>
      </c>
      <c r="M1114" s="95" t="s">
        <v>87</v>
      </c>
      <c r="N1114" s="95">
        <v>1</v>
      </c>
      <c r="O1114" s="92">
        <v>1</v>
      </c>
      <c r="Q1114" s="96">
        <v>400</v>
      </c>
      <c r="R1114" s="92">
        <v>400</v>
      </c>
      <c r="S1114" s="56">
        <v>0</v>
      </c>
    </row>
    <row r="1115" spans="1:19">
      <c r="A1115" s="94" t="s">
        <v>575</v>
      </c>
      <c r="B1115" s="94" t="s">
        <v>480</v>
      </c>
      <c r="C1115" s="95" t="s">
        <v>205</v>
      </c>
      <c r="D1115" s="95" t="s">
        <v>138</v>
      </c>
      <c r="E1115" s="95" t="s">
        <v>139</v>
      </c>
      <c r="F1115" s="95" t="s">
        <v>202</v>
      </c>
      <c r="G1115" s="95" t="s">
        <v>184</v>
      </c>
      <c r="H1115" s="95">
        <v>0</v>
      </c>
      <c r="I1115" s="95">
        <v>12</v>
      </c>
      <c r="J1115" s="95" t="s">
        <v>718</v>
      </c>
      <c r="K1115" s="95" t="s">
        <v>719</v>
      </c>
      <c r="L1115" s="95" t="s">
        <v>720</v>
      </c>
      <c r="M1115" s="95" t="s">
        <v>720</v>
      </c>
      <c r="N1115" s="95">
        <v>1000</v>
      </c>
      <c r="O1115" s="92">
        <v>1E-3</v>
      </c>
      <c r="Q1115" s="96">
        <v>6000</v>
      </c>
      <c r="R1115" s="92">
        <v>6</v>
      </c>
      <c r="S1115" s="56">
        <v>0</v>
      </c>
    </row>
    <row r="1116" spans="1:19">
      <c r="A1116" s="94" t="s">
        <v>575</v>
      </c>
      <c r="B1116" s="94" t="s">
        <v>480</v>
      </c>
      <c r="C1116" s="95" t="s">
        <v>205</v>
      </c>
      <c r="D1116" s="95" t="s">
        <v>138</v>
      </c>
      <c r="E1116" s="95" t="s">
        <v>139</v>
      </c>
      <c r="F1116" s="95" t="s">
        <v>202</v>
      </c>
      <c r="G1116" s="95" t="s">
        <v>184</v>
      </c>
      <c r="H1116" s="95">
        <v>0</v>
      </c>
      <c r="I1116" s="95">
        <v>13</v>
      </c>
      <c r="J1116" s="95" t="s">
        <v>721</v>
      </c>
      <c r="K1116" s="95" t="s">
        <v>722</v>
      </c>
      <c r="L1116" s="95" t="s">
        <v>95</v>
      </c>
      <c r="M1116" s="95" t="s">
        <v>95</v>
      </c>
      <c r="N1116" s="95">
        <v>1</v>
      </c>
      <c r="O1116" s="92">
        <v>1</v>
      </c>
      <c r="Q1116" s="96">
        <v>10</v>
      </c>
      <c r="R1116" s="92">
        <v>10</v>
      </c>
      <c r="S1116" s="56">
        <v>0</v>
      </c>
    </row>
    <row r="1117" spans="1:19">
      <c r="A1117" s="94" t="s">
        <v>575</v>
      </c>
      <c r="B1117" s="94" t="s">
        <v>480</v>
      </c>
      <c r="C1117" s="95" t="s">
        <v>205</v>
      </c>
      <c r="D1117" s="95" t="s">
        <v>138</v>
      </c>
      <c r="E1117" s="95" t="s">
        <v>139</v>
      </c>
      <c r="F1117" s="95" t="s">
        <v>202</v>
      </c>
      <c r="G1117" s="95" t="s">
        <v>184</v>
      </c>
      <c r="H1117" s="95">
        <v>0</v>
      </c>
      <c r="I1117" s="95">
        <v>14</v>
      </c>
      <c r="J1117" s="95" t="s">
        <v>723</v>
      </c>
      <c r="K1117" s="95" t="s">
        <v>724</v>
      </c>
      <c r="L1117" s="95" t="s">
        <v>720</v>
      </c>
      <c r="M1117" s="95" t="s">
        <v>720</v>
      </c>
      <c r="N1117" s="95">
        <v>1000</v>
      </c>
      <c r="O1117" s="92">
        <v>1E-3</v>
      </c>
      <c r="Q1117" s="96">
        <v>1000</v>
      </c>
      <c r="R1117" s="92">
        <v>1</v>
      </c>
      <c r="S1117" s="56">
        <v>0</v>
      </c>
    </row>
    <row r="1118" spans="1:19">
      <c r="A1118" s="94" t="s">
        <v>575</v>
      </c>
      <c r="B1118" s="94" t="s">
        <v>480</v>
      </c>
      <c r="C1118" s="95" t="s">
        <v>205</v>
      </c>
      <c r="D1118" s="95" t="s">
        <v>138</v>
      </c>
      <c r="E1118" s="95" t="s">
        <v>139</v>
      </c>
      <c r="F1118" s="95" t="s">
        <v>202</v>
      </c>
      <c r="G1118" s="95" t="s">
        <v>184</v>
      </c>
      <c r="H1118" s="95">
        <v>0</v>
      </c>
      <c r="I1118" s="95">
        <v>16</v>
      </c>
      <c r="J1118" s="95" t="s">
        <v>725</v>
      </c>
      <c r="K1118" s="95" t="s">
        <v>726</v>
      </c>
      <c r="L1118" s="95" t="s">
        <v>583</v>
      </c>
      <c r="M1118" s="95" t="s">
        <v>583</v>
      </c>
      <c r="N1118" s="95">
        <v>1</v>
      </c>
      <c r="O1118" s="92">
        <v>1</v>
      </c>
      <c r="Q1118" s="96">
        <v>5</v>
      </c>
      <c r="R1118" s="92">
        <v>5</v>
      </c>
      <c r="S1118" s="56">
        <v>0</v>
      </c>
    </row>
    <row r="1119" spans="1:19">
      <c r="A1119" s="94" t="s">
        <v>584</v>
      </c>
      <c r="B1119" s="94" t="s">
        <v>482</v>
      </c>
      <c r="C1119" s="95" t="s">
        <v>205</v>
      </c>
      <c r="D1119" s="95" t="s">
        <v>138</v>
      </c>
      <c r="E1119" s="95" t="s">
        <v>139</v>
      </c>
      <c r="F1119" s="95" t="s">
        <v>162</v>
      </c>
      <c r="G1119" s="95" t="s">
        <v>184</v>
      </c>
      <c r="H1119" s="95">
        <v>0</v>
      </c>
      <c r="I1119" s="95">
        <v>6</v>
      </c>
      <c r="J1119" s="95" t="s">
        <v>206</v>
      </c>
      <c r="K1119" s="95" t="s">
        <v>207</v>
      </c>
      <c r="L1119" s="95" t="s">
        <v>87</v>
      </c>
      <c r="M1119" s="95" t="s">
        <v>87</v>
      </c>
      <c r="N1119" s="95">
        <v>1</v>
      </c>
      <c r="O1119" s="92">
        <v>1</v>
      </c>
      <c r="Q1119" s="96">
        <v>400</v>
      </c>
      <c r="R1119" s="92">
        <v>400</v>
      </c>
      <c r="S1119" s="56">
        <v>0</v>
      </c>
    </row>
    <row r="1120" spans="1:19">
      <c r="A1120" s="94" t="s">
        <v>587</v>
      </c>
      <c r="B1120" s="94" t="s">
        <v>484</v>
      </c>
      <c r="C1120" s="95" t="s">
        <v>205</v>
      </c>
      <c r="D1120" s="95" t="s">
        <v>138</v>
      </c>
      <c r="E1120" s="95" t="s">
        <v>139</v>
      </c>
      <c r="F1120" s="95" t="s">
        <v>159</v>
      </c>
      <c r="G1120" s="95" t="s">
        <v>184</v>
      </c>
      <c r="H1120" s="95">
        <v>0</v>
      </c>
      <c r="I1120" s="95">
        <v>9</v>
      </c>
      <c r="J1120" s="95" t="s">
        <v>206</v>
      </c>
      <c r="K1120" s="95" t="s">
        <v>207</v>
      </c>
      <c r="L1120" s="95" t="s">
        <v>87</v>
      </c>
      <c r="M1120" s="95" t="s">
        <v>87</v>
      </c>
      <c r="N1120" s="95">
        <v>1</v>
      </c>
      <c r="O1120" s="92">
        <v>1</v>
      </c>
      <c r="Q1120" s="96">
        <v>100</v>
      </c>
      <c r="R1120" s="92">
        <v>100</v>
      </c>
      <c r="S1120" s="56">
        <v>0</v>
      </c>
    </row>
    <row r="1121" spans="1:19">
      <c r="A1121" s="94" t="s">
        <v>594</v>
      </c>
      <c r="B1121" s="94" t="s">
        <v>486</v>
      </c>
      <c r="C1121" s="95" t="s">
        <v>205</v>
      </c>
      <c r="D1121" s="95" t="s">
        <v>138</v>
      </c>
      <c r="E1121" s="95" t="s">
        <v>139</v>
      </c>
      <c r="F1121" s="95" t="s">
        <v>159</v>
      </c>
      <c r="G1121" s="95" t="s">
        <v>184</v>
      </c>
      <c r="H1121" s="95">
        <v>0</v>
      </c>
      <c r="I1121" s="95">
        <v>14</v>
      </c>
      <c r="J1121" s="95" t="s">
        <v>206</v>
      </c>
      <c r="K1121" s="95" t="s">
        <v>207</v>
      </c>
      <c r="L1121" s="95" t="s">
        <v>87</v>
      </c>
      <c r="M1121" s="95" t="s">
        <v>87</v>
      </c>
      <c r="N1121" s="95">
        <v>1</v>
      </c>
      <c r="O1121" s="92">
        <v>1</v>
      </c>
      <c r="Q1121" s="96">
        <v>500</v>
      </c>
      <c r="R1121" s="92">
        <v>500</v>
      </c>
      <c r="S1121" s="56">
        <v>0</v>
      </c>
    </row>
    <row r="1122" spans="1:19">
      <c r="A1122" s="94" t="s">
        <v>599</v>
      </c>
      <c r="B1122" s="94" t="s">
        <v>488</v>
      </c>
      <c r="C1122" s="95" t="s">
        <v>205</v>
      </c>
      <c r="D1122" s="95" t="s">
        <v>138</v>
      </c>
      <c r="E1122" s="95" t="s">
        <v>139</v>
      </c>
      <c r="F1122" s="95" t="s">
        <v>162</v>
      </c>
      <c r="G1122" s="95" t="s">
        <v>184</v>
      </c>
      <c r="H1122" s="95">
        <v>0</v>
      </c>
      <c r="I1122" s="95">
        <v>17</v>
      </c>
      <c r="J1122" s="95" t="s">
        <v>206</v>
      </c>
      <c r="K1122" s="95" t="s">
        <v>207</v>
      </c>
      <c r="L1122" s="95" t="s">
        <v>87</v>
      </c>
      <c r="M1122" s="95" t="s">
        <v>87</v>
      </c>
      <c r="N1122" s="95">
        <v>1</v>
      </c>
      <c r="O1122" s="92">
        <v>1</v>
      </c>
      <c r="Q1122" s="96">
        <v>300</v>
      </c>
      <c r="R1122" s="92">
        <v>300</v>
      </c>
      <c r="S1122" s="56">
        <v>0</v>
      </c>
    </row>
    <row r="1123" spans="1:19">
      <c r="A1123" s="94" t="s">
        <v>614</v>
      </c>
      <c r="B1123" s="94" t="s">
        <v>492</v>
      </c>
      <c r="C1123" s="95" t="s">
        <v>205</v>
      </c>
      <c r="D1123" s="95" t="s">
        <v>138</v>
      </c>
      <c r="E1123" s="95" t="s">
        <v>139</v>
      </c>
      <c r="F1123" s="95" t="s">
        <v>187</v>
      </c>
      <c r="G1123" s="95" t="s">
        <v>184</v>
      </c>
      <c r="H1123" s="95">
        <v>0</v>
      </c>
      <c r="I1123" s="95">
        <v>23</v>
      </c>
      <c r="J1123" s="95" t="s">
        <v>206</v>
      </c>
      <c r="K1123" s="95" t="s">
        <v>207</v>
      </c>
      <c r="L1123" s="95" t="s">
        <v>87</v>
      </c>
      <c r="M1123" s="95" t="s">
        <v>87</v>
      </c>
      <c r="N1123" s="95">
        <v>1</v>
      </c>
      <c r="O1123" s="92">
        <v>1</v>
      </c>
      <c r="Q1123" s="96">
        <v>500</v>
      </c>
      <c r="R1123" s="92">
        <v>500</v>
      </c>
      <c r="S1123" s="56">
        <v>0</v>
      </c>
    </row>
    <row r="1124" spans="1:19">
      <c r="A1124" s="94" t="s">
        <v>643</v>
      </c>
      <c r="B1124" s="94" t="s">
        <v>494</v>
      </c>
      <c r="C1124" s="95" t="s">
        <v>205</v>
      </c>
      <c r="D1124" s="95" t="s">
        <v>138</v>
      </c>
      <c r="E1124" s="95" t="s">
        <v>139</v>
      </c>
      <c r="F1124" s="95" t="s">
        <v>162</v>
      </c>
      <c r="G1124" s="95" t="s">
        <v>184</v>
      </c>
      <c r="H1124" s="95">
        <v>0</v>
      </c>
      <c r="I1124" s="95">
        <v>2</v>
      </c>
      <c r="J1124" s="95" t="s">
        <v>206</v>
      </c>
      <c r="K1124" s="95" t="s">
        <v>207</v>
      </c>
      <c r="L1124" s="95" t="s">
        <v>87</v>
      </c>
      <c r="M1124" s="95" t="s">
        <v>87</v>
      </c>
      <c r="N1124" s="95">
        <v>1</v>
      </c>
      <c r="O1124" s="92">
        <v>1</v>
      </c>
      <c r="Q1124" s="96">
        <v>500</v>
      </c>
      <c r="R1124" s="92">
        <v>500</v>
      </c>
      <c r="S1124" s="56">
        <v>0</v>
      </c>
    </row>
    <row r="1125" spans="1:19">
      <c r="A1125" s="94" t="s">
        <v>652</v>
      </c>
      <c r="B1125" s="94" t="s">
        <v>497</v>
      </c>
      <c r="C1125" s="95" t="s">
        <v>205</v>
      </c>
      <c r="D1125" s="95" t="s">
        <v>138</v>
      </c>
      <c r="E1125" s="95" t="s">
        <v>139</v>
      </c>
      <c r="F1125" s="95" t="s">
        <v>162</v>
      </c>
      <c r="G1125" s="95" t="s">
        <v>184</v>
      </c>
      <c r="H1125" s="95">
        <v>0</v>
      </c>
      <c r="I1125" s="95">
        <v>7</v>
      </c>
      <c r="J1125" s="95" t="s">
        <v>206</v>
      </c>
      <c r="K1125" s="95" t="s">
        <v>207</v>
      </c>
      <c r="L1125" s="95" t="s">
        <v>87</v>
      </c>
      <c r="M1125" s="95" t="s">
        <v>87</v>
      </c>
      <c r="N1125" s="95">
        <v>1</v>
      </c>
      <c r="O1125" s="92">
        <v>1</v>
      </c>
      <c r="Q1125" s="96">
        <v>300</v>
      </c>
      <c r="R1125" s="92">
        <v>300</v>
      </c>
      <c r="S1125" s="56">
        <v>0</v>
      </c>
    </row>
    <row r="1126" spans="1:19">
      <c r="A1126" s="94" t="s">
        <v>655</v>
      </c>
      <c r="B1126" s="94" t="s">
        <v>499</v>
      </c>
      <c r="C1126" s="95" t="s">
        <v>205</v>
      </c>
      <c r="D1126" s="95" t="s">
        <v>138</v>
      </c>
      <c r="E1126" s="95" t="s">
        <v>139</v>
      </c>
      <c r="F1126" s="95" t="s">
        <v>159</v>
      </c>
      <c r="G1126" s="95" t="s">
        <v>184</v>
      </c>
      <c r="H1126" s="95">
        <v>0</v>
      </c>
      <c r="I1126" s="95">
        <v>13</v>
      </c>
      <c r="J1126" s="95" t="s">
        <v>206</v>
      </c>
      <c r="K1126" s="95" t="s">
        <v>207</v>
      </c>
      <c r="L1126" s="95" t="s">
        <v>87</v>
      </c>
      <c r="M1126" s="95" t="s">
        <v>87</v>
      </c>
      <c r="N1126" s="95">
        <v>1</v>
      </c>
      <c r="O1126" s="92">
        <v>1</v>
      </c>
      <c r="Q1126" s="96">
        <v>400</v>
      </c>
      <c r="R1126" s="92">
        <v>400</v>
      </c>
      <c r="S1126" s="56">
        <v>0</v>
      </c>
    </row>
    <row r="1127" spans="1:19">
      <c r="A1127" s="94" t="s">
        <v>658</v>
      </c>
      <c r="B1127" s="94" t="s">
        <v>509</v>
      </c>
      <c r="C1127" s="95" t="s">
        <v>205</v>
      </c>
      <c r="D1127" s="95" t="s">
        <v>138</v>
      </c>
      <c r="E1127" s="95" t="s">
        <v>139</v>
      </c>
      <c r="F1127" s="95" t="s">
        <v>159</v>
      </c>
      <c r="G1127" s="95" t="s">
        <v>184</v>
      </c>
      <c r="H1127" s="95">
        <v>0</v>
      </c>
      <c r="I1127" s="95">
        <v>9</v>
      </c>
      <c r="J1127" s="95" t="s">
        <v>206</v>
      </c>
      <c r="K1127" s="95" t="s">
        <v>207</v>
      </c>
      <c r="L1127" s="95" t="s">
        <v>87</v>
      </c>
      <c r="M1127" s="95" t="s">
        <v>87</v>
      </c>
      <c r="N1127" s="95">
        <v>1</v>
      </c>
      <c r="O1127" s="92">
        <v>1</v>
      </c>
      <c r="Q1127" s="96">
        <v>400</v>
      </c>
      <c r="R1127" s="92">
        <v>400</v>
      </c>
      <c r="S1127" s="56">
        <v>0</v>
      </c>
    </row>
    <row r="1128" spans="1:19">
      <c r="A1128" s="94" t="s">
        <v>662</v>
      </c>
      <c r="B1128" s="94" t="s">
        <v>512</v>
      </c>
      <c r="C1128" s="95" t="s">
        <v>205</v>
      </c>
      <c r="D1128" s="95" t="s">
        <v>138</v>
      </c>
      <c r="E1128" s="95" t="s">
        <v>139</v>
      </c>
      <c r="F1128" s="95" t="s">
        <v>159</v>
      </c>
      <c r="G1128" s="95" t="s">
        <v>184</v>
      </c>
      <c r="H1128" s="95">
        <v>0</v>
      </c>
      <c r="I1128" s="95">
        <v>11</v>
      </c>
      <c r="J1128" s="95" t="s">
        <v>206</v>
      </c>
      <c r="K1128" s="95" t="s">
        <v>207</v>
      </c>
      <c r="L1128" s="95" t="s">
        <v>87</v>
      </c>
      <c r="M1128" s="95" t="s">
        <v>87</v>
      </c>
      <c r="N1128" s="95">
        <v>1</v>
      </c>
      <c r="O1128" s="92">
        <v>1</v>
      </c>
      <c r="Q1128" s="96">
        <v>100</v>
      </c>
      <c r="R1128" s="92">
        <v>100</v>
      </c>
      <c r="S1128" s="56">
        <v>0</v>
      </c>
    </row>
    <row r="1129" spans="1:19">
      <c r="A1129" s="94" t="s">
        <v>662</v>
      </c>
      <c r="B1129" s="94" t="s">
        <v>512</v>
      </c>
      <c r="C1129" s="95" t="s">
        <v>205</v>
      </c>
      <c r="D1129" s="95" t="s">
        <v>138</v>
      </c>
      <c r="E1129" s="95" t="s">
        <v>139</v>
      </c>
      <c r="F1129" s="95" t="s">
        <v>186</v>
      </c>
      <c r="G1129" s="95" t="s">
        <v>184</v>
      </c>
      <c r="H1129" s="95">
        <v>0</v>
      </c>
      <c r="I1129" s="95">
        <v>13</v>
      </c>
      <c r="J1129" s="95" t="s">
        <v>727</v>
      </c>
      <c r="K1129" s="95" t="s">
        <v>728</v>
      </c>
      <c r="L1129" s="95" t="s">
        <v>87</v>
      </c>
      <c r="M1129" s="95" t="s">
        <v>87</v>
      </c>
      <c r="N1129" s="95">
        <v>1</v>
      </c>
      <c r="O1129" s="92">
        <v>1</v>
      </c>
      <c r="Q1129" s="96">
        <v>6</v>
      </c>
      <c r="R1129" s="92">
        <v>6</v>
      </c>
      <c r="S1129" s="56">
        <v>0</v>
      </c>
    </row>
    <row r="1130" spans="1:19">
      <c r="A1130" s="94" t="s">
        <v>662</v>
      </c>
      <c r="B1130" s="94" t="s">
        <v>512</v>
      </c>
      <c r="C1130" s="95" t="s">
        <v>205</v>
      </c>
      <c r="D1130" s="95" t="s">
        <v>138</v>
      </c>
      <c r="E1130" s="95" t="s">
        <v>139</v>
      </c>
      <c r="F1130" s="95" t="s">
        <v>202</v>
      </c>
      <c r="G1130" s="95" t="s">
        <v>184</v>
      </c>
      <c r="H1130" s="95">
        <v>0</v>
      </c>
      <c r="I1130" s="95">
        <v>15</v>
      </c>
      <c r="J1130" s="95" t="s">
        <v>729</v>
      </c>
      <c r="K1130" s="95" t="s">
        <v>730</v>
      </c>
      <c r="L1130" s="95" t="s">
        <v>3</v>
      </c>
      <c r="M1130" s="95" t="s">
        <v>142</v>
      </c>
      <c r="N1130" s="95">
        <v>1000</v>
      </c>
      <c r="O1130" s="92">
        <v>1E-3</v>
      </c>
      <c r="Q1130" s="96">
        <v>1000</v>
      </c>
      <c r="R1130" s="92">
        <v>1</v>
      </c>
      <c r="S1130" s="56">
        <v>0</v>
      </c>
    </row>
    <row r="1131" spans="1:19">
      <c r="A1131" s="94" t="s">
        <v>701</v>
      </c>
      <c r="B1131" s="94" t="s">
        <v>521</v>
      </c>
      <c r="C1131" s="95" t="s">
        <v>205</v>
      </c>
      <c r="D1131" s="95" t="s">
        <v>138</v>
      </c>
      <c r="E1131" s="95" t="s">
        <v>139</v>
      </c>
      <c r="F1131" s="95" t="s">
        <v>159</v>
      </c>
      <c r="G1131" s="95" t="s">
        <v>184</v>
      </c>
      <c r="H1131" s="95">
        <v>0</v>
      </c>
      <c r="I1131" s="95">
        <v>17</v>
      </c>
      <c r="J1131" s="95" t="s">
        <v>206</v>
      </c>
      <c r="K1131" s="95" t="s">
        <v>207</v>
      </c>
      <c r="L1131" s="95" t="s">
        <v>87</v>
      </c>
      <c r="M1131" s="95" t="s">
        <v>87</v>
      </c>
      <c r="N1131" s="95">
        <v>1</v>
      </c>
      <c r="O1131" s="92">
        <v>1</v>
      </c>
      <c r="Q1131" s="96">
        <v>400</v>
      </c>
      <c r="R1131" s="92">
        <v>400</v>
      </c>
      <c r="S1131" s="56">
        <v>0</v>
      </c>
    </row>
    <row r="1132" spans="1:19">
      <c r="A1132" s="94" t="s">
        <v>710</v>
      </c>
      <c r="B1132" s="94" t="s">
        <v>523</v>
      </c>
      <c r="C1132" s="95" t="s">
        <v>205</v>
      </c>
      <c r="D1132" s="95" t="s">
        <v>138</v>
      </c>
      <c r="E1132" s="95" t="s">
        <v>139</v>
      </c>
      <c r="F1132" s="95" t="s">
        <v>162</v>
      </c>
      <c r="G1132" s="95" t="s">
        <v>184</v>
      </c>
      <c r="H1132" s="95">
        <v>0</v>
      </c>
      <c r="I1132" s="95">
        <v>10</v>
      </c>
      <c r="J1132" s="95" t="s">
        <v>206</v>
      </c>
      <c r="K1132" s="95" t="s">
        <v>207</v>
      </c>
      <c r="L1132" s="95" t="s">
        <v>87</v>
      </c>
      <c r="M1132" s="95" t="s">
        <v>87</v>
      </c>
      <c r="N1132" s="95">
        <v>1</v>
      </c>
      <c r="O1132" s="92">
        <v>1</v>
      </c>
      <c r="Q1132" s="96">
        <v>300</v>
      </c>
      <c r="R1132" s="92">
        <v>300</v>
      </c>
      <c r="S1132" s="56">
        <v>0</v>
      </c>
    </row>
    <row r="1133" spans="1:19">
      <c r="A1133" s="94" t="s">
        <v>713</v>
      </c>
      <c r="B1133" s="94" t="s">
        <v>525</v>
      </c>
      <c r="C1133" s="95" t="s">
        <v>205</v>
      </c>
      <c r="D1133" s="95" t="s">
        <v>138</v>
      </c>
      <c r="E1133" s="95" t="s">
        <v>139</v>
      </c>
      <c r="F1133" s="95" t="s">
        <v>162</v>
      </c>
      <c r="G1133" s="95" t="s">
        <v>184</v>
      </c>
      <c r="H1133" s="95">
        <v>0</v>
      </c>
      <c r="I1133" s="95">
        <v>9</v>
      </c>
      <c r="J1133" s="95" t="s">
        <v>206</v>
      </c>
      <c r="K1133" s="95" t="s">
        <v>207</v>
      </c>
      <c r="L1133" s="95" t="s">
        <v>87</v>
      </c>
      <c r="M1133" s="95" t="s">
        <v>87</v>
      </c>
      <c r="N1133" s="95">
        <v>1</v>
      </c>
      <c r="O1133" s="92">
        <v>1</v>
      </c>
      <c r="Q1133" s="96">
        <v>400</v>
      </c>
      <c r="R1133" s="92">
        <v>400</v>
      </c>
      <c r="S1133" s="56">
        <v>0</v>
      </c>
    </row>
    <row r="1134" spans="1:19">
      <c r="A1134" s="94" t="s">
        <v>717</v>
      </c>
      <c r="B1134" s="94" t="s">
        <v>527</v>
      </c>
      <c r="C1134" s="95" t="s">
        <v>205</v>
      </c>
      <c r="D1134" s="95" t="s">
        <v>138</v>
      </c>
      <c r="E1134" s="95" t="s">
        <v>139</v>
      </c>
      <c r="F1134" s="95" t="s">
        <v>159</v>
      </c>
      <c r="G1134" s="95" t="s">
        <v>184</v>
      </c>
      <c r="H1134" s="95">
        <v>0</v>
      </c>
      <c r="I1134" s="95">
        <v>9</v>
      </c>
      <c r="J1134" s="95" t="s">
        <v>206</v>
      </c>
      <c r="K1134" s="95" t="s">
        <v>207</v>
      </c>
      <c r="L1134" s="95" t="s">
        <v>87</v>
      </c>
      <c r="M1134" s="95" t="s">
        <v>87</v>
      </c>
      <c r="N1134" s="95">
        <v>1</v>
      </c>
      <c r="O1134" s="92">
        <v>1</v>
      </c>
      <c r="Q1134" s="96">
        <v>300</v>
      </c>
      <c r="R1134" s="92">
        <v>300</v>
      </c>
      <c r="S1134" s="56">
        <v>0</v>
      </c>
    </row>
    <row r="1135" spans="1:19">
      <c r="A1135" s="94" t="s">
        <v>735</v>
      </c>
      <c r="B1135" s="94" t="s">
        <v>529</v>
      </c>
      <c r="C1135" s="95" t="s">
        <v>205</v>
      </c>
      <c r="D1135" s="95" t="s">
        <v>138</v>
      </c>
      <c r="E1135" s="95" t="s">
        <v>139</v>
      </c>
      <c r="F1135" s="95" t="s">
        <v>162</v>
      </c>
      <c r="G1135" s="95" t="s">
        <v>184</v>
      </c>
      <c r="H1135" s="95">
        <v>0</v>
      </c>
      <c r="I1135" s="95">
        <v>10</v>
      </c>
      <c r="J1135" s="95" t="s">
        <v>206</v>
      </c>
      <c r="K1135" s="95" t="s">
        <v>207</v>
      </c>
      <c r="L1135" s="95" t="s">
        <v>87</v>
      </c>
      <c r="M1135" s="95" t="s">
        <v>87</v>
      </c>
      <c r="N1135" s="95">
        <v>1</v>
      </c>
      <c r="O1135" s="92">
        <v>1</v>
      </c>
      <c r="Q1135" s="96">
        <v>400</v>
      </c>
      <c r="R1135" s="92">
        <v>400</v>
      </c>
      <c r="S1135" s="56">
        <v>0</v>
      </c>
    </row>
    <row r="1136" spans="1:19">
      <c r="A1136" s="94" t="s">
        <v>735</v>
      </c>
      <c r="B1136" s="94" t="s">
        <v>529</v>
      </c>
      <c r="C1136" s="95" t="s">
        <v>205</v>
      </c>
      <c r="D1136" s="95" t="s">
        <v>138</v>
      </c>
      <c r="E1136" s="95" t="s">
        <v>139</v>
      </c>
      <c r="F1136" s="95" t="s">
        <v>202</v>
      </c>
      <c r="G1136" s="95" t="s">
        <v>184</v>
      </c>
      <c r="H1136" s="95">
        <v>0</v>
      </c>
      <c r="I1136" s="95">
        <v>28</v>
      </c>
      <c r="J1136" s="95" t="s">
        <v>764</v>
      </c>
      <c r="K1136" s="95" t="s">
        <v>765</v>
      </c>
      <c r="L1136" s="95" t="s">
        <v>87</v>
      </c>
      <c r="M1136" s="95" t="s">
        <v>87</v>
      </c>
      <c r="N1136" s="95">
        <v>1</v>
      </c>
      <c r="O1136" s="92">
        <v>1</v>
      </c>
      <c r="Q1136" s="96">
        <v>3</v>
      </c>
      <c r="R1136" s="92">
        <v>3</v>
      </c>
      <c r="S1136" s="56">
        <v>0</v>
      </c>
    </row>
    <row r="1137" spans="1:19">
      <c r="A1137" s="94" t="s">
        <v>761</v>
      </c>
      <c r="B1137" s="94" t="s">
        <v>732</v>
      </c>
      <c r="C1137" s="95" t="s">
        <v>205</v>
      </c>
      <c r="D1137" s="95" t="s">
        <v>138</v>
      </c>
      <c r="E1137" s="95" t="s">
        <v>139</v>
      </c>
      <c r="F1137" s="95" t="s">
        <v>162</v>
      </c>
      <c r="G1137" s="95" t="s">
        <v>184</v>
      </c>
      <c r="H1137" s="95">
        <v>0</v>
      </c>
      <c r="I1137" s="95">
        <v>5</v>
      </c>
      <c r="J1137" s="95" t="s">
        <v>206</v>
      </c>
      <c r="K1137" s="95" t="s">
        <v>207</v>
      </c>
      <c r="L1137" s="95" t="s">
        <v>87</v>
      </c>
      <c r="M1137" s="95" t="s">
        <v>87</v>
      </c>
      <c r="N1137" s="95">
        <v>1</v>
      </c>
      <c r="O1137" s="92">
        <v>1</v>
      </c>
      <c r="Q1137" s="96">
        <v>300</v>
      </c>
      <c r="R1137" s="92">
        <v>300</v>
      </c>
      <c r="S1137" s="56">
        <v>0</v>
      </c>
    </row>
  </sheetData>
  <autoFilter ref="A5:T1137" xr:uid="{1D24B1D7-F5E0-4479-AFC1-25905A83602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128E5-AF12-406E-A2D3-DF9C27266DA9}">
  <dimension ref="A1:H33"/>
  <sheetViews>
    <sheetView workbookViewId="0">
      <selection activeCell="F17" sqref="F17"/>
    </sheetView>
  </sheetViews>
  <sheetFormatPr defaultColWidth="9.15234375" defaultRowHeight="15.9"/>
  <cols>
    <col min="1" max="1" width="9.69140625" style="113" customWidth="1"/>
    <col min="2" max="2" width="39.53515625" style="113" customWidth="1"/>
    <col min="3" max="3" width="30.3046875" style="113" hidden="1" customWidth="1"/>
    <col min="4" max="4" width="30.15234375" style="121" customWidth="1"/>
    <col min="5" max="5" width="4.3828125" style="113" customWidth="1"/>
    <col min="6" max="6" width="39.53515625" style="113" customWidth="1"/>
    <col min="7" max="7" width="30.3046875" style="113" hidden="1" customWidth="1"/>
    <col min="8" max="8" width="30.15234375" style="121" customWidth="1"/>
    <col min="9" max="16384" width="9.15234375" style="113"/>
  </cols>
  <sheetData>
    <row r="1" spans="1:7" ht="18.45">
      <c r="B1" s="114" t="s">
        <v>770</v>
      </c>
    </row>
    <row r="2" spans="1:7">
      <c r="C2" s="113" t="s">
        <v>235</v>
      </c>
      <c r="D2" s="122" t="s">
        <v>245</v>
      </c>
    </row>
    <row r="3" spans="1:7" s="118" customFormat="1">
      <c r="A3" s="116"/>
      <c r="B3" s="112" t="s">
        <v>159</v>
      </c>
      <c r="C3" s="117" t="e">
        <f>SUMIF(#REF!,Sheet2!B:B,#REF!)</f>
        <v>#REF!</v>
      </c>
      <c r="D3" s="123">
        <f>SUMIF(CHEMICAL!F:F,Sheet2!B:B,CHEMICAL!U:U)</f>
        <v>13870800</v>
      </c>
    </row>
    <row r="4" spans="1:7" s="118" customFormat="1">
      <c r="A4" s="116"/>
      <c r="B4" s="112" t="s">
        <v>140</v>
      </c>
      <c r="C4" s="117" t="e">
        <f>SUMIF(#REF!,Sheet2!B:B,#REF!)</f>
        <v>#REF!</v>
      </c>
      <c r="D4" s="123">
        <f>SUMIF(CHEMICAL!F:F,Sheet2!B:B,CHEMICAL!U:U)</f>
        <v>329828085.67730117</v>
      </c>
    </row>
    <row r="5" spans="1:7" s="118" customFormat="1">
      <c r="A5" s="116"/>
      <c r="B5" s="112" t="s">
        <v>153</v>
      </c>
      <c r="C5" s="117" t="e">
        <f>SUMIF(#REF!,Sheet2!B:B,#REF!)</f>
        <v>#REF!</v>
      </c>
      <c r="D5" s="123">
        <f>SUMIF(CHEMICAL!F:F,Sheet2!B:B,CHEMICAL!U:U)</f>
        <v>158493174.26280007</v>
      </c>
    </row>
    <row r="6" spans="1:7" s="118" customFormat="1">
      <c r="A6" s="116"/>
      <c r="B6" s="112" t="s">
        <v>166</v>
      </c>
      <c r="C6" s="117" t="e">
        <f>SUMIF(#REF!,Sheet2!B:B,#REF!)</f>
        <v>#REF!</v>
      </c>
      <c r="D6" s="123">
        <f>SUMIF(CHEMICAL!F:F,Sheet2!B:B,CHEMICAL!U:U)</f>
        <v>83720890</v>
      </c>
    </row>
    <row r="7" spans="1:7" s="118" customFormat="1">
      <c r="A7" s="116"/>
      <c r="B7" s="112" t="s">
        <v>162</v>
      </c>
      <c r="C7" s="117" t="e">
        <f>SUMIF(#REF!,Sheet2!B:B,#REF!)</f>
        <v>#REF!</v>
      </c>
      <c r="D7" s="123">
        <f>SUMIF(CHEMICAL!F:F,Sheet2!B:B,CHEMICAL!U:U)</f>
        <v>105650355</v>
      </c>
    </row>
    <row r="8" spans="1:7" s="118" customFormat="1">
      <c r="A8" s="116"/>
      <c r="B8" s="112" t="s">
        <v>156</v>
      </c>
      <c r="C8" s="117" t="e">
        <f>SUMIF(#REF!,Sheet2!B:B,#REF!)</f>
        <v>#REF!</v>
      </c>
      <c r="D8" s="123">
        <f>SUMIF(CHEMICAL!F:F,Sheet2!B:B,CHEMICAL!U:U)</f>
        <v>3558393.6</v>
      </c>
    </row>
    <row r="9" spans="1:7" s="118" customFormat="1">
      <c r="A9" s="116"/>
      <c r="B9" s="112" t="s">
        <v>167</v>
      </c>
      <c r="C9" s="117" t="e">
        <f>SUMIF(#REF!,Sheet2!B:B,#REF!)</f>
        <v>#REF!</v>
      </c>
      <c r="D9" s="123">
        <f>SUMIF(CHEMICAL!F:F,Sheet2!B:B,CHEMICAL!U:U)</f>
        <v>2826894.4979999997</v>
      </c>
    </row>
    <row r="10" spans="1:7" s="118" customFormat="1">
      <c r="A10" s="116"/>
      <c r="B10" s="112" t="s">
        <v>186</v>
      </c>
      <c r="C10" s="117"/>
      <c r="D10" s="123">
        <f>SUMIF(CHEMICAL!F:F,Sheet2!B:B,CHEMICAL!U:U)</f>
        <v>0</v>
      </c>
    </row>
    <row r="11" spans="1:7" s="118" customFormat="1">
      <c r="A11" s="116"/>
      <c r="B11" s="112" t="s">
        <v>202</v>
      </c>
      <c r="C11" s="117"/>
      <c r="D11" s="123">
        <f>SUMIF(CHEMICAL!F:F,Sheet2!B:B,CHEMICAL!U:U)</f>
        <v>0</v>
      </c>
    </row>
    <row r="12" spans="1:7" s="118" customFormat="1">
      <c r="A12" s="116"/>
      <c r="B12" s="112" t="s">
        <v>282</v>
      </c>
      <c r="C12" s="117"/>
      <c r="D12" s="123">
        <f>SUMIF(CHEMICAL!F:F,Sheet2!B:B,CHEMICAL!U:U)</f>
        <v>1402608.160383</v>
      </c>
    </row>
    <row r="13" spans="1:7" s="118" customFormat="1">
      <c r="A13" s="116"/>
      <c r="B13" s="112"/>
      <c r="C13" s="117"/>
      <c r="D13" s="123"/>
    </row>
    <row r="14" spans="1:7" s="118" customFormat="1">
      <c r="C14" s="126" t="e">
        <f>SUM(C3:C13)</f>
        <v>#REF!</v>
      </c>
      <c r="D14" s="125">
        <f>SUM(D3:D13)</f>
        <v>699351201.1984843</v>
      </c>
    </row>
    <row r="15" spans="1:7">
      <c r="C15" s="119"/>
    </row>
    <row r="16" spans="1:7">
      <c r="C16" s="120"/>
      <c r="G16" s="120"/>
    </row>
    <row r="17" spans="2:4" ht="18.45">
      <c r="B17" s="114" t="s">
        <v>770</v>
      </c>
    </row>
    <row r="18" spans="2:4">
      <c r="C18" s="113" t="s">
        <v>235</v>
      </c>
      <c r="D18" s="122" t="s">
        <v>245</v>
      </c>
    </row>
    <row r="19" spans="2:4">
      <c r="B19" s="112" t="s">
        <v>302</v>
      </c>
      <c r="C19" s="117" t="e">
        <f>SUMIF(#REF!,Sheet2!F:F,#REF!)</f>
        <v>#REF!</v>
      </c>
      <c r="D19" s="123">
        <f>SUMIF(CHEMICAL!G:G,$B$19:$B$28,CHEMICAL!U:U)</f>
        <v>13870800</v>
      </c>
    </row>
    <row r="20" spans="2:4">
      <c r="B20" s="112" t="s">
        <v>300</v>
      </c>
      <c r="C20" s="117" t="e">
        <f>SUMIF(#REF!,Sheet2!F:F,#REF!)</f>
        <v>#REF!</v>
      </c>
      <c r="D20" s="123">
        <f>SUMIF(CHEMICAL!G:G,$B$19:$B$28,CHEMICAL!U:U)</f>
        <v>166810042.31400004</v>
      </c>
    </row>
    <row r="21" spans="2:4">
      <c r="B21" s="112" t="s">
        <v>301</v>
      </c>
      <c r="C21" s="117" t="e">
        <f>SUMIF(#REF!,Sheet2!F:F,#REF!)</f>
        <v>#REF!</v>
      </c>
      <c r="D21" s="123">
        <f>SUMIF(CHEMICAL!G:G,$B$19:$B$28,CHEMICAL!U:U)</f>
        <v>45505899.90420001</v>
      </c>
    </row>
    <row r="22" spans="2:4">
      <c r="B22" s="112" t="s">
        <v>303</v>
      </c>
      <c r="C22" s="117" t="e">
        <f>SUMIF(#REF!,Sheet2!F:F,#REF!)</f>
        <v>#REF!</v>
      </c>
      <c r="D22" s="123">
        <f>SUMIF(CHEMICAL!G:G,$B$19:$B$28,CHEMICAL!U:U)</f>
        <v>162919987.09028399</v>
      </c>
    </row>
    <row r="23" spans="2:4">
      <c r="B23" s="112" t="s">
        <v>336</v>
      </c>
      <c r="C23" s="117" t="e">
        <f>SUMIF(#REF!,Sheet2!F:F,#REF!)</f>
        <v>#REF!</v>
      </c>
      <c r="D23" s="123">
        <f>SUMIF(CHEMICAL!G:G,$B$19:$B$28,CHEMICAL!U:U)</f>
        <v>83761960</v>
      </c>
    </row>
    <row r="24" spans="2:4">
      <c r="B24" s="112" t="s">
        <v>298</v>
      </c>
      <c r="C24" s="117" t="e">
        <f>SUMIF(#REF!,Sheet2!F:F,#REF!)</f>
        <v>#REF!</v>
      </c>
      <c r="D24" s="123">
        <f>SUMIF(CHEMICAL!G:G,$B$19:$B$28,CHEMICAL!U:U)</f>
        <v>2813421.54</v>
      </c>
    </row>
    <row r="25" spans="2:4">
      <c r="B25" s="112" t="s">
        <v>214</v>
      </c>
      <c r="C25" s="117" t="e">
        <f>SUMIF(#REF!,Sheet2!F:F,#REF!)</f>
        <v>#REF!</v>
      </c>
      <c r="D25" s="123">
        <f>SUMIF(CHEMICAL!G:G,$B$19:$B$28,CHEMICAL!U:U)</f>
        <v>105650355</v>
      </c>
    </row>
    <row r="26" spans="2:4">
      <c r="B26" s="112" t="s">
        <v>299</v>
      </c>
      <c r="C26" s="117"/>
      <c r="D26" s="123">
        <f>SUMIF(CHEMICAL!G:G,$B$19:$B$28,CHEMICAL!U:U)</f>
        <v>112905786.75</v>
      </c>
    </row>
    <row r="27" spans="2:4">
      <c r="B27" s="112" t="s">
        <v>337</v>
      </c>
      <c r="C27" s="117"/>
      <c r="D27" s="123">
        <f>SUMIF(CHEMICAL!G:G,$B$19:$B$28,CHEMICAL!U:U)</f>
        <v>3517323.6</v>
      </c>
    </row>
    <row r="28" spans="2:4">
      <c r="B28" s="112" t="s">
        <v>767</v>
      </c>
      <c r="C28" s="117"/>
      <c r="D28" s="123">
        <f>SUMIF(CHEMICAL!G:G,$B$19:$B$28,CHEMICAL!U:U)</f>
        <v>1595625</v>
      </c>
    </row>
    <row r="29" spans="2:4">
      <c r="B29" s="112"/>
      <c r="C29" s="117"/>
      <c r="D29" s="123"/>
    </row>
    <row r="30" spans="2:4">
      <c r="B30" s="118"/>
      <c r="C30" s="126" t="e">
        <f>SUM(C19:C29)</f>
        <v>#REF!</v>
      </c>
      <c r="D30" s="125">
        <f>SUM(D19:D29)</f>
        <v>699351201.19848406</v>
      </c>
    </row>
    <row r="31" spans="2:4">
      <c r="C31" s="119"/>
    </row>
    <row r="32" spans="2:4">
      <c r="C32" s="127" t="e">
        <f>+#REF!</f>
        <v>#REF!</v>
      </c>
      <c r="D32" s="124">
        <f>+CHEMICAL!U4</f>
        <v>699351201.19848466</v>
      </c>
    </row>
    <row r="33" spans="3:4">
      <c r="C33" s="115" t="e">
        <f>C30-C32</f>
        <v>#REF!</v>
      </c>
      <c r="D33" s="121">
        <f>D30-D32</f>
        <v>0</v>
      </c>
    </row>
  </sheetData>
  <sheetCalcPr fullCalcOnLoad="1"/>
  <pageMargins left="0.7" right="0.7" top="0.75" bottom="1.5" header="0.3" footer="0.3"/>
  <pageSetup paperSize="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83F82-2C2A-4EA3-BF9E-32C84F274AFA}">
  <dimension ref="B1:C248"/>
  <sheetViews>
    <sheetView workbookViewId="0">
      <selection activeCell="B6" sqref="B6"/>
    </sheetView>
  </sheetViews>
  <sheetFormatPr defaultRowHeight="15.45"/>
  <cols>
    <col min="2" max="2" width="51" style="6" customWidth="1"/>
    <col min="3" max="3" width="25" style="6" bestFit="1" customWidth="1"/>
  </cols>
  <sheetData>
    <row r="1" spans="2:3" ht="15">
      <c r="B1" s="1"/>
      <c r="C1" s="1" t="s">
        <v>280</v>
      </c>
    </row>
    <row r="2" spans="2:3" ht="15">
      <c r="B2" s="1"/>
      <c r="C2" s="1"/>
    </row>
    <row r="3" spans="2:3">
      <c r="C3" s="8" t="s">
        <v>368</v>
      </c>
    </row>
    <row r="4" spans="2:3" ht="15.9" thickBot="1">
      <c r="B4" s="1" t="s">
        <v>69</v>
      </c>
      <c r="C4" s="9"/>
    </row>
    <row r="5" spans="2:3" ht="15.9" thickTop="1" thickBot="1">
      <c r="B5" s="102" t="s">
        <v>55</v>
      </c>
      <c r="C5" s="102" t="s">
        <v>126</v>
      </c>
    </row>
    <row r="6" spans="2:3" ht="15.9" thickTop="1">
      <c r="B6" s="87" t="s">
        <v>62</v>
      </c>
      <c r="C6" s="71" t="s">
        <v>302</v>
      </c>
    </row>
    <row r="7" spans="2:3">
      <c r="B7" s="87" t="s">
        <v>63</v>
      </c>
      <c r="C7" s="30" t="s">
        <v>302</v>
      </c>
    </row>
    <row r="8" spans="2:3">
      <c r="B8" s="87" t="s">
        <v>49</v>
      </c>
      <c r="C8" s="30" t="s">
        <v>302</v>
      </c>
    </row>
    <row r="9" spans="2:3" ht="15">
      <c r="B9" s="167"/>
      <c r="C9" s="170"/>
    </row>
    <row r="10" spans="2:3">
      <c r="B10" s="87"/>
      <c r="C10" s="30"/>
    </row>
    <row r="11" spans="2:3">
      <c r="B11" s="87" t="s">
        <v>35</v>
      </c>
      <c r="C11" s="30" t="s">
        <v>337</v>
      </c>
    </row>
    <row r="12" spans="2:3">
      <c r="B12" s="87" t="s">
        <v>65</v>
      </c>
      <c r="C12" s="30" t="s">
        <v>337</v>
      </c>
    </row>
    <row r="13" spans="2:3">
      <c r="B13" s="87" t="s">
        <v>44</v>
      </c>
      <c r="C13" s="30" t="s">
        <v>337</v>
      </c>
    </row>
    <row r="14" spans="2:3">
      <c r="B14" s="87"/>
      <c r="C14" s="30"/>
    </row>
    <row r="15" spans="2:3">
      <c r="B15" s="87"/>
      <c r="C15" s="30"/>
    </row>
    <row r="16" spans="2:3">
      <c r="B16" s="87" t="s">
        <v>77</v>
      </c>
      <c r="C16" s="30" t="s">
        <v>300</v>
      </c>
    </row>
    <row r="17" spans="2:3">
      <c r="B17" s="87" t="s">
        <v>248</v>
      </c>
      <c r="C17" s="30" t="s">
        <v>300</v>
      </c>
    </row>
    <row r="18" spans="2:3">
      <c r="B18" s="87" t="s">
        <v>230</v>
      </c>
      <c r="C18" s="30" t="s">
        <v>300</v>
      </c>
    </row>
    <row r="19" spans="2:3">
      <c r="B19" s="87" t="s">
        <v>84</v>
      </c>
      <c r="C19" s="30" t="s">
        <v>300</v>
      </c>
    </row>
    <row r="20" spans="2:3">
      <c r="B20" s="87" t="s">
        <v>70</v>
      </c>
      <c r="C20" s="30" t="s">
        <v>300</v>
      </c>
    </row>
    <row r="21" spans="2:3">
      <c r="B21" s="87" t="s">
        <v>24</v>
      </c>
      <c r="C21" s="30" t="s">
        <v>300</v>
      </c>
    </row>
    <row r="22" spans="2:3">
      <c r="B22" s="87" t="s">
        <v>239</v>
      </c>
      <c r="C22" s="30" t="s">
        <v>300</v>
      </c>
    </row>
    <row r="23" spans="2:3">
      <c r="B23" s="87" t="s">
        <v>281</v>
      </c>
      <c r="C23" s="30" t="s">
        <v>300</v>
      </c>
    </row>
    <row r="24" spans="2:3">
      <c r="B24" s="87" t="s">
        <v>42</v>
      </c>
      <c r="C24" s="30" t="s">
        <v>300</v>
      </c>
    </row>
    <row r="25" spans="2:3">
      <c r="B25" s="88" t="s">
        <v>313</v>
      </c>
      <c r="C25" s="30" t="s">
        <v>300</v>
      </c>
    </row>
    <row r="26" spans="2:3">
      <c r="B26" s="87" t="s">
        <v>32</v>
      </c>
      <c r="C26" s="30" t="s">
        <v>300</v>
      </c>
    </row>
    <row r="27" spans="2:3">
      <c r="B27" s="87" t="s">
        <v>231</v>
      </c>
      <c r="C27" s="30" t="s">
        <v>300</v>
      </c>
    </row>
    <row r="28" spans="2:3">
      <c r="B28" s="43" t="s">
        <v>76</v>
      </c>
      <c r="C28" s="30" t="s">
        <v>300</v>
      </c>
    </row>
    <row r="29" spans="2:3">
      <c r="B29" s="87" t="s">
        <v>257</v>
      </c>
      <c r="C29" s="30" t="s">
        <v>300</v>
      </c>
    </row>
    <row r="30" spans="2:3">
      <c r="B30" s="87" t="s">
        <v>232</v>
      </c>
      <c r="C30" s="30" t="s">
        <v>300</v>
      </c>
    </row>
    <row r="31" spans="2:3">
      <c r="B31" s="88" t="s">
        <v>57</v>
      </c>
      <c r="C31" s="30" t="s">
        <v>300</v>
      </c>
    </row>
    <row r="32" spans="2:3">
      <c r="B32" s="88" t="s">
        <v>369</v>
      </c>
      <c r="C32" s="30" t="s">
        <v>300</v>
      </c>
    </row>
    <row r="33" spans="2:3">
      <c r="B33" s="88"/>
      <c r="C33" s="30"/>
    </row>
    <row r="34" spans="2:3">
      <c r="B34" s="88"/>
      <c r="C34" s="30"/>
    </row>
    <row r="35" spans="2:3">
      <c r="B35" s="87" t="s">
        <v>7</v>
      </c>
      <c r="C35" s="30" t="s">
        <v>301</v>
      </c>
    </row>
    <row r="36" spans="2:3">
      <c r="B36" s="87" t="s">
        <v>8</v>
      </c>
      <c r="C36" s="30" t="s">
        <v>301</v>
      </c>
    </row>
    <row r="37" spans="2:3">
      <c r="B37" s="87" t="s">
        <v>9</v>
      </c>
      <c r="C37" s="30" t="s">
        <v>301</v>
      </c>
    </row>
    <row r="38" spans="2:3">
      <c r="B38" s="87" t="s">
        <v>13</v>
      </c>
      <c r="C38" s="30" t="s">
        <v>301</v>
      </c>
    </row>
    <row r="39" spans="2:3">
      <c r="B39" s="87" t="s">
        <v>304</v>
      </c>
      <c r="C39" s="30" t="s">
        <v>301</v>
      </c>
    </row>
    <row r="40" spans="2:3">
      <c r="B40" s="87" t="s">
        <v>51</v>
      </c>
      <c r="C40" s="30" t="s">
        <v>301</v>
      </c>
    </row>
    <row r="41" spans="2:3">
      <c r="B41" s="87" t="s">
        <v>43</v>
      </c>
      <c r="C41" s="30" t="s">
        <v>301</v>
      </c>
    </row>
    <row r="42" spans="2:3">
      <c r="B42" s="87" t="s">
        <v>15</v>
      </c>
      <c r="C42" s="30" t="s">
        <v>301</v>
      </c>
    </row>
    <row r="43" spans="2:3">
      <c r="B43" s="87" t="s">
        <v>17</v>
      </c>
      <c r="C43" s="30" t="s">
        <v>301</v>
      </c>
    </row>
    <row r="44" spans="2:3">
      <c r="B44" s="87" t="s">
        <v>249</v>
      </c>
      <c r="C44" s="30" t="s">
        <v>301</v>
      </c>
    </row>
    <row r="45" spans="2:3">
      <c r="B45" s="87" t="s">
        <v>18</v>
      </c>
      <c r="C45" s="30" t="s">
        <v>301</v>
      </c>
    </row>
    <row r="46" spans="2:3">
      <c r="B46" s="86" t="s">
        <v>34</v>
      </c>
      <c r="C46" s="30" t="s">
        <v>301</v>
      </c>
    </row>
    <row r="47" spans="2:3">
      <c r="B47" s="87" t="s">
        <v>79</v>
      </c>
      <c r="C47" s="30" t="s">
        <v>301</v>
      </c>
    </row>
    <row r="48" spans="2:3">
      <c r="B48" s="87" t="s">
        <v>370</v>
      </c>
      <c r="C48" s="30" t="s">
        <v>301</v>
      </c>
    </row>
    <row r="49" spans="2:3">
      <c r="B49" s="87"/>
      <c r="C49" s="30"/>
    </row>
    <row r="50" spans="2:3">
      <c r="B50" s="87"/>
      <c r="C50" s="30"/>
    </row>
    <row r="51" spans="2:3">
      <c r="B51" s="87" t="s">
        <v>252</v>
      </c>
      <c r="C51" s="30" t="s">
        <v>303</v>
      </c>
    </row>
    <row r="52" spans="2:3">
      <c r="B52" s="87" t="s">
        <v>37</v>
      </c>
      <c r="C52" s="30" t="s">
        <v>303</v>
      </c>
    </row>
    <row r="53" spans="2:3">
      <c r="B53" s="87" t="s">
        <v>90</v>
      </c>
      <c r="C53" s="30" t="s">
        <v>303</v>
      </c>
    </row>
    <row r="54" spans="2:3">
      <c r="B54" s="87" t="s">
        <v>40</v>
      </c>
      <c r="C54" s="30" t="s">
        <v>303</v>
      </c>
    </row>
    <row r="55" spans="2:3">
      <c r="B55" s="87" t="s">
        <v>343</v>
      </c>
      <c r="C55" s="30" t="s">
        <v>303</v>
      </c>
    </row>
    <row r="56" spans="2:3">
      <c r="B56" s="87" t="s">
        <v>28</v>
      </c>
      <c r="C56" s="30" t="s">
        <v>303</v>
      </c>
    </row>
    <row r="57" spans="2:3">
      <c r="B57" s="41" t="s">
        <v>64</v>
      </c>
      <c r="C57" s="30" t="s">
        <v>303</v>
      </c>
    </row>
    <row r="58" spans="2:3">
      <c r="B58" s="87" t="s">
        <v>38</v>
      </c>
      <c r="C58" s="30" t="s">
        <v>303</v>
      </c>
    </row>
    <row r="59" spans="2:3">
      <c r="B59" s="87" t="s">
        <v>241</v>
      </c>
      <c r="C59" s="30" t="s">
        <v>303</v>
      </c>
    </row>
    <row r="60" spans="2:3">
      <c r="B60" s="87" t="s">
        <v>26</v>
      </c>
      <c r="C60" s="30" t="s">
        <v>303</v>
      </c>
    </row>
    <row r="61" spans="2:3">
      <c r="B61" s="87" t="s">
        <v>27</v>
      </c>
      <c r="C61" s="30" t="s">
        <v>303</v>
      </c>
    </row>
    <row r="62" spans="2:3">
      <c r="B62" s="87" t="s">
        <v>238</v>
      </c>
      <c r="C62" s="30" t="s">
        <v>303</v>
      </c>
    </row>
    <row r="63" spans="2:3">
      <c r="B63" s="41" t="s">
        <v>255</v>
      </c>
      <c r="C63" s="30" t="s">
        <v>303</v>
      </c>
    </row>
    <row r="64" spans="2:3">
      <c r="B64" s="41" t="s">
        <v>256</v>
      </c>
      <c r="C64" s="30" t="s">
        <v>303</v>
      </c>
    </row>
    <row r="65" spans="2:3">
      <c r="B65" s="87" t="s">
        <v>102</v>
      </c>
      <c r="C65" s="30" t="s">
        <v>303</v>
      </c>
    </row>
    <row r="66" spans="2:3">
      <c r="B66" s="41" t="s">
        <v>11</v>
      </c>
      <c r="C66" s="30" t="s">
        <v>303</v>
      </c>
    </row>
    <row r="67" spans="2:3">
      <c r="B67" s="87" t="s">
        <v>46</v>
      </c>
      <c r="C67" s="30" t="s">
        <v>303</v>
      </c>
    </row>
    <row r="68" spans="2:3">
      <c r="B68" s="41" t="s">
        <v>41</v>
      </c>
      <c r="C68" s="30" t="s">
        <v>303</v>
      </c>
    </row>
    <row r="69" spans="2:3">
      <c r="B69" s="87" t="s">
        <v>29</v>
      </c>
      <c r="C69" s="30" t="s">
        <v>303</v>
      </c>
    </row>
    <row r="70" spans="2:3">
      <c r="B70" s="87" t="s">
        <v>30</v>
      </c>
      <c r="C70" s="30" t="s">
        <v>303</v>
      </c>
    </row>
    <row r="71" spans="2:3">
      <c r="B71" s="87" t="s">
        <v>98</v>
      </c>
      <c r="C71" s="30" t="s">
        <v>303</v>
      </c>
    </row>
    <row r="72" spans="2:3">
      <c r="B72" s="87" t="s">
        <v>103</v>
      </c>
      <c r="C72" s="30" t="s">
        <v>303</v>
      </c>
    </row>
    <row r="73" spans="2:3">
      <c r="B73" s="87" t="s">
        <v>104</v>
      </c>
      <c r="C73" s="30" t="s">
        <v>303</v>
      </c>
    </row>
    <row r="74" spans="2:3">
      <c r="B74" s="87" t="s">
        <v>105</v>
      </c>
      <c r="C74" s="30" t="s">
        <v>303</v>
      </c>
    </row>
    <row r="75" spans="2:3">
      <c r="B75" s="87" t="s">
        <v>106</v>
      </c>
      <c r="C75" s="30" t="s">
        <v>303</v>
      </c>
    </row>
    <row r="76" spans="2:3">
      <c r="B76" s="87" t="s">
        <v>71</v>
      </c>
      <c r="C76" s="30" t="s">
        <v>303</v>
      </c>
    </row>
    <row r="77" spans="2:3">
      <c r="B77" s="87" t="s">
        <v>211</v>
      </c>
      <c r="C77" s="30" t="s">
        <v>303</v>
      </c>
    </row>
    <row r="78" spans="2:3">
      <c r="B78" s="87" t="s">
        <v>107</v>
      </c>
      <c r="C78" s="30" t="s">
        <v>303</v>
      </c>
    </row>
    <row r="79" spans="2:3">
      <c r="B79" s="87" t="s">
        <v>108</v>
      </c>
      <c r="C79" s="30" t="s">
        <v>303</v>
      </c>
    </row>
    <row r="80" spans="2:3">
      <c r="B80" s="87" t="s">
        <v>109</v>
      </c>
      <c r="C80" s="30" t="s">
        <v>303</v>
      </c>
    </row>
    <row r="81" spans="2:3">
      <c r="B81" s="87" t="s">
        <v>110</v>
      </c>
      <c r="C81" s="30" t="s">
        <v>303</v>
      </c>
    </row>
    <row r="82" spans="2:3">
      <c r="B82" s="87" t="s">
        <v>111</v>
      </c>
      <c r="C82" s="30" t="s">
        <v>303</v>
      </c>
    </row>
    <row r="83" spans="2:3">
      <c r="B83" s="87" t="s">
        <v>112</v>
      </c>
      <c r="C83" s="30" t="s">
        <v>303</v>
      </c>
    </row>
    <row r="84" spans="2:3">
      <c r="B84" s="87" t="s">
        <v>113</v>
      </c>
      <c r="C84" s="30" t="s">
        <v>303</v>
      </c>
    </row>
    <row r="85" spans="2:3">
      <c r="B85" s="87"/>
      <c r="C85" s="30"/>
    </row>
    <row r="86" spans="2:3">
      <c r="B86" s="87"/>
      <c r="C86" s="30"/>
    </row>
    <row r="87" spans="2:3">
      <c r="B87" s="87" t="s">
        <v>48</v>
      </c>
      <c r="C87" s="30" t="s">
        <v>336</v>
      </c>
    </row>
    <row r="88" spans="2:3">
      <c r="B88" s="87" t="s">
        <v>72</v>
      </c>
      <c r="C88" s="30" t="s">
        <v>336</v>
      </c>
    </row>
    <row r="89" spans="2:3">
      <c r="B89" s="87" t="s">
        <v>54</v>
      </c>
      <c r="C89" s="30" t="s">
        <v>336</v>
      </c>
    </row>
    <row r="90" spans="2:3">
      <c r="B90" s="87" t="s">
        <v>50</v>
      </c>
      <c r="C90" s="30" t="s">
        <v>336</v>
      </c>
    </row>
    <row r="91" spans="2:3">
      <c r="B91" s="87" t="s">
        <v>66</v>
      </c>
      <c r="C91" s="30" t="s">
        <v>336</v>
      </c>
    </row>
    <row r="92" spans="2:3">
      <c r="B92" s="87" t="s">
        <v>56</v>
      </c>
      <c r="C92" s="30" t="s">
        <v>336</v>
      </c>
    </row>
    <row r="93" spans="2:3">
      <c r="B93" s="87" t="s">
        <v>52</v>
      </c>
      <c r="C93" s="30" t="s">
        <v>336</v>
      </c>
    </row>
    <row r="94" spans="2:3">
      <c r="B94" s="87"/>
      <c r="C94" s="30"/>
    </row>
    <row r="95" spans="2:3">
      <c r="B95" s="87"/>
      <c r="C95" s="30"/>
    </row>
    <row r="96" spans="2:3">
      <c r="B96" s="87" t="s">
        <v>47</v>
      </c>
      <c r="C96" s="30" t="s">
        <v>298</v>
      </c>
    </row>
    <row r="97" spans="2:3">
      <c r="B97" s="87" t="s">
        <v>67</v>
      </c>
      <c r="C97" s="30" t="s">
        <v>298</v>
      </c>
    </row>
    <row r="98" spans="2:3">
      <c r="B98" s="87" t="s">
        <v>244</v>
      </c>
      <c r="C98" s="30" t="s">
        <v>298</v>
      </c>
    </row>
    <row r="99" spans="2:3">
      <c r="B99" s="87" t="s">
        <v>25</v>
      </c>
      <c r="C99" s="30" t="s">
        <v>298</v>
      </c>
    </row>
    <row r="100" spans="2:3">
      <c r="B100" s="87" t="s">
        <v>31</v>
      </c>
      <c r="C100" s="30" t="s">
        <v>298</v>
      </c>
    </row>
    <row r="101" spans="2:3">
      <c r="B101" s="51" t="s">
        <v>81</v>
      </c>
      <c r="C101" s="30" t="s">
        <v>298</v>
      </c>
    </row>
    <row r="102" spans="2:3">
      <c r="B102" s="87" t="s">
        <v>68</v>
      </c>
      <c r="C102" s="30" t="s">
        <v>298</v>
      </c>
    </row>
    <row r="103" spans="2:3">
      <c r="B103" s="43" t="s">
        <v>78</v>
      </c>
      <c r="C103" s="30" t="s">
        <v>298</v>
      </c>
    </row>
    <row r="104" spans="2:3">
      <c r="B104" s="87" t="s">
        <v>20</v>
      </c>
      <c r="C104" s="30" t="s">
        <v>298</v>
      </c>
    </row>
    <row r="105" spans="2:3">
      <c r="B105" s="87" t="s">
        <v>39</v>
      </c>
      <c r="C105" s="30" t="s">
        <v>298</v>
      </c>
    </row>
    <row r="106" spans="2:3">
      <c r="B106" s="87"/>
      <c r="C106" s="30"/>
    </row>
    <row r="107" spans="2:3">
      <c r="B107" s="87"/>
      <c r="C107" s="30"/>
    </row>
    <row r="108" spans="2:3">
      <c r="B108" s="87" t="s">
        <v>237</v>
      </c>
      <c r="C108" s="30" t="s">
        <v>214</v>
      </c>
    </row>
    <row r="109" spans="2:3">
      <c r="B109" s="87" t="s">
        <v>14</v>
      </c>
      <c r="C109" s="30" t="s">
        <v>214</v>
      </c>
    </row>
    <row r="110" spans="2:3">
      <c r="B110" s="87" t="s">
        <v>233</v>
      </c>
      <c r="C110" s="30" t="s">
        <v>214</v>
      </c>
    </row>
    <row r="111" spans="2:3">
      <c r="B111" s="87" t="s">
        <v>80</v>
      </c>
      <c r="C111" s="30" t="s">
        <v>214</v>
      </c>
    </row>
    <row r="112" spans="2:3">
      <c r="B112" s="43" t="s">
        <v>74</v>
      </c>
      <c r="C112" s="30" t="s">
        <v>214</v>
      </c>
    </row>
    <row r="113" spans="2:3">
      <c r="B113" s="43" t="s">
        <v>258</v>
      </c>
      <c r="C113" s="30" t="s">
        <v>214</v>
      </c>
    </row>
    <row r="114" spans="2:3">
      <c r="B114" s="43" t="s">
        <v>259</v>
      </c>
      <c r="C114" s="30" t="s">
        <v>214</v>
      </c>
    </row>
    <row r="115" spans="2:3">
      <c r="B115" s="87" t="s">
        <v>260</v>
      </c>
      <c r="C115" s="30" t="s">
        <v>214</v>
      </c>
    </row>
    <row r="116" spans="2:3">
      <c r="B116" s="87" t="s">
        <v>371</v>
      </c>
      <c r="C116" s="30" t="s">
        <v>214</v>
      </c>
    </row>
    <row r="117" spans="2:3">
      <c r="B117" s="87" t="s">
        <v>372</v>
      </c>
      <c r="C117" s="30" t="s">
        <v>214</v>
      </c>
    </row>
    <row r="118" spans="2:3">
      <c r="B118" s="87"/>
      <c r="C118" s="30"/>
    </row>
    <row r="119" spans="2:3">
      <c r="B119" s="87"/>
      <c r="C119" s="30"/>
    </row>
    <row r="120" spans="2:3">
      <c r="B120" s="87" t="s">
        <v>23</v>
      </c>
      <c r="C120" s="30" t="s">
        <v>299</v>
      </c>
    </row>
    <row r="121" spans="2:3">
      <c r="B121" s="87" t="s">
        <v>33</v>
      </c>
      <c r="C121" s="30" t="s">
        <v>299</v>
      </c>
    </row>
    <row r="122" spans="2:3">
      <c r="B122" s="87" t="s">
        <v>342</v>
      </c>
      <c r="C122" s="30" t="s">
        <v>299</v>
      </c>
    </row>
    <row r="123" spans="2:3">
      <c r="B123" s="87"/>
      <c r="C123" s="30"/>
    </row>
    <row r="124" spans="2:3">
      <c r="B124" s="87"/>
      <c r="C124" s="30"/>
    </row>
    <row r="125" spans="2:3">
      <c r="B125" s="167" t="s">
        <v>4</v>
      </c>
      <c r="C125" s="30"/>
    </row>
    <row r="126" spans="2:3">
      <c r="B126" s="159"/>
      <c r="C126" s="158"/>
    </row>
    <row r="127" spans="2:3">
      <c r="B127" s="156" t="s">
        <v>213</v>
      </c>
      <c r="C127" s="71"/>
    </row>
    <row r="128" spans="2:3">
      <c r="B128" s="87" t="s">
        <v>61</v>
      </c>
      <c r="C128" s="30"/>
    </row>
    <row r="129" spans="2:3">
      <c r="B129" s="87" t="s">
        <v>114</v>
      </c>
      <c r="C129" s="30"/>
    </row>
    <row r="130" spans="2:3">
      <c r="B130" s="41" t="s">
        <v>10</v>
      </c>
      <c r="C130" s="30"/>
    </row>
    <row r="131" spans="2:3">
      <c r="B131" s="41" t="s">
        <v>12</v>
      </c>
      <c r="C131" s="30"/>
    </row>
    <row r="132" spans="2:3">
      <c r="B132" s="87" t="s">
        <v>60</v>
      </c>
      <c r="C132" s="30"/>
    </row>
    <row r="133" spans="2:3">
      <c r="B133" s="87" t="s">
        <v>19</v>
      </c>
      <c r="C133" s="30"/>
    </row>
    <row r="134" spans="2:3">
      <c r="B134" s="87" t="s">
        <v>21</v>
      </c>
      <c r="C134" s="30"/>
    </row>
    <row r="135" spans="2:3">
      <c r="B135" s="43" t="s">
        <v>82</v>
      </c>
      <c r="C135" s="30"/>
    </row>
    <row r="136" spans="2:3">
      <c r="B136" s="87" t="s">
        <v>73</v>
      </c>
      <c r="C136" s="30"/>
    </row>
    <row r="137" spans="2:3">
      <c r="B137" s="87" t="s">
        <v>115</v>
      </c>
      <c r="C137" s="30"/>
    </row>
    <row r="138" spans="2:3" ht="30.9">
      <c r="B138" s="89" t="s">
        <v>209</v>
      </c>
      <c r="C138" s="30"/>
    </row>
    <row r="139" spans="2:3">
      <c r="B139" s="87" t="s">
        <v>178</v>
      </c>
      <c r="C139" s="30"/>
    </row>
    <row r="140" spans="2:3">
      <c r="B140" s="87" t="s">
        <v>208</v>
      </c>
      <c r="C140" s="30"/>
    </row>
    <row r="141" spans="2:3">
      <c r="B141" s="87" t="s">
        <v>53</v>
      </c>
      <c r="C141" s="30"/>
    </row>
    <row r="142" spans="2:3">
      <c r="B142" s="87" t="s">
        <v>16</v>
      </c>
      <c r="C142" s="30"/>
    </row>
    <row r="143" spans="2:3">
      <c r="B143" s="87" t="s">
        <v>45</v>
      </c>
      <c r="C143" s="30"/>
    </row>
    <row r="144" spans="2:3">
      <c r="B144" s="87" t="s">
        <v>179</v>
      </c>
      <c r="C144" s="30"/>
    </row>
    <row r="145" spans="2:3" ht="30.9">
      <c r="B145" s="89" t="s">
        <v>176</v>
      </c>
      <c r="C145" s="30"/>
    </row>
    <row r="146" spans="2:3" ht="30.9">
      <c r="B146" s="89" t="s">
        <v>177</v>
      </c>
      <c r="C146" s="30"/>
    </row>
    <row r="147" spans="2:3" ht="15.9" thickBot="1">
      <c r="B147" s="34"/>
      <c r="C147" s="33"/>
    </row>
    <row r="148" spans="2:3" ht="16.3" thickTop="1" thickBot="1">
      <c r="B148" s="15" t="s">
        <v>4</v>
      </c>
      <c r="C148" s="155"/>
    </row>
    <row r="149" spans="2:3" ht="15.9" thickTop="1">
      <c r="B149" s="9"/>
    </row>
    <row r="150" spans="2:3">
      <c r="B150" s="9"/>
    </row>
    <row r="151" spans="2:3">
      <c r="B151" s="9"/>
    </row>
    <row r="152" spans="2:3">
      <c r="B152" s="9"/>
    </row>
    <row r="233" spans="2:2">
      <c r="B233" s="26"/>
    </row>
    <row r="234" spans="2:2">
      <c r="B234" s="13"/>
    </row>
    <row r="235" spans="2:2">
      <c r="B235" s="13"/>
    </row>
    <row r="236" spans="2:2">
      <c r="B236" s="13"/>
    </row>
    <row r="237" spans="2:2">
      <c r="B237" s="13"/>
    </row>
    <row r="238" spans="2:2">
      <c r="B238" s="13"/>
    </row>
    <row r="239" spans="2:2">
      <c r="B239" s="29"/>
    </row>
    <row r="240" spans="2:2">
      <c r="B240" s="13"/>
    </row>
    <row r="241" spans="2:2">
      <c r="B241" s="13"/>
    </row>
    <row r="242" spans="2:2">
      <c r="B242" s="13"/>
    </row>
    <row r="243" spans="2:2">
      <c r="B243" s="13"/>
    </row>
    <row r="244" spans="2:2">
      <c r="B244" s="13"/>
    </row>
    <row r="245" spans="2:2">
      <c r="B245" s="13"/>
    </row>
    <row r="246" spans="2:2">
      <c r="B246" s="13"/>
    </row>
    <row r="247" spans="2:2">
      <c r="B247" s="9"/>
    </row>
    <row r="248" spans="2:2">
      <c r="B248" s="9"/>
    </row>
  </sheetData>
  <conditionalFormatting sqref="B6">
    <cfRule type="duplicateValues" dxfId="1" priority="2" stopIfTrue="1"/>
  </conditionalFormatting>
  <conditionalFormatting sqref="B6:B61 B63:B146">
    <cfRule type="duplicateValues" dxfId="0" priority="1" stopIfTrue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GUDANG BESAR</vt:lpstr>
      <vt:lpstr>CHEMICAL</vt:lpstr>
      <vt:lpstr>TARIK DATA</vt:lpstr>
      <vt:lpstr>Sheet2</vt:lpstr>
      <vt:lpstr>Sheet1</vt:lpstr>
      <vt:lpstr>'GUDANG BESAR'!Print_Area</vt:lpstr>
      <vt:lpstr>Sheet2!Print_Area</vt:lpstr>
      <vt:lpstr>'GUDANG BESAR'!Print_Titles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Louis Limmarga</cp:lastModifiedBy>
  <cp:lastPrinted>2025-09-03T07:01:52Z</cp:lastPrinted>
  <dcterms:created xsi:type="dcterms:W3CDTF">2023-06-05T03:41:31Z</dcterms:created>
  <dcterms:modified xsi:type="dcterms:W3CDTF">2025-09-21T05:06:14Z</dcterms:modified>
</cp:coreProperties>
</file>