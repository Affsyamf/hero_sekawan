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ouis\OneDrive\Documents\Projects\herosekawan\"/>
    </mc:Choice>
  </mc:AlternateContent>
  <xr:revisionPtr revIDLastSave="0" documentId="8_{E81D6693-A082-4E63-8403-7C195173A4BF}" xr6:coauthVersionLast="47" xr6:coauthVersionMax="47" xr10:uidLastSave="{00000000-0000-0000-0000-000000000000}"/>
  <bookViews>
    <workbookView xWindow="-103" yWindow="-103" windowWidth="22149" windowHeight="13200" activeTab="2" xr2:uid="{C7C40DE2-C832-4C8F-A934-E11101051867}"/>
  </bookViews>
  <sheets>
    <sheet name="JANUARI 2025" sheetId="14" r:id="rId1"/>
    <sheet name="FEB 2025" sheetId="15" r:id="rId2"/>
    <sheet name="MARET" sheetId="19" r:id="rId3"/>
    <sheet name="APRIL" sheetId="26" r:id="rId4"/>
    <sheet name="MEI" sheetId="28" r:id="rId5"/>
    <sheet name="JUNI" sheetId="29" r:id="rId6"/>
    <sheet name="JULI" sheetId="31" r:id="rId7"/>
    <sheet name="AGUSTUS" sheetId="32" r:id="rId8"/>
    <sheet name="SEPTEMBER" sheetId="34" r:id="rId9"/>
    <sheet name="Sheet1" sheetId="30" r:id="rId10"/>
  </sheets>
  <definedNames>
    <definedName name="__MAIN__">#REF!</definedName>
    <definedName name="__QrHeader__">#REF!</definedName>
    <definedName name="_xlnm._FilterDatabase" localSheetId="7" hidden="1">AGUSTUS!$A$7:$V$166</definedName>
    <definedName name="_xlnm._FilterDatabase" localSheetId="3" hidden="1">APRIL!$A$7:$W$171</definedName>
    <definedName name="_xlnm._FilterDatabase" localSheetId="1" hidden="1">'FEB 2025'!$A$7:$X$183</definedName>
    <definedName name="_xlnm._FilterDatabase" localSheetId="0" hidden="1">'JANUARI 2025'!$A$7:$X$138</definedName>
    <definedName name="_xlnm._FilterDatabase" localSheetId="6" hidden="1">JULI!$A$7:$V$172</definedName>
    <definedName name="_xlnm._FilterDatabase" localSheetId="5" hidden="1">JUNI!$A$7:$W$174</definedName>
    <definedName name="_xlnm._FilterDatabase" localSheetId="2" hidden="1">MARET!$A$7:$W$154</definedName>
    <definedName name="_xlnm._FilterDatabase" localSheetId="4" hidden="1">MEI!$A$7:$W$197</definedName>
    <definedName name="_xlnm._FilterDatabase" localSheetId="8" hidden="1">SEPTEMBER!$A$7:$U$45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34" l="1"/>
  <c r="P38" i="34" s="1"/>
  <c r="Q38" i="34" s="1"/>
  <c r="O35" i="34"/>
  <c r="P35" i="34" s="1"/>
  <c r="T35" i="34" s="1"/>
  <c r="P36" i="34"/>
  <c r="T36" i="34" s="1"/>
  <c r="P27" i="34"/>
  <c r="T27" i="34" s="1"/>
  <c r="P23" i="34"/>
  <c r="T23" i="34"/>
  <c r="P16" i="34"/>
  <c r="T16" i="34" s="1"/>
  <c r="P15" i="34"/>
  <c r="T15" i="34" s="1"/>
  <c r="P14" i="34"/>
  <c r="T14" i="34" s="1"/>
  <c r="P25" i="34"/>
  <c r="T25" i="34" s="1"/>
  <c r="P24" i="34"/>
  <c r="T24" i="34" s="1"/>
  <c r="P28" i="34"/>
  <c r="T28" i="34" s="1"/>
  <c r="P43" i="34"/>
  <c r="T43" i="34" s="1"/>
  <c r="P20" i="34"/>
  <c r="T20" i="34" s="1"/>
  <c r="P17" i="34"/>
  <c r="T17" i="34" s="1"/>
  <c r="P8" i="34"/>
  <c r="T8" i="34" s="1"/>
  <c r="P41" i="34"/>
  <c r="T41" i="34" s="1"/>
  <c r="P42" i="34"/>
  <c r="T42" i="34"/>
  <c r="P32" i="34"/>
  <c r="T32" i="34" s="1"/>
  <c r="P26" i="34"/>
  <c r="R26" i="34" s="1"/>
  <c r="T26" i="34" s="1"/>
  <c r="P31" i="34"/>
  <c r="R31" i="34" s="1"/>
  <c r="P29" i="34"/>
  <c r="T29" i="34" s="1"/>
  <c r="P22" i="34"/>
  <c r="T22" i="34" s="1"/>
  <c r="P21" i="34"/>
  <c r="T21" i="34" s="1"/>
  <c r="P34" i="34"/>
  <c r="T34" i="34" s="1"/>
  <c r="P18" i="34"/>
  <c r="T18" i="34" s="1"/>
  <c r="P44" i="34"/>
  <c r="T44" i="34" s="1"/>
  <c r="P39" i="34"/>
  <c r="T39" i="34" s="1"/>
  <c r="P19" i="34"/>
  <c r="T19" i="34" s="1"/>
  <c r="P13" i="34"/>
  <c r="T13" i="34" s="1"/>
  <c r="P12" i="34"/>
  <c r="T12" i="34" s="1"/>
  <c r="P11" i="34"/>
  <c r="T11" i="34" s="1"/>
  <c r="P10" i="34"/>
  <c r="T10" i="34"/>
  <c r="P33" i="34"/>
  <c r="T33" i="34"/>
  <c r="P37" i="34"/>
  <c r="R37" i="34" s="1"/>
  <c r="P30" i="34"/>
  <c r="R30" i="34" s="1"/>
  <c r="T30" i="34" s="1"/>
  <c r="P45" i="34"/>
  <c r="T45" i="34"/>
  <c r="P40" i="34"/>
  <c r="T40" i="34"/>
  <c r="P9" i="34"/>
  <c r="T9" i="34" s="1"/>
  <c r="M175" i="32"/>
  <c r="S6" i="32"/>
  <c r="O166" i="32"/>
  <c r="P166" i="32" s="1"/>
  <c r="O165" i="32"/>
  <c r="P165" i="32" s="1"/>
  <c r="O164" i="32"/>
  <c r="P164" i="32" s="1"/>
  <c r="O163" i="32"/>
  <c r="P163" i="32" s="1"/>
  <c r="O162" i="32"/>
  <c r="P162" i="32" s="1"/>
  <c r="O161" i="32"/>
  <c r="P161" i="32" s="1"/>
  <c r="O160" i="32"/>
  <c r="P160" i="32" s="1"/>
  <c r="Q160" i="32" s="1"/>
  <c r="T160" i="32" s="1"/>
  <c r="O159" i="32"/>
  <c r="P159" i="32" s="1"/>
  <c r="O158" i="32"/>
  <c r="P158" i="32" s="1"/>
  <c r="O157" i="32"/>
  <c r="P157" i="32" s="1"/>
  <c r="O156" i="32"/>
  <c r="P156" i="32" s="1"/>
  <c r="O155" i="32"/>
  <c r="P155" i="32"/>
  <c r="O154" i="32"/>
  <c r="P154" i="32" s="1"/>
  <c r="R154" i="32" s="1"/>
  <c r="O153" i="32"/>
  <c r="P153" i="32" s="1"/>
  <c r="O152" i="32"/>
  <c r="P152" i="32" s="1"/>
  <c r="O151" i="32"/>
  <c r="P151" i="32" s="1"/>
  <c r="P150" i="32"/>
  <c r="T150" i="32" s="1"/>
  <c r="L150" i="32"/>
  <c r="P149" i="32"/>
  <c r="T149" i="32" s="1"/>
  <c r="L149" i="32"/>
  <c r="P148" i="32"/>
  <c r="T148" i="32"/>
  <c r="L148" i="32"/>
  <c r="P147" i="32"/>
  <c r="T147" i="32" s="1"/>
  <c r="L147" i="32"/>
  <c r="P146" i="32"/>
  <c r="T146" i="32" s="1"/>
  <c r="L146" i="32"/>
  <c r="P145" i="32"/>
  <c r="T145" i="32" s="1"/>
  <c r="L145" i="32"/>
  <c r="P144" i="32"/>
  <c r="T144" i="32" s="1"/>
  <c r="L144" i="32"/>
  <c r="P143" i="32"/>
  <c r="T143" i="32" s="1"/>
  <c r="L143" i="32"/>
  <c r="P142" i="32"/>
  <c r="T142" i="32" s="1"/>
  <c r="L142" i="32"/>
  <c r="P141" i="32"/>
  <c r="T141" i="32" s="1"/>
  <c r="L141" i="32"/>
  <c r="P140" i="32"/>
  <c r="T140" i="32" s="1"/>
  <c r="L140" i="32"/>
  <c r="P139" i="32"/>
  <c r="T139" i="32" s="1"/>
  <c r="L139" i="32"/>
  <c r="P138" i="32"/>
  <c r="T138" i="32" s="1"/>
  <c r="L138" i="32"/>
  <c r="P137" i="32"/>
  <c r="T137" i="32" s="1"/>
  <c r="L137" i="32"/>
  <c r="P136" i="32"/>
  <c r="R136" i="32" s="1"/>
  <c r="L136" i="32"/>
  <c r="P135" i="32"/>
  <c r="T135" i="32" s="1"/>
  <c r="L135" i="32"/>
  <c r="P134" i="32"/>
  <c r="T134" i="32" s="1"/>
  <c r="L134" i="32"/>
  <c r="P133" i="32"/>
  <c r="T133" i="32" s="1"/>
  <c r="L133" i="32"/>
  <c r="P132" i="32"/>
  <c r="R132" i="32" s="1"/>
  <c r="T132" i="32" s="1"/>
  <c r="L132" i="32"/>
  <c r="P131" i="32"/>
  <c r="T131" i="32" s="1"/>
  <c r="L131" i="32"/>
  <c r="P130" i="32"/>
  <c r="R130" i="32" s="1"/>
  <c r="T130" i="32" s="1"/>
  <c r="L130" i="32"/>
  <c r="P129" i="32"/>
  <c r="T129" i="32"/>
  <c r="L129" i="32"/>
  <c r="P128" i="32"/>
  <c r="T128" i="32" s="1"/>
  <c r="L128" i="32"/>
  <c r="P127" i="32"/>
  <c r="T127" i="32" s="1"/>
  <c r="L127" i="32"/>
  <c r="P126" i="32"/>
  <c r="T126" i="32" s="1"/>
  <c r="L126" i="32"/>
  <c r="P125" i="32"/>
  <c r="T125" i="32" s="1"/>
  <c r="L125" i="32"/>
  <c r="P124" i="32"/>
  <c r="T124" i="32" s="1"/>
  <c r="L124" i="32"/>
  <c r="P123" i="32"/>
  <c r="T123" i="32" s="1"/>
  <c r="L123" i="32"/>
  <c r="P122" i="32"/>
  <c r="T122" i="32" s="1"/>
  <c r="L122" i="32"/>
  <c r="P121" i="32"/>
  <c r="T121" i="32" s="1"/>
  <c r="L121" i="32"/>
  <c r="P120" i="32"/>
  <c r="R120" i="32" s="1"/>
  <c r="L120" i="32"/>
  <c r="P119" i="32"/>
  <c r="L119" i="32"/>
  <c r="P118" i="32"/>
  <c r="T118" i="32" s="1"/>
  <c r="L118" i="32"/>
  <c r="P117" i="32"/>
  <c r="T117" i="32" s="1"/>
  <c r="L117" i="32"/>
  <c r="P116" i="32"/>
  <c r="T116" i="32" s="1"/>
  <c r="L116" i="32"/>
  <c r="P115" i="32"/>
  <c r="T115" i="32" s="1"/>
  <c r="L115" i="32"/>
  <c r="P114" i="32"/>
  <c r="T114" i="32" s="1"/>
  <c r="L114" i="32"/>
  <c r="P113" i="32"/>
  <c r="T113" i="32" s="1"/>
  <c r="L113" i="32"/>
  <c r="O112" i="32"/>
  <c r="P112" i="32" s="1"/>
  <c r="P111" i="32"/>
  <c r="T111" i="32"/>
  <c r="L111" i="32"/>
  <c r="P110" i="32"/>
  <c r="T110" i="32" s="1"/>
  <c r="L110" i="32"/>
  <c r="O109" i="32"/>
  <c r="P109" i="32" s="1"/>
  <c r="P108" i="32"/>
  <c r="T108" i="32" s="1"/>
  <c r="L108" i="32"/>
  <c r="P107" i="32"/>
  <c r="T107" i="32" s="1"/>
  <c r="L107" i="32"/>
  <c r="P106" i="32"/>
  <c r="T106" i="32" s="1"/>
  <c r="L106" i="32"/>
  <c r="P105" i="32"/>
  <c r="R105" i="32" s="1"/>
  <c r="L105" i="32"/>
  <c r="P104" i="32"/>
  <c r="R104" i="32" s="1"/>
  <c r="T104" i="32" s="1"/>
  <c r="L104" i="32"/>
  <c r="P103" i="32"/>
  <c r="T103" i="32" s="1"/>
  <c r="L103" i="32"/>
  <c r="P102" i="32"/>
  <c r="T102" i="32" s="1"/>
  <c r="L102" i="32"/>
  <c r="P101" i="32"/>
  <c r="L101" i="32"/>
  <c r="P100" i="32"/>
  <c r="T100" i="32" s="1"/>
  <c r="L100" i="32"/>
  <c r="P99" i="32"/>
  <c r="T99" i="32" s="1"/>
  <c r="L99" i="32"/>
  <c r="P98" i="32"/>
  <c r="R98" i="32" s="1"/>
  <c r="T98" i="32" s="1"/>
  <c r="L98" i="32"/>
  <c r="P97" i="32"/>
  <c r="T97" i="32" s="1"/>
  <c r="L97" i="32"/>
  <c r="P96" i="32"/>
  <c r="T96" i="32" s="1"/>
  <c r="L96" i="32"/>
  <c r="P95" i="32"/>
  <c r="T95" i="32" s="1"/>
  <c r="L95" i="32"/>
  <c r="P94" i="32"/>
  <c r="T94" i="32" s="1"/>
  <c r="L94" i="32"/>
  <c r="P93" i="32"/>
  <c r="T93" i="32"/>
  <c r="L93" i="32"/>
  <c r="P92" i="32"/>
  <c r="T92" i="32" s="1"/>
  <c r="L92" i="32"/>
  <c r="P91" i="32"/>
  <c r="T91" i="32" s="1"/>
  <c r="L91" i="32"/>
  <c r="P90" i="32"/>
  <c r="T90" i="32" s="1"/>
  <c r="L90" i="32"/>
  <c r="P89" i="32"/>
  <c r="T89" i="32" s="1"/>
  <c r="L89" i="32"/>
  <c r="P88" i="32"/>
  <c r="T88" i="32"/>
  <c r="L88" i="32"/>
  <c r="P87" i="32"/>
  <c r="R87" i="32" s="1"/>
  <c r="L87" i="32"/>
  <c r="P86" i="32"/>
  <c r="R86" i="32" s="1"/>
  <c r="L86" i="32"/>
  <c r="P85" i="32"/>
  <c r="T85" i="32" s="1"/>
  <c r="L85" i="32"/>
  <c r="P84" i="32"/>
  <c r="T84" i="32" s="1"/>
  <c r="L84" i="32"/>
  <c r="O83" i="32"/>
  <c r="P83" i="32" s="1"/>
  <c r="T83" i="32" s="1"/>
  <c r="O82" i="32"/>
  <c r="P82" i="32"/>
  <c r="R82" i="32" s="1"/>
  <c r="O81" i="32"/>
  <c r="P81" i="32" s="1"/>
  <c r="R81" i="32" s="1"/>
  <c r="P80" i="32"/>
  <c r="T80" i="32" s="1"/>
  <c r="L80" i="32"/>
  <c r="P79" i="32"/>
  <c r="T79" i="32" s="1"/>
  <c r="L79" i="32"/>
  <c r="P78" i="32"/>
  <c r="R78" i="32" s="1"/>
  <c r="T78" i="32" s="1"/>
  <c r="L78" i="32"/>
  <c r="P77" i="32"/>
  <c r="T77" i="32" s="1"/>
  <c r="L77" i="32"/>
  <c r="P76" i="32"/>
  <c r="T76" i="32" s="1"/>
  <c r="L76" i="32"/>
  <c r="P75" i="32"/>
  <c r="R75" i="32" s="1"/>
  <c r="T75" i="32" s="1"/>
  <c r="L75" i="32"/>
  <c r="P74" i="32"/>
  <c r="T74" i="32" s="1"/>
  <c r="L74" i="32"/>
  <c r="P73" i="32"/>
  <c r="T73" i="32" s="1"/>
  <c r="L73" i="32"/>
  <c r="P72" i="32"/>
  <c r="T72" i="32" s="1"/>
  <c r="L72" i="32"/>
  <c r="P71" i="32"/>
  <c r="T71" i="32" s="1"/>
  <c r="L71" i="32"/>
  <c r="P70" i="32"/>
  <c r="T70" i="32" s="1"/>
  <c r="L70" i="32"/>
  <c r="P69" i="32"/>
  <c r="T69" i="32" s="1"/>
  <c r="L69" i="32"/>
  <c r="P68" i="32"/>
  <c r="T68" i="32" s="1"/>
  <c r="L68" i="32"/>
  <c r="P67" i="32"/>
  <c r="T67" i="32" s="1"/>
  <c r="L67" i="32"/>
  <c r="P66" i="32"/>
  <c r="T66" i="32"/>
  <c r="L66" i="32"/>
  <c r="P65" i="32"/>
  <c r="T65" i="32" s="1"/>
  <c r="L65" i="32"/>
  <c r="P64" i="32"/>
  <c r="T64" i="32" s="1"/>
  <c r="L64" i="32"/>
  <c r="P63" i="32"/>
  <c r="T63" i="32" s="1"/>
  <c r="L63" i="32"/>
  <c r="P62" i="32"/>
  <c r="T62" i="32" s="1"/>
  <c r="L62" i="32"/>
  <c r="P61" i="32"/>
  <c r="T61" i="32" s="1"/>
  <c r="L61" i="32"/>
  <c r="P60" i="32"/>
  <c r="T60" i="32" s="1"/>
  <c r="L60" i="32"/>
  <c r="P59" i="32"/>
  <c r="T59" i="32" s="1"/>
  <c r="L59" i="32"/>
  <c r="P58" i="32"/>
  <c r="T58" i="32" s="1"/>
  <c r="L58" i="32"/>
  <c r="P57" i="32"/>
  <c r="R57" i="32" s="1"/>
  <c r="T57" i="32" s="1"/>
  <c r="L57" i="32"/>
  <c r="P56" i="32"/>
  <c r="L56" i="32"/>
  <c r="P55" i="32"/>
  <c r="T55" i="32" s="1"/>
  <c r="L55" i="32"/>
  <c r="P54" i="32"/>
  <c r="T54" i="32" s="1"/>
  <c r="L54" i="32"/>
  <c r="P53" i="32"/>
  <c r="T53" i="32"/>
  <c r="L53" i="32"/>
  <c r="P52" i="32"/>
  <c r="T52" i="32"/>
  <c r="L52" i="32"/>
  <c r="P51" i="32"/>
  <c r="T51" i="32" s="1"/>
  <c r="L51" i="32"/>
  <c r="P50" i="32"/>
  <c r="T50" i="32" s="1"/>
  <c r="L50" i="32"/>
  <c r="T178" i="31"/>
  <c r="U178" i="31"/>
  <c r="Q177" i="31"/>
  <c r="P49" i="32"/>
  <c r="T49" i="32" s="1"/>
  <c r="L49" i="32"/>
  <c r="P48" i="32"/>
  <c r="T48" i="32" s="1"/>
  <c r="L48" i="32"/>
  <c r="P47" i="32"/>
  <c r="T47" i="32" s="1"/>
  <c r="L47" i="32"/>
  <c r="P46" i="32"/>
  <c r="R46" i="32" s="1"/>
  <c r="T46" i="32" s="1"/>
  <c r="L46" i="32"/>
  <c r="P45" i="32"/>
  <c r="T45" i="32"/>
  <c r="L45" i="32"/>
  <c r="P44" i="32"/>
  <c r="R44" i="32" s="1"/>
  <c r="L44" i="32"/>
  <c r="P43" i="32"/>
  <c r="T43" i="32" s="1"/>
  <c r="L43" i="32"/>
  <c r="P42" i="32"/>
  <c r="L42" i="32"/>
  <c r="P41" i="32"/>
  <c r="R41" i="32" s="1"/>
  <c r="L41" i="32"/>
  <c r="P40" i="32"/>
  <c r="T40" i="32" s="1"/>
  <c r="L40" i="32"/>
  <c r="P39" i="32"/>
  <c r="T39" i="32" s="1"/>
  <c r="L39" i="32"/>
  <c r="P38" i="32"/>
  <c r="T38" i="32"/>
  <c r="L38" i="32"/>
  <c r="P37" i="32"/>
  <c r="T37" i="32" s="1"/>
  <c r="L37" i="32"/>
  <c r="P36" i="32"/>
  <c r="T36" i="32"/>
  <c r="L36" i="32"/>
  <c r="P35" i="32"/>
  <c r="T35" i="32"/>
  <c r="L35" i="32"/>
  <c r="O34" i="32"/>
  <c r="P34" i="32" s="1"/>
  <c r="T34" i="32" s="1"/>
  <c r="P33" i="32"/>
  <c r="T33" i="32" s="1"/>
  <c r="L33" i="32"/>
  <c r="P32" i="32"/>
  <c r="T32" i="32" s="1"/>
  <c r="L32" i="32"/>
  <c r="P31" i="32"/>
  <c r="T31" i="32" s="1"/>
  <c r="L31" i="32"/>
  <c r="P30" i="32"/>
  <c r="T30" i="32" s="1"/>
  <c r="L30" i="32"/>
  <c r="P29" i="32"/>
  <c r="T29" i="32" s="1"/>
  <c r="L29" i="32"/>
  <c r="P28" i="32"/>
  <c r="T28" i="32" s="1"/>
  <c r="L28" i="32"/>
  <c r="P27" i="32"/>
  <c r="T27" i="32" s="1"/>
  <c r="L27" i="32"/>
  <c r="P26" i="32"/>
  <c r="T26" i="32" s="1"/>
  <c r="L26" i="32"/>
  <c r="P25" i="32"/>
  <c r="T25" i="32" s="1"/>
  <c r="L25" i="32"/>
  <c r="P24" i="32"/>
  <c r="T24" i="32" s="1"/>
  <c r="L24" i="32"/>
  <c r="P23" i="32"/>
  <c r="T23" i="32" s="1"/>
  <c r="L23" i="32"/>
  <c r="P22" i="32"/>
  <c r="T22" i="32" s="1"/>
  <c r="L22" i="32"/>
  <c r="P21" i="32"/>
  <c r="T21" i="32" s="1"/>
  <c r="L21" i="32"/>
  <c r="P20" i="32"/>
  <c r="T20" i="32" s="1"/>
  <c r="L20" i="32"/>
  <c r="P19" i="32"/>
  <c r="T19" i="32" s="1"/>
  <c r="L19" i="32"/>
  <c r="P18" i="32"/>
  <c r="T18" i="32" s="1"/>
  <c r="L18" i="32"/>
  <c r="P17" i="32"/>
  <c r="T17" i="32" s="1"/>
  <c r="L17" i="32"/>
  <c r="P16" i="32"/>
  <c r="T16" i="32" s="1"/>
  <c r="L16" i="32"/>
  <c r="P15" i="32"/>
  <c r="T15" i="32" s="1"/>
  <c r="L15" i="32"/>
  <c r="P14" i="32"/>
  <c r="T14" i="32" s="1"/>
  <c r="L14" i="32"/>
  <c r="P13" i="32"/>
  <c r="T13" i="32" s="1"/>
  <c r="L13" i="32"/>
  <c r="P12" i="32"/>
  <c r="T12" i="32" s="1"/>
  <c r="L12" i="32"/>
  <c r="P11" i="32"/>
  <c r="R11" i="32" s="1"/>
  <c r="T11" i="32" s="1"/>
  <c r="L11" i="32"/>
  <c r="P10" i="32"/>
  <c r="R10" i="32"/>
  <c r="T10" i="32" s="1"/>
  <c r="L10" i="32"/>
  <c r="P9" i="32"/>
  <c r="T9" i="32" s="1"/>
  <c r="L9" i="32"/>
  <c r="P8" i="32"/>
  <c r="T8" i="32" s="1"/>
  <c r="L8" i="32"/>
  <c r="Q180" i="29"/>
  <c r="O12" i="31"/>
  <c r="P12" i="31"/>
  <c r="T12" i="31" s="1"/>
  <c r="O172" i="31"/>
  <c r="P172" i="31" s="1"/>
  <c r="S6" i="31"/>
  <c r="O30" i="31"/>
  <c r="P30" i="31" s="1"/>
  <c r="O29" i="31"/>
  <c r="P29" i="31" s="1"/>
  <c r="Q29" i="31" s="1"/>
  <c r="O27" i="31"/>
  <c r="P27" i="31" s="1"/>
  <c r="R27" i="31" s="1"/>
  <c r="O28" i="31"/>
  <c r="P28" i="31" s="1"/>
  <c r="R28" i="31" s="1"/>
  <c r="O26" i="31"/>
  <c r="P26" i="31" s="1"/>
  <c r="O25" i="31"/>
  <c r="P25" i="31" s="1"/>
  <c r="O24" i="31"/>
  <c r="P24" i="31" s="1"/>
  <c r="Q24" i="31" s="1"/>
  <c r="O23" i="31"/>
  <c r="P23" i="31" s="1"/>
  <c r="O22" i="31"/>
  <c r="P22" i="31" s="1"/>
  <c r="O20" i="31"/>
  <c r="P20" i="31" s="1"/>
  <c r="O21" i="31"/>
  <c r="P21" i="31" s="1"/>
  <c r="O19" i="31"/>
  <c r="P19" i="31" s="1"/>
  <c r="R19" i="31" s="1"/>
  <c r="O18" i="31"/>
  <c r="P18" i="31" s="1"/>
  <c r="R18" i="31" s="1"/>
  <c r="O17" i="31"/>
  <c r="P17" i="31" s="1"/>
  <c r="O16" i="31"/>
  <c r="P16" i="31" s="1"/>
  <c r="R16" i="31" s="1"/>
  <c r="O15" i="31"/>
  <c r="P15" i="31"/>
  <c r="Q15" i="31" s="1"/>
  <c r="O14" i="31"/>
  <c r="P14" i="31" s="1"/>
  <c r="O13" i="31"/>
  <c r="P13" i="31" s="1"/>
  <c r="Q13" i="31" s="1"/>
  <c r="O171" i="31"/>
  <c r="P171" i="31" s="1"/>
  <c r="Q171" i="31" s="1"/>
  <c r="P169" i="31"/>
  <c r="T169" i="31" s="1"/>
  <c r="L169" i="31"/>
  <c r="P168" i="31"/>
  <c r="T168" i="31" s="1"/>
  <c r="L168" i="31"/>
  <c r="P167" i="31"/>
  <c r="T167" i="31" s="1"/>
  <c r="L167" i="31"/>
  <c r="P166" i="31"/>
  <c r="R166" i="31" s="1"/>
  <c r="L166" i="31"/>
  <c r="P165" i="31"/>
  <c r="R165" i="31" s="1"/>
  <c r="T165" i="31" s="1"/>
  <c r="L165" i="31"/>
  <c r="L164" i="31"/>
  <c r="O164" i="31" s="1"/>
  <c r="P164" i="31" s="1"/>
  <c r="P163" i="31"/>
  <c r="T163" i="31" s="1"/>
  <c r="L163" i="31"/>
  <c r="P162" i="31"/>
  <c r="T162" i="31" s="1"/>
  <c r="L162" i="31"/>
  <c r="P161" i="31"/>
  <c r="T161" i="31" s="1"/>
  <c r="L161" i="31"/>
  <c r="P160" i="31"/>
  <c r="T160" i="31" s="1"/>
  <c r="L160" i="31"/>
  <c r="P159" i="31"/>
  <c r="T159" i="31" s="1"/>
  <c r="L159" i="31"/>
  <c r="P158" i="31"/>
  <c r="R158" i="31" s="1"/>
  <c r="L158" i="31"/>
  <c r="P157" i="31"/>
  <c r="R157" i="31" s="1"/>
  <c r="T157" i="31" s="1"/>
  <c r="L157" i="31"/>
  <c r="P156" i="31"/>
  <c r="T156" i="31" s="1"/>
  <c r="L156" i="31"/>
  <c r="P155" i="31"/>
  <c r="T155" i="31"/>
  <c r="L155" i="31"/>
  <c r="P154" i="31"/>
  <c r="T154" i="31" s="1"/>
  <c r="L154" i="31"/>
  <c r="P153" i="31"/>
  <c r="T153" i="31" s="1"/>
  <c r="L153" i="31"/>
  <c r="P152" i="31"/>
  <c r="T152" i="31" s="1"/>
  <c r="L152" i="31"/>
  <c r="P151" i="31"/>
  <c r="T151" i="31" s="1"/>
  <c r="L151" i="31"/>
  <c r="P150" i="31"/>
  <c r="T150" i="31" s="1"/>
  <c r="L150" i="31"/>
  <c r="P149" i="31"/>
  <c r="T149" i="31" s="1"/>
  <c r="L149" i="31"/>
  <c r="P148" i="31"/>
  <c r="T148" i="31" s="1"/>
  <c r="L148" i="31"/>
  <c r="P147" i="31"/>
  <c r="T147" i="31" s="1"/>
  <c r="L147" i="31"/>
  <c r="P146" i="31"/>
  <c r="T146" i="31" s="1"/>
  <c r="L146" i="31"/>
  <c r="P145" i="31"/>
  <c r="T145" i="31" s="1"/>
  <c r="L145" i="31"/>
  <c r="P144" i="31"/>
  <c r="T144" i="31" s="1"/>
  <c r="L144" i="31"/>
  <c r="P143" i="31"/>
  <c r="T143" i="31" s="1"/>
  <c r="L143" i="31"/>
  <c r="P142" i="31"/>
  <c r="T142" i="31" s="1"/>
  <c r="L142" i="31"/>
  <c r="O8" i="31"/>
  <c r="P8" i="31" s="1"/>
  <c r="O11" i="31"/>
  <c r="P11" i="31" s="1"/>
  <c r="Q11" i="31" s="1"/>
  <c r="O10" i="31"/>
  <c r="P10" i="31" s="1"/>
  <c r="O9" i="31"/>
  <c r="P9" i="31" s="1"/>
  <c r="P141" i="31"/>
  <c r="R141" i="31"/>
  <c r="T141" i="31" s="1"/>
  <c r="L141" i="31"/>
  <c r="P140" i="31"/>
  <c r="T140" i="31" s="1"/>
  <c r="L140" i="31"/>
  <c r="P138" i="31"/>
  <c r="T138" i="31" s="1"/>
  <c r="L138" i="31"/>
  <c r="P139" i="31"/>
  <c r="T139" i="31" s="1"/>
  <c r="L139" i="31"/>
  <c r="P137" i="31"/>
  <c r="R137" i="31" s="1"/>
  <c r="T137" i="31" s="1"/>
  <c r="L137" i="31"/>
  <c r="P136" i="31"/>
  <c r="R136" i="31" s="1"/>
  <c r="T136" i="31" s="1"/>
  <c r="L136" i="31"/>
  <c r="P135" i="31"/>
  <c r="T135" i="31" s="1"/>
  <c r="L135" i="31"/>
  <c r="P134" i="31"/>
  <c r="T134" i="31"/>
  <c r="L134" i="31"/>
  <c r="P133" i="31"/>
  <c r="T133" i="31" s="1"/>
  <c r="L133" i="31"/>
  <c r="P132" i="31"/>
  <c r="T132" i="31" s="1"/>
  <c r="L132" i="31"/>
  <c r="P131" i="31"/>
  <c r="T131" i="31" s="1"/>
  <c r="L131" i="31"/>
  <c r="P130" i="31"/>
  <c r="T130" i="31" s="1"/>
  <c r="L130" i="31"/>
  <c r="P129" i="31"/>
  <c r="T129" i="31" s="1"/>
  <c r="L129" i="31"/>
  <c r="P128" i="31"/>
  <c r="T128" i="31" s="1"/>
  <c r="L128" i="31"/>
  <c r="P127" i="31"/>
  <c r="T127" i="31" s="1"/>
  <c r="L127" i="31"/>
  <c r="P126" i="31"/>
  <c r="R126" i="31" s="1"/>
  <c r="L126" i="31"/>
  <c r="P125" i="31"/>
  <c r="T125" i="31" s="1"/>
  <c r="L125" i="31"/>
  <c r="P124" i="31"/>
  <c r="T124" i="31" s="1"/>
  <c r="L124" i="31"/>
  <c r="P123" i="31"/>
  <c r="T123" i="31" s="1"/>
  <c r="L123" i="31"/>
  <c r="P122" i="31"/>
  <c r="T122" i="31"/>
  <c r="L122" i="31"/>
  <c r="P121" i="31"/>
  <c r="T121" i="31" s="1"/>
  <c r="L121" i="31"/>
  <c r="P120" i="31"/>
  <c r="T120" i="31" s="1"/>
  <c r="L120" i="31"/>
  <c r="P119" i="31"/>
  <c r="T119" i="31" s="1"/>
  <c r="L119" i="31"/>
  <c r="P118" i="31"/>
  <c r="T118" i="31" s="1"/>
  <c r="L118" i="31"/>
  <c r="P117" i="31"/>
  <c r="T117" i="31" s="1"/>
  <c r="L117" i="31"/>
  <c r="P116" i="31"/>
  <c r="T116" i="31" s="1"/>
  <c r="L116" i="31"/>
  <c r="P115" i="31"/>
  <c r="T115" i="31" s="1"/>
  <c r="L115" i="31"/>
  <c r="P114" i="31"/>
  <c r="T114" i="31" s="1"/>
  <c r="L114" i="31"/>
  <c r="P113" i="31"/>
  <c r="T113" i="31" s="1"/>
  <c r="L113" i="31"/>
  <c r="P112" i="31"/>
  <c r="T112" i="31" s="1"/>
  <c r="L112" i="31"/>
  <c r="P111" i="31"/>
  <c r="T111" i="31" s="1"/>
  <c r="L111" i="31"/>
  <c r="P110" i="31"/>
  <c r="T110" i="31" s="1"/>
  <c r="P109" i="31"/>
  <c r="R109" i="31" s="1"/>
  <c r="P108" i="31"/>
  <c r="R108" i="31" s="1"/>
  <c r="P107" i="31"/>
  <c r="R107" i="31" s="1"/>
  <c r="T107" i="31" s="1"/>
  <c r="P106" i="31"/>
  <c r="T106" i="31" s="1"/>
  <c r="P105" i="31"/>
  <c r="T105" i="31" s="1"/>
  <c r="P104" i="31"/>
  <c r="T104" i="31" s="1"/>
  <c r="P103" i="31"/>
  <c r="T103" i="31" s="1"/>
  <c r="P102" i="31"/>
  <c r="T102" i="31" s="1"/>
  <c r="P101" i="31"/>
  <c r="T101" i="31" s="1"/>
  <c r="P100" i="31"/>
  <c r="T100" i="31" s="1"/>
  <c r="P99" i="31"/>
  <c r="T99" i="31" s="1"/>
  <c r="P98" i="31"/>
  <c r="T98" i="31" s="1"/>
  <c r="P97" i="31"/>
  <c r="T97" i="31" s="1"/>
  <c r="P96" i="31"/>
  <c r="Q183" i="29"/>
  <c r="Q184" i="29"/>
  <c r="P95" i="31"/>
  <c r="T95" i="31"/>
  <c r="P94" i="31"/>
  <c r="T94" i="31" s="1"/>
  <c r="P93" i="31"/>
  <c r="T93" i="31" s="1"/>
  <c r="P92" i="31"/>
  <c r="T92" i="31" s="1"/>
  <c r="P91" i="31"/>
  <c r="T91" i="31" s="1"/>
  <c r="P90" i="31"/>
  <c r="T90" i="31" s="1"/>
  <c r="P89" i="31"/>
  <c r="T89" i="31"/>
  <c r="P88" i="31"/>
  <c r="T88" i="31" s="1"/>
  <c r="P87" i="31"/>
  <c r="T87" i="31"/>
  <c r="P86" i="31"/>
  <c r="T86" i="31" s="1"/>
  <c r="P85" i="31"/>
  <c r="T85" i="31" s="1"/>
  <c r="P84" i="31"/>
  <c r="T84" i="31" s="1"/>
  <c r="P83" i="31"/>
  <c r="T83" i="31" s="1"/>
  <c r="P82" i="31"/>
  <c r="T82" i="31" s="1"/>
  <c r="P81" i="31"/>
  <c r="T81" i="31" s="1"/>
  <c r="P80" i="31"/>
  <c r="T80" i="31" s="1"/>
  <c r="P79" i="31"/>
  <c r="T79" i="31" s="1"/>
  <c r="P78" i="31"/>
  <c r="T78" i="31" s="1"/>
  <c r="P77" i="31"/>
  <c r="R77" i="31" s="1"/>
  <c r="T77" i="31" s="1"/>
  <c r="P76" i="31"/>
  <c r="P75" i="31"/>
  <c r="T75" i="31" s="1"/>
  <c r="P74" i="31"/>
  <c r="T74" i="31" s="1"/>
  <c r="O170" i="31"/>
  <c r="P170" i="31" s="1"/>
  <c r="T170" i="31" s="1"/>
  <c r="P73" i="31"/>
  <c r="T73" i="31" s="1"/>
  <c r="P72" i="31"/>
  <c r="R72" i="31" s="1"/>
  <c r="P71" i="31"/>
  <c r="R71" i="31" s="1"/>
  <c r="P68" i="31"/>
  <c r="T68" i="31" s="1"/>
  <c r="P67" i="31"/>
  <c r="T67" i="31" s="1"/>
  <c r="P66" i="31"/>
  <c r="T66" i="31" s="1"/>
  <c r="P65" i="31"/>
  <c r="T65" i="31" s="1"/>
  <c r="P64" i="31"/>
  <c r="T64" i="31" s="1"/>
  <c r="P63" i="31"/>
  <c r="T63" i="31" s="1"/>
  <c r="P62" i="31"/>
  <c r="T62" i="31" s="1"/>
  <c r="P61" i="31"/>
  <c r="T61" i="31" s="1"/>
  <c r="P60" i="31"/>
  <c r="T60" i="31" s="1"/>
  <c r="P59" i="31"/>
  <c r="T59" i="31" s="1"/>
  <c r="P58" i="31"/>
  <c r="T58" i="31" s="1"/>
  <c r="P70" i="31"/>
  <c r="T70" i="31" s="1"/>
  <c r="P69" i="31"/>
  <c r="T69" i="31" s="1"/>
  <c r="P57" i="31"/>
  <c r="T57" i="31" s="1"/>
  <c r="P56" i="31"/>
  <c r="T56" i="31" s="1"/>
  <c r="P55" i="31"/>
  <c r="T55" i="31"/>
  <c r="P54" i="31"/>
  <c r="T54" i="31" s="1"/>
  <c r="P53" i="31"/>
  <c r="T53" i="31" s="1"/>
  <c r="P52" i="31"/>
  <c r="T52" i="31" s="1"/>
  <c r="P51" i="31"/>
  <c r="T51" i="31" s="1"/>
  <c r="P50" i="31"/>
  <c r="T50" i="31" s="1"/>
  <c r="P49" i="31"/>
  <c r="T49" i="31" s="1"/>
  <c r="P48" i="31"/>
  <c r="T48" i="31" s="1"/>
  <c r="P47" i="31"/>
  <c r="T47" i="31"/>
  <c r="P46" i="31"/>
  <c r="T46" i="31" s="1"/>
  <c r="P45" i="31"/>
  <c r="T45" i="31" s="1"/>
  <c r="P44" i="31"/>
  <c r="T44" i="31" s="1"/>
  <c r="P43" i="31"/>
  <c r="T43" i="31" s="1"/>
  <c r="P42" i="31"/>
  <c r="T42" i="31" s="1"/>
  <c r="P41" i="31"/>
  <c r="T41" i="31" s="1"/>
  <c r="P40" i="31"/>
  <c r="T40" i="31" s="1"/>
  <c r="P39" i="31"/>
  <c r="T39" i="31" s="1"/>
  <c r="P38" i="31"/>
  <c r="P37" i="31"/>
  <c r="P36" i="31"/>
  <c r="T36" i="31" s="1"/>
  <c r="P35" i="31"/>
  <c r="T35" i="31" s="1"/>
  <c r="P34" i="31"/>
  <c r="T34" i="31" s="1"/>
  <c r="P33" i="31"/>
  <c r="T33" i="31" s="1"/>
  <c r="P32" i="31"/>
  <c r="T32" i="31" s="1"/>
  <c r="P31" i="31"/>
  <c r="T31" i="31" s="1"/>
  <c r="O174" i="29"/>
  <c r="P174" i="29" s="1"/>
  <c r="T174" i="29" s="1"/>
  <c r="O173" i="29"/>
  <c r="P173" i="29" s="1"/>
  <c r="R173" i="29" s="1"/>
  <c r="O172" i="29"/>
  <c r="P172" i="29" s="1"/>
  <c r="O171" i="29"/>
  <c r="P171" i="29" s="1"/>
  <c r="L8" i="29"/>
  <c r="P8" i="29"/>
  <c r="L9" i="29"/>
  <c r="P9" i="29"/>
  <c r="T9" i="29" s="1"/>
  <c r="L32" i="29"/>
  <c r="P32" i="29"/>
  <c r="L11" i="29"/>
  <c r="P11" i="29"/>
  <c r="T11" i="29" s="1"/>
  <c r="L12" i="29"/>
  <c r="P12" i="29"/>
  <c r="R12" i="29" s="1"/>
  <c r="L13" i="29"/>
  <c r="P13" i="29"/>
  <c r="R13" i="29" s="1"/>
  <c r="L14" i="29"/>
  <c r="P14" i="29"/>
  <c r="T14" i="29" s="1"/>
  <c r="L15" i="29"/>
  <c r="P15" i="29"/>
  <c r="T15" i="29" s="1"/>
  <c r="L16" i="29"/>
  <c r="P16" i="29"/>
  <c r="T16" i="29" s="1"/>
  <c r="L17" i="29"/>
  <c r="P17" i="29"/>
  <c r="T17" i="29" s="1"/>
  <c r="L147" i="29"/>
  <c r="P147" i="29"/>
  <c r="T147" i="29" s="1"/>
  <c r="L125" i="29"/>
  <c r="P125" i="29"/>
  <c r="L126" i="29"/>
  <c r="P126" i="29"/>
  <c r="T126" i="29"/>
  <c r="L45" i="29"/>
  <c r="P45" i="29"/>
  <c r="L22" i="29"/>
  <c r="P22" i="29"/>
  <c r="L23" i="29"/>
  <c r="P23" i="29"/>
  <c r="T23" i="29" s="1"/>
  <c r="L24" i="29"/>
  <c r="P24" i="29"/>
  <c r="T24" i="29" s="1"/>
  <c r="L25" i="29"/>
  <c r="P25" i="29"/>
  <c r="T25" i="29" s="1"/>
  <c r="L26" i="29"/>
  <c r="P26" i="29"/>
  <c r="L121" i="29"/>
  <c r="P121" i="29"/>
  <c r="T121" i="29" s="1"/>
  <c r="L35" i="29"/>
  <c r="P35" i="29"/>
  <c r="T35" i="29" s="1"/>
  <c r="L29" i="29"/>
  <c r="P29" i="29"/>
  <c r="T29" i="29" s="1"/>
  <c r="L30" i="29"/>
  <c r="P30" i="29"/>
  <c r="T30" i="29" s="1"/>
  <c r="L131" i="29"/>
  <c r="P131" i="29"/>
  <c r="T131" i="29"/>
  <c r="L111" i="29"/>
  <c r="P111" i="29"/>
  <c r="T111" i="29"/>
  <c r="L33" i="29"/>
  <c r="P33" i="29"/>
  <c r="R33" i="29" s="1"/>
  <c r="L34" i="29"/>
  <c r="P34" i="29"/>
  <c r="L27" i="29"/>
  <c r="P27" i="29"/>
  <c r="T27" i="29" s="1"/>
  <c r="L86" i="29"/>
  <c r="P86" i="29"/>
  <c r="T86" i="29" s="1"/>
  <c r="L142" i="29"/>
  <c r="P142" i="29"/>
  <c r="T142" i="29" s="1"/>
  <c r="L38" i="29"/>
  <c r="P38" i="29"/>
  <c r="R38" i="29" s="1"/>
  <c r="L143" i="29"/>
  <c r="P143" i="29"/>
  <c r="T143" i="29" s="1"/>
  <c r="L39" i="29"/>
  <c r="P39" i="29"/>
  <c r="T39" i="29" s="1"/>
  <c r="L41" i="29"/>
  <c r="P41" i="29"/>
  <c r="T41" i="29" s="1"/>
  <c r="L42" i="29"/>
  <c r="P42" i="29"/>
  <c r="T42" i="29" s="1"/>
  <c r="L10" i="29"/>
  <c r="P10" i="29"/>
  <c r="T10" i="29" s="1"/>
  <c r="L132" i="29"/>
  <c r="P132" i="29"/>
  <c r="T132" i="29" s="1"/>
  <c r="L46" i="29"/>
  <c r="P46" i="29"/>
  <c r="T46" i="29"/>
  <c r="L95" i="29"/>
  <c r="P95" i="29"/>
  <c r="T95" i="29" s="1"/>
  <c r="L47" i="29"/>
  <c r="P47" i="29"/>
  <c r="L48" i="29"/>
  <c r="P48" i="29"/>
  <c r="T48" i="29" s="1"/>
  <c r="L49" i="29"/>
  <c r="P49" i="29"/>
  <c r="T49" i="29"/>
  <c r="L50" i="29"/>
  <c r="P50" i="29"/>
  <c r="T50" i="29" s="1"/>
  <c r="L51" i="29"/>
  <c r="P51" i="29"/>
  <c r="T51" i="29" s="1"/>
  <c r="L52" i="29"/>
  <c r="P52" i="29"/>
  <c r="T52" i="29" s="1"/>
  <c r="L53" i="29"/>
  <c r="P53" i="29"/>
  <c r="T53" i="29" s="1"/>
  <c r="L54" i="29"/>
  <c r="P54" i="29"/>
  <c r="T54" i="29" s="1"/>
  <c r="L55" i="29"/>
  <c r="P55" i="29"/>
  <c r="T55" i="29" s="1"/>
  <c r="L56" i="29"/>
  <c r="P56" i="29"/>
  <c r="T56" i="29" s="1"/>
  <c r="L57" i="29"/>
  <c r="P57" i="29"/>
  <c r="T57" i="29" s="1"/>
  <c r="L58" i="29"/>
  <c r="P58" i="29"/>
  <c r="T58" i="29" s="1"/>
  <c r="L59" i="29"/>
  <c r="P59" i="29"/>
  <c r="T59" i="29" s="1"/>
  <c r="L60" i="29"/>
  <c r="P60" i="29"/>
  <c r="T60" i="29" s="1"/>
  <c r="L61" i="29"/>
  <c r="P61" i="29"/>
  <c r="T61" i="29" s="1"/>
  <c r="L62" i="29"/>
  <c r="P62" i="29"/>
  <c r="T62" i="29" s="1"/>
  <c r="L63" i="29"/>
  <c r="P63" i="29"/>
  <c r="T63" i="29" s="1"/>
  <c r="L64" i="29"/>
  <c r="P64" i="29"/>
  <c r="T64" i="29" s="1"/>
  <c r="L65" i="29"/>
  <c r="P65" i="29"/>
  <c r="T65" i="29" s="1"/>
  <c r="L66" i="29"/>
  <c r="P66" i="29"/>
  <c r="T66" i="29" s="1"/>
  <c r="L18" i="29"/>
  <c r="P18" i="29"/>
  <c r="T18" i="29" s="1"/>
  <c r="L68" i="29"/>
  <c r="P68" i="29"/>
  <c r="L69" i="29"/>
  <c r="P69" i="29"/>
  <c r="R69" i="29" s="1"/>
  <c r="L70" i="29"/>
  <c r="P70" i="29"/>
  <c r="T70" i="29" s="1"/>
  <c r="R70" i="29"/>
  <c r="L71" i="29"/>
  <c r="P71" i="29"/>
  <c r="T71" i="29" s="1"/>
  <c r="L72" i="29"/>
  <c r="P72" i="29"/>
  <c r="T72" i="29" s="1"/>
  <c r="L36" i="29"/>
  <c r="P36" i="29"/>
  <c r="T36" i="29" s="1"/>
  <c r="L43" i="29"/>
  <c r="P43" i="29"/>
  <c r="L87" i="29"/>
  <c r="P87" i="29"/>
  <c r="T87" i="29" s="1"/>
  <c r="L76" i="29"/>
  <c r="P76" i="29"/>
  <c r="T76" i="29"/>
  <c r="O77" i="29"/>
  <c r="P77" i="29" s="1"/>
  <c r="O78" i="29"/>
  <c r="P78" i="29" s="1"/>
  <c r="R78" i="29" s="1"/>
  <c r="L79" i="29"/>
  <c r="P79" i="29"/>
  <c r="T79" i="29" s="1"/>
  <c r="L40" i="29"/>
  <c r="P40" i="29"/>
  <c r="T40" i="29" s="1"/>
  <c r="L80" i="29"/>
  <c r="P80" i="29"/>
  <c r="T80" i="29" s="1"/>
  <c r="L94" i="29"/>
  <c r="P94" i="29"/>
  <c r="T94" i="29" s="1"/>
  <c r="L83" i="29"/>
  <c r="P83" i="29"/>
  <c r="R83" i="29" s="1"/>
  <c r="T83" i="29" s="1"/>
  <c r="L84" i="29"/>
  <c r="P84" i="29"/>
  <c r="T84" i="29" s="1"/>
  <c r="L85" i="29"/>
  <c r="P85" i="29"/>
  <c r="T85" i="29" s="1"/>
  <c r="L133" i="29"/>
  <c r="P133" i="29"/>
  <c r="T133" i="29" s="1"/>
  <c r="L44" i="29"/>
  <c r="P44" i="29"/>
  <c r="L88" i="29"/>
  <c r="P88" i="29"/>
  <c r="T88" i="29" s="1"/>
  <c r="L89" i="29"/>
  <c r="P89" i="29"/>
  <c r="T89" i="29" s="1"/>
  <c r="L90" i="29"/>
  <c r="P90" i="29"/>
  <c r="T90" i="29" s="1"/>
  <c r="L91" i="29"/>
  <c r="P91" i="29"/>
  <c r="T91" i="29" s="1"/>
  <c r="L92" i="29"/>
  <c r="P92" i="29"/>
  <c r="T92" i="29" s="1"/>
  <c r="L93" i="29"/>
  <c r="P93" i="29"/>
  <c r="T93" i="29" s="1"/>
  <c r="L146" i="29"/>
  <c r="P146" i="29"/>
  <c r="T146" i="29" s="1"/>
  <c r="L21" i="29"/>
  <c r="P21" i="29"/>
  <c r="T21" i="29" s="1"/>
  <c r="O96" i="29"/>
  <c r="P96" i="29" s="1"/>
  <c r="O97" i="29"/>
  <c r="P97" i="29" s="1"/>
  <c r="O98" i="29"/>
  <c r="P98" i="29" s="1"/>
  <c r="R98" i="29" s="1"/>
  <c r="O99" i="29"/>
  <c r="P99" i="29" s="1"/>
  <c r="O100" i="29"/>
  <c r="P100" i="29" s="1"/>
  <c r="O101" i="29"/>
  <c r="P101" i="29" s="1"/>
  <c r="O102" i="29"/>
  <c r="P102" i="29" s="1"/>
  <c r="O103" i="29"/>
  <c r="P103" i="29" s="1"/>
  <c r="Q103" i="29" s="1"/>
  <c r="O104" i="29"/>
  <c r="P104" i="29" s="1"/>
  <c r="O105" i="29"/>
  <c r="P105" i="29" s="1"/>
  <c r="O106" i="29"/>
  <c r="P106" i="29" s="1"/>
  <c r="O107" i="29"/>
  <c r="P107" i="29" s="1"/>
  <c r="R107" i="29" s="1"/>
  <c r="L108" i="29"/>
  <c r="P108" i="29"/>
  <c r="R108" i="29" s="1"/>
  <c r="T108" i="29" s="1"/>
  <c r="L109" i="29"/>
  <c r="P109" i="29"/>
  <c r="T109" i="29"/>
  <c r="L110" i="29"/>
  <c r="P110" i="29"/>
  <c r="T110" i="29" s="1"/>
  <c r="L28" i="29"/>
  <c r="P28" i="29"/>
  <c r="T28" i="29" s="1"/>
  <c r="L112" i="29"/>
  <c r="P112" i="29"/>
  <c r="T112" i="29"/>
  <c r="L113" i="29"/>
  <c r="P113" i="29"/>
  <c r="T113" i="29"/>
  <c r="L114" i="29"/>
  <c r="P114" i="29"/>
  <c r="T114" i="29" s="1"/>
  <c r="L115" i="29"/>
  <c r="P115" i="29"/>
  <c r="T115" i="29" s="1"/>
  <c r="L116" i="29"/>
  <c r="P116" i="29"/>
  <c r="T116" i="29" s="1"/>
  <c r="L117" i="29"/>
  <c r="P117" i="29"/>
  <c r="T117" i="29" s="1"/>
  <c r="L19" i="29"/>
  <c r="P19" i="29"/>
  <c r="L119" i="29"/>
  <c r="P119" i="29"/>
  <c r="T119" i="29" s="1"/>
  <c r="L120" i="29"/>
  <c r="P120" i="29"/>
  <c r="T120" i="29" s="1"/>
  <c r="L81" i="29"/>
  <c r="P81" i="29"/>
  <c r="T81" i="29" s="1"/>
  <c r="L122" i="29"/>
  <c r="P122" i="29"/>
  <c r="L123" i="29"/>
  <c r="P123" i="29"/>
  <c r="P6" i="29" s="1"/>
  <c r="L124" i="29"/>
  <c r="P124" i="29"/>
  <c r="T124" i="29" s="1"/>
  <c r="L20" i="29"/>
  <c r="P20" i="29"/>
  <c r="T20" i="29" s="1"/>
  <c r="L31" i="29"/>
  <c r="P31" i="29"/>
  <c r="L127" i="29"/>
  <c r="P127" i="29"/>
  <c r="T127" i="29" s="1"/>
  <c r="O128" i="29"/>
  <c r="P128" i="29" s="1"/>
  <c r="O129" i="29"/>
  <c r="P129" i="29" s="1"/>
  <c r="O130" i="29"/>
  <c r="P130" i="29"/>
  <c r="Q130" i="29" s="1"/>
  <c r="L67" i="29"/>
  <c r="P67" i="29"/>
  <c r="T67" i="29" s="1"/>
  <c r="L75" i="29"/>
  <c r="P75" i="29"/>
  <c r="T75" i="29" s="1"/>
  <c r="L82" i="29"/>
  <c r="P82" i="29"/>
  <c r="L134" i="29"/>
  <c r="P134" i="29"/>
  <c r="T134" i="29" s="1"/>
  <c r="L135" i="29"/>
  <c r="P135" i="29"/>
  <c r="T135" i="29" s="1"/>
  <c r="L136" i="29"/>
  <c r="P136" i="29"/>
  <c r="T136" i="29" s="1"/>
  <c r="L137" i="29"/>
  <c r="P137" i="29"/>
  <c r="T137" i="29" s="1"/>
  <c r="L138" i="29"/>
  <c r="P138" i="29"/>
  <c r="T138" i="29" s="1"/>
  <c r="L139" i="29"/>
  <c r="P139" i="29"/>
  <c r="T139" i="29" s="1"/>
  <c r="L140" i="29"/>
  <c r="P140" i="29"/>
  <c r="T140" i="29" s="1"/>
  <c r="L141" i="29"/>
  <c r="P141" i="29"/>
  <c r="L118" i="29"/>
  <c r="P118" i="29"/>
  <c r="T118" i="29" s="1"/>
  <c r="L162" i="29"/>
  <c r="P162" i="29"/>
  <c r="T162" i="29" s="1"/>
  <c r="L144" i="29"/>
  <c r="P144" i="29"/>
  <c r="R144" i="29" s="1"/>
  <c r="L145" i="29"/>
  <c r="P145" i="29"/>
  <c r="R145" i="29" s="1"/>
  <c r="T145" i="29" s="1"/>
  <c r="L37" i="29"/>
  <c r="P37" i="29"/>
  <c r="T37" i="29" s="1"/>
  <c r="L73" i="29"/>
  <c r="P73" i="29"/>
  <c r="T73" i="29"/>
  <c r="O148" i="29"/>
  <c r="P148" i="29" s="1"/>
  <c r="O149" i="29"/>
  <c r="P149" i="29" s="1"/>
  <c r="R149" i="29" s="1"/>
  <c r="O150" i="29"/>
  <c r="P150" i="29" s="1"/>
  <c r="Q150" i="29" s="1"/>
  <c r="O151" i="29"/>
  <c r="P151" i="29" s="1"/>
  <c r="Q151" i="29" s="1"/>
  <c r="L152" i="29"/>
  <c r="P152" i="29"/>
  <c r="T152" i="29" s="1"/>
  <c r="L153" i="29"/>
  <c r="P153" i="29"/>
  <c r="T153" i="29" s="1"/>
  <c r="L154" i="29"/>
  <c r="P154" i="29"/>
  <c r="T154" i="29" s="1"/>
  <c r="L155" i="29"/>
  <c r="P155" i="29"/>
  <c r="R155" i="29" s="1"/>
  <c r="T155" i="29" s="1"/>
  <c r="L156" i="29"/>
  <c r="P156" i="29"/>
  <c r="L157" i="29"/>
  <c r="P157" i="29"/>
  <c r="T157" i="29" s="1"/>
  <c r="L158" i="29"/>
  <c r="P158" i="29"/>
  <c r="T158" i="29" s="1"/>
  <c r="L159" i="29"/>
  <c r="P159" i="29"/>
  <c r="T159" i="29" s="1"/>
  <c r="L160" i="29"/>
  <c r="P160" i="29"/>
  <c r="T160" i="29" s="1"/>
  <c r="L161" i="29"/>
  <c r="P161" i="29"/>
  <c r="T161" i="29" s="1"/>
  <c r="L163" i="29"/>
  <c r="P163" i="29"/>
  <c r="T163" i="29" s="1"/>
  <c r="L74" i="29"/>
  <c r="P74" i="29"/>
  <c r="T74" i="29" s="1"/>
  <c r="L164" i="29"/>
  <c r="P164" i="29"/>
  <c r="T164" i="29" s="1"/>
  <c r="L165" i="29"/>
  <c r="P165" i="29"/>
  <c r="T165" i="29" s="1"/>
  <c r="O166" i="29"/>
  <c r="P166" i="29" s="1"/>
  <c r="O167" i="29"/>
  <c r="P167" i="29" s="1"/>
  <c r="Q167" i="29" s="1"/>
  <c r="O168" i="29"/>
  <c r="P168" i="29" s="1"/>
  <c r="O169" i="29"/>
  <c r="S169" i="29" s="1"/>
  <c r="O170" i="29"/>
  <c r="P170" i="29" s="1"/>
  <c r="O8" i="28"/>
  <c r="P8" i="28" s="1"/>
  <c r="R8" i="28" s="1"/>
  <c r="O9" i="28"/>
  <c r="P9" i="28" s="1"/>
  <c r="O10" i="28"/>
  <c r="O11" i="28"/>
  <c r="P11" i="28" s="1"/>
  <c r="O12" i="28"/>
  <c r="P12" i="28" s="1"/>
  <c r="O13" i="28"/>
  <c r="P13" i="28" s="1"/>
  <c r="O14" i="28"/>
  <c r="P14" i="28"/>
  <c r="Q14" i="28" s="1"/>
  <c r="O15" i="28"/>
  <c r="P15" i="28"/>
  <c r="Q15" i="28" s="1"/>
  <c r="O16" i="28"/>
  <c r="P16" i="28" s="1"/>
  <c r="O17" i="28"/>
  <c r="P17" i="28" s="1"/>
  <c r="O18" i="28"/>
  <c r="P18" i="28" s="1"/>
  <c r="O19" i="28"/>
  <c r="P19" i="28" s="1"/>
  <c r="O20" i="28"/>
  <c r="P20" i="28" s="1"/>
  <c r="O21" i="28"/>
  <c r="P21" i="28" s="1"/>
  <c r="R21" i="28" s="1"/>
  <c r="O22" i="28"/>
  <c r="P22" i="28" s="1"/>
  <c r="R22" i="28" s="1"/>
  <c r="O23" i="28"/>
  <c r="P23" i="28" s="1"/>
  <c r="R23" i="28" s="1"/>
  <c r="O24" i="28"/>
  <c r="P24" i="28" s="1"/>
  <c r="R24" i="28" s="1"/>
  <c r="P25" i="28"/>
  <c r="T25" i="28" s="1"/>
  <c r="P26" i="28"/>
  <c r="T26" i="28" s="1"/>
  <c r="P27" i="28"/>
  <c r="T27" i="28" s="1"/>
  <c r="P28" i="28"/>
  <c r="T28" i="28"/>
  <c r="P29" i="28"/>
  <c r="T29" i="28"/>
  <c r="P30" i="28"/>
  <c r="T30" i="28" s="1"/>
  <c r="W30" i="28"/>
  <c r="P31" i="28"/>
  <c r="T31" i="28" s="1"/>
  <c r="P32" i="28"/>
  <c r="T32" i="28" s="1"/>
  <c r="P33" i="28"/>
  <c r="T33" i="28"/>
  <c r="P34" i="28"/>
  <c r="T34" i="28" s="1"/>
  <c r="P35" i="28"/>
  <c r="T35" i="28" s="1"/>
  <c r="P36" i="28"/>
  <c r="T36" i="28" s="1"/>
  <c r="O37" i="28"/>
  <c r="P37" i="28"/>
  <c r="Q37" i="28" s="1"/>
  <c r="T37" i="28" s="1"/>
  <c r="P38" i="28"/>
  <c r="T38" i="28" s="1"/>
  <c r="P39" i="28"/>
  <c r="T39" i="28" s="1"/>
  <c r="P40" i="28"/>
  <c r="R40" i="28" s="1"/>
  <c r="P41" i="28"/>
  <c r="P42" i="28"/>
  <c r="T42" i="28" s="1"/>
  <c r="P43" i="28"/>
  <c r="T43" i="28" s="1"/>
  <c r="P44" i="28"/>
  <c r="P45" i="28"/>
  <c r="T45" i="28"/>
  <c r="P46" i="28"/>
  <c r="T46" i="28" s="1"/>
  <c r="P47" i="28"/>
  <c r="T47" i="28" s="1"/>
  <c r="P48" i="28"/>
  <c r="T48" i="28" s="1"/>
  <c r="P49" i="28"/>
  <c r="T49" i="28" s="1"/>
  <c r="P50" i="28"/>
  <c r="T50" i="28" s="1"/>
  <c r="P51" i="28"/>
  <c r="P52" i="28"/>
  <c r="P53" i="28"/>
  <c r="T53" i="28" s="1"/>
  <c r="P54" i="28"/>
  <c r="T54" i="28" s="1"/>
  <c r="P55" i="28"/>
  <c r="T55" i="28" s="1"/>
  <c r="P56" i="28"/>
  <c r="T56" i="28" s="1"/>
  <c r="P57" i="28"/>
  <c r="T57" i="28" s="1"/>
  <c r="P58" i="28"/>
  <c r="T58" i="28" s="1"/>
  <c r="P59" i="28"/>
  <c r="T59" i="28" s="1"/>
  <c r="P60" i="28"/>
  <c r="T60" i="28" s="1"/>
  <c r="P61" i="28"/>
  <c r="T61" i="28" s="1"/>
  <c r="P62" i="28"/>
  <c r="T62" i="28"/>
  <c r="P63" i="28"/>
  <c r="T63" i="28" s="1"/>
  <c r="P64" i="28"/>
  <c r="T64" i="28" s="1"/>
  <c r="P65" i="28"/>
  <c r="T65" i="28" s="1"/>
  <c r="P66" i="28"/>
  <c r="T66" i="28" s="1"/>
  <c r="P67" i="28"/>
  <c r="T67" i="28" s="1"/>
  <c r="P68" i="28"/>
  <c r="T68" i="28" s="1"/>
  <c r="P69" i="28"/>
  <c r="T69" i="28" s="1"/>
  <c r="P70" i="28"/>
  <c r="T70" i="28" s="1"/>
  <c r="P71" i="28"/>
  <c r="T71" i="28" s="1"/>
  <c r="P72" i="28"/>
  <c r="T72" i="28" s="1"/>
  <c r="P73" i="28"/>
  <c r="T73" i="28" s="1"/>
  <c r="P74" i="28"/>
  <c r="T74" i="28" s="1"/>
  <c r="P75" i="28"/>
  <c r="T75" i="28" s="1"/>
  <c r="P76" i="28"/>
  <c r="T76" i="28" s="1"/>
  <c r="P77" i="28"/>
  <c r="T77" i="28" s="1"/>
  <c r="P78" i="28"/>
  <c r="T78" i="28" s="1"/>
  <c r="P79" i="28"/>
  <c r="T79" i="28" s="1"/>
  <c r="P80" i="28"/>
  <c r="T80" i="28" s="1"/>
  <c r="P81" i="28"/>
  <c r="R81" i="28" s="1"/>
  <c r="P82" i="28"/>
  <c r="P83" i="28"/>
  <c r="R83" i="28" s="1"/>
  <c r="T83" i="28" s="1"/>
  <c r="L84" i="28"/>
  <c r="P84" i="28"/>
  <c r="T84" i="28" s="1"/>
  <c r="L85" i="28"/>
  <c r="P85" i="28"/>
  <c r="T85" i="28" s="1"/>
  <c r="L86" i="28"/>
  <c r="P86" i="28"/>
  <c r="L87" i="28"/>
  <c r="P87" i="28"/>
  <c r="T87" i="28" s="1"/>
  <c r="L88" i="28"/>
  <c r="P88" i="28"/>
  <c r="T88" i="28" s="1"/>
  <c r="L89" i="28"/>
  <c r="P89" i="28"/>
  <c r="T89" i="28" s="1"/>
  <c r="L90" i="28"/>
  <c r="P90" i="28"/>
  <c r="T90" i="28" s="1"/>
  <c r="L91" i="28"/>
  <c r="P91" i="28"/>
  <c r="T91" i="28"/>
  <c r="L92" i="28"/>
  <c r="P92" i="28"/>
  <c r="T92" i="28"/>
  <c r="L93" i="28"/>
  <c r="P93" i="28"/>
  <c r="T93" i="28" s="1"/>
  <c r="L94" i="28"/>
  <c r="P94" i="28"/>
  <c r="T94" i="28"/>
  <c r="L95" i="28"/>
  <c r="P95" i="28"/>
  <c r="T95" i="28" s="1"/>
  <c r="L96" i="28"/>
  <c r="P96" i="28"/>
  <c r="R96" i="28" s="1"/>
  <c r="L97" i="28"/>
  <c r="P97" i="28"/>
  <c r="T97" i="28" s="1"/>
  <c r="L98" i="28"/>
  <c r="P98" i="28"/>
  <c r="T98" i="28" s="1"/>
  <c r="L99" i="28"/>
  <c r="P99" i="28"/>
  <c r="T99" i="28" s="1"/>
  <c r="L100" i="28"/>
  <c r="P100" i="28"/>
  <c r="T100" i="28" s="1"/>
  <c r="L101" i="28"/>
  <c r="P101" i="28"/>
  <c r="R101" i="28" s="1"/>
  <c r="L102" i="28"/>
  <c r="P102" i="28"/>
  <c r="T102" i="28" s="1"/>
  <c r="L103" i="28"/>
  <c r="P103" i="28"/>
  <c r="T103" i="28" s="1"/>
  <c r="L104" i="28"/>
  <c r="P104" i="28"/>
  <c r="T104" i="28" s="1"/>
  <c r="L105" i="28"/>
  <c r="P105" i="28"/>
  <c r="T105" i="28" s="1"/>
  <c r="O106" i="28"/>
  <c r="P106" i="28"/>
  <c r="T106" i="28" s="1"/>
  <c r="L107" i="28"/>
  <c r="P107" i="28"/>
  <c r="T107" i="28" s="1"/>
  <c r="L108" i="28"/>
  <c r="P108" i="28"/>
  <c r="T108" i="28" s="1"/>
  <c r="L109" i="28"/>
  <c r="P109" i="28"/>
  <c r="T109" i="28"/>
  <c r="L110" i="28"/>
  <c r="P110" i="28"/>
  <c r="T110" i="28" s="1"/>
  <c r="L111" i="28"/>
  <c r="P111" i="28"/>
  <c r="T111" i="28" s="1"/>
  <c r="L112" i="28"/>
  <c r="P112" i="28"/>
  <c r="T112" i="28" s="1"/>
  <c r="L113" i="28"/>
  <c r="P113" i="28"/>
  <c r="T113" i="28" s="1"/>
  <c r="L114" i="28"/>
  <c r="P114" i="28"/>
  <c r="T114" i="28" s="1"/>
  <c r="L115" i="28"/>
  <c r="P115" i="28"/>
  <c r="T115" i="28" s="1"/>
  <c r="L116" i="28"/>
  <c r="P116" i="28"/>
  <c r="T116" i="28" s="1"/>
  <c r="L117" i="28"/>
  <c r="P117" i="28"/>
  <c r="T117" i="28" s="1"/>
  <c r="L118" i="28"/>
  <c r="P118" i="28"/>
  <c r="T118" i="28" s="1"/>
  <c r="L119" i="28"/>
  <c r="P119" i="28"/>
  <c r="R119" i="28" s="1"/>
  <c r="T119" i="28" s="1"/>
  <c r="L120" i="28"/>
  <c r="P120" i="28"/>
  <c r="L121" i="28"/>
  <c r="P121" i="28"/>
  <c r="T121" i="28" s="1"/>
  <c r="L122" i="28"/>
  <c r="P122" i="28"/>
  <c r="T122" i="28" s="1"/>
  <c r="L123" i="28"/>
  <c r="P123" i="28"/>
  <c r="T123" i="28" s="1"/>
  <c r="L124" i="28"/>
  <c r="P124" i="28"/>
  <c r="T124" i="28"/>
  <c r="L125" i="28"/>
  <c r="P125" i="28"/>
  <c r="T125" i="28" s="1"/>
  <c r="L126" i="28"/>
  <c r="P126" i="28"/>
  <c r="T126" i="28" s="1"/>
  <c r="L127" i="28"/>
  <c r="P127" i="28"/>
  <c r="T127" i="28" s="1"/>
  <c r="L128" i="28"/>
  <c r="P128" i="28"/>
  <c r="T128" i="28" s="1"/>
  <c r="L129" i="28"/>
  <c r="P129" i="28"/>
  <c r="T129" i="28" s="1"/>
  <c r="L130" i="28"/>
  <c r="P130" i="28"/>
  <c r="T130" i="28" s="1"/>
  <c r="L131" i="28"/>
  <c r="P131" i="28"/>
  <c r="T131" i="28"/>
  <c r="L132" i="28"/>
  <c r="P132" i="28"/>
  <c r="T132" i="28" s="1"/>
  <c r="L133" i="28"/>
  <c r="P133" i="28"/>
  <c r="T133" i="28" s="1"/>
  <c r="L134" i="28"/>
  <c r="P134" i="28"/>
  <c r="T134" i="28" s="1"/>
  <c r="L135" i="28"/>
  <c r="P135" i="28"/>
  <c r="T135" i="28" s="1"/>
  <c r="L136" i="28"/>
  <c r="P136" i="28"/>
  <c r="T136" i="28" s="1"/>
  <c r="L137" i="28"/>
  <c r="P137" i="28"/>
  <c r="T137" i="28" s="1"/>
  <c r="L138" i="28"/>
  <c r="P138" i="28"/>
  <c r="T138" i="28" s="1"/>
  <c r="L139" i="28"/>
  <c r="P139" i="28"/>
  <c r="T139" i="28" s="1"/>
  <c r="L140" i="28"/>
  <c r="P140" i="28"/>
  <c r="T140" i="28" s="1"/>
  <c r="L141" i="28"/>
  <c r="P141" i="28"/>
  <c r="T141" i="28" s="1"/>
  <c r="L142" i="28"/>
  <c r="P142" i="28"/>
  <c r="T142" i="28" s="1"/>
  <c r="L143" i="28"/>
  <c r="P143" i="28"/>
  <c r="T143" i="28"/>
  <c r="L144" i="28"/>
  <c r="P144" i="28"/>
  <c r="T144" i="28" s="1"/>
  <c r="L145" i="28"/>
  <c r="P145" i="28"/>
  <c r="T145" i="28" s="1"/>
  <c r="L146" i="28"/>
  <c r="P146" i="28"/>
  <c r="T146" i="28" s="1"/>
  <c r="L147" i="28"/>
  <c r="P147" i="28"/>
  <c r="T147" i="28" s="1"/>
  <c r="L148" i="28"/>
  <c r="P148" i="28"/>
  <c r="T148" i="28" s="1"/>
  <c r="L149" i="28"/>
  <c r="P149" i="28"/>
  <c r="T149" i="28" s="1"/>
  <c r="L150" i="28"/>
  <c r="P150" i="28"/>
  <c r="T150" i="28"/>
  <c r="L151" i="28"/>
  <c r="P151" i="28"/>
  <c r="L152" i="28"/>
  <c r="P152" i="28"/>
  <c r="T152" i="28"/>
  <c r="L153" i="28"/>
  <c r="P153" i="28"/>
  <c r="T153" i="28" s="1"/>
  <c r="L154" i="28"/>
  <c r="P154" i="28"/>
  <c r="T154" i="28" s="1"/>
  <c r="L155" i="28"/>
  <c r="P155" i="28"/>
  <c r="T155" i="28" s="1"/>
  <c r="L156" i="28"/>
  <c r="P156" i="28"/>
  <c r="T156" i="28" s="1"/>
  <c r="L157" i="28"/>
  <c r="P157" i="28"/>
  <c r="T157" i="28" s="1"/>
  <c r="L158" i="28"/>
  <c r="P158" i="28"/>
  <c r="T158" i="28" s="1"/>
  <c r="L159" i="28"/>
  <c r="P159" i="28"/>
  <c r="T159" i="28" s="1"/>
  <c r="L160" i="28"/>
  <c r="P160" i="28"/>
  <c r="T160" i="28" s="1"/>
  <c r="L161" i="28"/>
  <c r="P161" i="28"/>
  <c r="T161" i="28" s="1"/>
  <c r="L162" i="28"/>
  <c r="P162" i="28"/>
  <c r="T162" i="28" s="1"/>
  <c r="L163" i="28"/>
  <c r="P163" i="28"/>
  <c r="T163" i="28" s="1"/>
  <c r="L164" i="28"/>
  <c r="P164" i="28"/>
  <c r="T164" i="28" s="1"/>
  <c r="L165" i="28"/>
  <c r="P165" i="28"/>
  <c r="T165" i="28" s="1"/>
  <c r="O166" i="28"/>
  <c r="P166" i="28" s="1"/>
  <c r="Q166" i="28" s="1"/>
  <c r="O167" i="28"/>
  <c r="P167" i="28" s="1"/>
  <c r="Q167" i="28" s="1"/>
  <c r="O168" i="28"/>
  <c r="P168" i="28" s="1"/>
  <c r="R168" i="28" s="1"/>
  <c r="O169" i="28"/>
  <c r="P169" i="28" s="1"/>
  <c r="T169" i="28" s="1"/>
  <c r="O170" i="28"/>
  <c r="P170" i="28" s="1"/>
  <c r="T170" i="28" s="1"/>
  <c r="L171" i="28"/>
  <c r="P171" i="28"/>
  <c r="T171" i="28" s="1"/>
  <c r="L172" i="28"/>
  <c r="P172" i="28"/>
  <c r="R172" i="28" s="1"/>
  <c r="L173" i="28"/>
  <c r="P173" i="28"/>
  <c r="R173" i="28" s="1"/>
  <c r="T173" i="28" s="1"/>
  <c r="L174" i="28"/>
  <c r="P174" i="28"/>
  <c r="T174" i="28"/>
  <c r="L175" i="28"/>
  <c r="P175" i="28"/>
  <c r="T175" i="28" s="1"/>
  <c r="L176" i="28"/>
  <c r="P176" i="28"/>
  <c r="T176" i="28" s="1"/>
  <c r="L177" i="28"/>
  <c r="P177" i="28"/>
  <c r="T177" i="28" s="1"/>
  <c r="L178" i="28"/>
  <c r="P178" i="28"/>
  <c r="T178" i="28" s="1"/>
  <c r="L179" i="28"/>
  <c r="P179" i="28"/>
  <c r="T179" i="28" s="1"/>
  <c r="L180" i="28"/>
  <c r="P180" i="28"/>
  <c r="T180" i="28" s="1"/>
  <c r="L181" i="28"/>
  <c r="P181" i="28"/>
  <c r="T181" i="28" s="1"/>
  <c r="L182" i="28"/>
  <c r="P182" i="28"/>
  <c r="T182" i="28" s="1"/>
  <c r="L183" i="28"/>
  <c r="P183" i="28"/>
  <c r="T183" i="28" s="1"/>
  <c r="L184" i="28"/>
  <c r="P184" i="28"/>
  <c r="L185" i="28"/>
  <c r="P185" i="28"/>
  <c r="R185" i="28" s="1"/>
  <c r="L186" i="28"/>
  <c r="P186" i="28"/>
  <c r="T186" i="28" s="1"/>
  <c r="L187" i="28"/>
  <c r="P187" i="28"/>
  <c r="T187" i="28" s="1"/>
  <c r="L188" i="28"/>
  <c r="P188" i="28"/>
  <c r="T188" i="28" s="1"/>
  <c r="L189" i="28"/>
  <c r="P189" i="28"/>
  <c r="T189" i="28" s="1"/>
  <c r="L190" i="28"/>
  <c r="P190" i="28"/>
  <c r="T190" i="28"/>
  <c r="L191" i="28"/>
  <c r="P191" i="28"/>
  <c r="T191" i="28" s="1"/>
  <c r="L192" i="28"/>
  <c r="P192" i="28"/>
  <c r="T192" i="28" s="1"/>
  <c r="L193" i="28"/>
  <c r="P193" i="28"/>
  <c r="T193" i="28"/>
  <c r="L194" i="28"/>
  <c r="P194" i="28"/>
  <c r="T194" i="28" s="1"/>
  <c r="O195" i="28"/>
  <c r="P195" i="28" s="1"/>
  <c r="O196" i="28"/>
  <c r="P196" i="28" s="1"/>
  <c r="Q196" i="28" s="1"/>
  <c r="O197" i="28"/>
  <c r="P197" i="28"/>
  <c r="Q206" i="28"/>
  <c r="S6" i="26"/>
  <c r="L8" i="26"/>
  <c r="P8" i="26"/>
  <c r="T8" i="26" s="1"/>
  <c r="L9" i="26"/>
  <c r="P9" i="26"/>
  <c r="T9" i="26" s="1"/>
  <c r="L10" i="26"/>
  <c r="P10" i="26"/>
  <c r="T10" i="26" s="1"/>
  <c r="L11" i="26"/>
  <c r="P11" i="26"/>
  <c r="T11" i="26" s="1"/>
  <c r="L12" i="26"/>
  <c r="P12" i="26"/>
  <c r="T12" i="26" s="1"/>
  <c r="L13" i="26"/>
  <c r="P13" i="26"/>
  <c r="T13" i="26" s="1"/>
  <c r="L14" i="26"/>
  <c r="P14" i="26"/>
  <c r="T14" i="26" s="1"/>
  <c r="L15" i="26"/>
  <c r="P15" i="26"/>
  <c r="T15" i="26" s="1"/>
  <c r="L16" i="26"/>
  <c r="P16" i="26"/>
  <c r="T16" i="26" s="1"/>
  <c r="O17" i="26"/>
  <c r="P17" i="26" s="1"/>
  <c r="R17" i="26" s="1"/>
  <c r="O18" i="26"/>
  <c r="P18" i="26" s="1"/>
  <c r="R18" i="26" s="1"/>
  <c r="O19" i="26"/>
  <c r="P19" i="26" s="1"/>
  <c r="O20" i="26"/>
  <c r="P20" i="26"/>
  <c r="R20" i="26" s="1"/>
  <c r="L21" i="26"/>
  <c r="P21" i="26"/>
  <c r="T21" i="26" s="1"/>
  <c r="L22" i="26"/>
  <c r="P22" i="26"/>
  <c r="R22" i="26" s="1"/>
  <c r="T22" i="26" s="1"/>
  <c r="L23" i="26"/>
  <c r="P23" i="26"/>
  <c r="L24" i="26"/>
  <c r="P24" i="26"/>
  <c r="L25" i="26"/>
  <c r="P25" i="26"/>
  <c r="L26" i="26"/>
  <c r="P26" i="26"/>
  <c r="L27" i="26"/>
  <c r="P27" i="26"/>
  <c r="R27" i="26" s="1"/>
  <c r="L28" i="26"/>
  <c r="P28" i="26"/>
  <c r="R28" i="26" s="1"/>
  <c r="T28" i="26" s="1"/>
  <c r="L29" i="26"/>
  <c r="P29" i="26"/>
  <c r="R29" i="26" s="1"/>
  <c r="L30" i="26"/>
  <c r="P30" i="26"/>
  <c r="R30" i="26" s="1"/>
  <c r="T30" i="26" s="1"/>
  <c r="L31" i="26"/>
  <c r="P31" i="26"/>
  <c r="R31" i="26" s="1"/>
  <c r="L32" i="26"/>
  <c r="P32" i="26"/>
  <c r="T32" i="26"/>
  <c r="L33" i="26"/>
  <c r="P33" i="26"/>
  <c r="T33" i="26" s="1"/>
  <c r="L34" i="26"/>
  <c r="P34" i="26"/>
  <c r="T34" i="26" s="1"/>
  <c r="L35" i="26"/>
  <c r="P35" i="26"/>
  <c r="T35" i="26" s="1"/>
  <c r="O36" i="26"/>
  <c r="P36" i="26" s="1"/>
  <c r="T36" i="26" s="1"/>
  <c r="L37" i="26"/>
  <c r="P37" i="26"/>
  <c r="T37" i="26" s="1"/>
  <c r="L38" i="26"/>
  <c r="P38" i="26"/>
  <c r="T38" i="26"/>
  <c r="L39" i="26"/>
  <c r="P39" i="26"/>
  <c r="T39" i="26" s="1"/>
  <c r="L40" i="26"/>
  <c r="P40" i="26"/>
  <c r="T40" i="26" s="1"/>
  <c r="L41" i="26"/>
  <c r="P41" i="26"/>
  <c r="T41" i="26" s="1"/>
  <c r="L42" i="26"/>
  <c r="P42" i="26"/>
  <c r="T42" i="26"/>
  <c r="L43" i="26"/>
  <c r="P43" i="26"/>
  <c r="T43" i="26" s="1"/>
  <c r="L44" i="26"/>
  <c r="P44" i="26"/>
  <c r="T44" i="26" s="1"/>
  <c r="L45" i="26"/>
  <c r="P45" i="26"/>
  <c r="T45" i="26" s="1"/>
  <c r="L46" i="26"/>
  <c r="P46" i="26"/>
  <c r="T46" i="26" s="1"/>
  <c r="L47" i="26"/>
  <c r="P47" i="26"/>
  <c r="T47" i="26" s="1"/>
  <c r="L48" i="26"/>
  <c r="P48" i="26"/>
  <c r="T48" i="26" s="1"/>
  <c r="L49" i="26"/>
  <c r="P49" i="26"/>
  <c r="T49" i="26" s="1"/>
  <c r="L50" i="26"/>
  <c r="P50" i="26"/>
  <c r="T50" i="26" s="1"/>
  <c r="L51" i="26"/>
  <c r="P51" i="26"/>
  <c r="T51" i="26" s="1"/>
  <c r="L52" i="26"/>
  <c r="P52" i="26"/>
  <c r="T52" i="26" s="1"/>
  <c r="L53" i="26"/>
  <c r="P53" i="26"/>
  <c r="T53" i="26" s="1"/>
  <c r="L54" i="26"/>
  <c r="P54" i="26"/>
  <c r="L55" i="26"/>
  <c r="P55" i="26"/>
  <c r="T55" i="26" s="1"/>
  <c r="L56" i="26"/>
  <c r="P56" i="26"/>
  <c r="T56" i="26" s="1"/>
  <c r="L57" i="26"/>
  <c r="P57" i="26"/>
  <c r="T57" i="26" s="1"/>
  <c r="L58" i="26"/>
  <c r="P58" i="26"/>
  <c r="L59" i="26"/>
  <c r="P59" i="26"/>
  <c r="T59" i="26" s="1"/>
  <c r="L60" i="26"/>
  <c r="P60" i="26"/>
  <c r="T60" i="26" s="1"/>
  <c r="L61" i="26"/>
  <c r="P61" i="26"/>
  <c r="T61" i="26" s="1"/>
  <c r="L62" i="26"/>
  <c r="P62" i="26"/>
  <c r="T62" i="26" s="1"/>
  <c r="L63" i="26"/>
  <c r="P63" i="26"/>
  <c r="T63" i="26" s="1"/>
  <c r="L64" i="26"/>
  <c r="P64" i="26"/>
  <c r="T64" i="26" s="1"/>
  <c r="L65" i="26"/>
  <c r="P65" i="26"/>
  <c r="T65" i="26" s="1"/>
  <c r="L66" i="26"/>
  <c r="P66" i="26"/>
  <c r="T66" i="26" s="1"/>
  <c r="L67" i="26"/>
  <c r="P67" i="26"/>
  <c r="T67" i="26" s="1"/>
  <c r="L68" i="26"/>
  <c r="P68" i="26"/>
  <c r="T68" i="26"/>
  <c r="L69" i="26"/>
  <c r="P69" i="26"/>
  <c r="T69" i="26" s="1"/>
  <c r="L70" i="26"/>
  <c r="P70" i="26"/>
  <c r="L71" i="26"/>
  <c r="P71" i="26"/>
  <c r="T71" i="26" s="1"/>
  <c r="L72" i="26"/>
  <c r="P72" i="26"/>
  <c r="T72" i="26" s="1"/>
  <c r="L73" i="26"/>
  <c r="P73" i="26"/>
  <c r="T73" i="26" s="1"/>
  <c r="L74" i="26"/>
  <c r="P74" i="26"/>
  <c r="L75" i="26"/>
  <c r="P75" i="26"/>
  <c r="T75" i="26" s="1"/>
  <c r="L76" i="26"/>
  <c r="P76" i="26"/>
  <c r="T76" i="26"/>
  <c r="L77" i="26"/>
  <c r="P77" i="26"/>
  <c r="T77" i="26" s="1"/>
  <c r="L78" i="26"/>
  <c r="P78" i="26"/>
  <c r="T78" i="26" s="1"/>
  <c r="L79" i="26"/>
  <c r="P79" i="26"/>
  <c r="T79" i="26" s="1"/>
  <c r="L80" i="26"/>
  <c r="P80" i="26"/>
  <c r="T80" i="26" s="1"/>
  <c r="L81" i="26"/>
  <c r="P81" i="26"/>
  <c r="L82" i="26"/>
  <c r="P82" i="26"/>
  <c r="T82" i="26"/>
  <c r="L83" i="26"/>
  <c r="P83" i="26"/>
  <c r="T83" i="26" s="1"/>
  <c r="L84" i="26"/>
  <c r="P84" i="26"/>
  <c r="T84" i="26" s="1"/>
  <c r="L85" i="26"/>
  <c r="P85" i="26"/>
  <c r="T85" i="26" s="1"/>
  <c r="L86" i="26"/>
  <c r="P86" i="26"/>
  <c r="T86" i="26" s="1"/>
  <c r="L87" i="26"/>
  <c r="P87" i="26"/>
  <c r="T87" i="26" s="1"/>
  <c r="L88" i="26"/>
  <c r="P88" i="26"/>
  <c r="T88" i="26" s="1"/>
  <c r="L89" i="26"/>
  <c r="P89" i="26"/>
  <c r="T89" i="26" s="1"/>
  <c r="L90" i="26"/>
  <c r="P90" i="26"/>
  <c r="T90" i="26"/>
  <c r="L91" i="26"/>
  <c r="P91" i="26"/>
  <c r="T91" i="26" s="1"/>
  <c r="O92" i="26"/>
  <c r="P92" i="26" s="1"/>
  <c r="R92" i="26" s="1"/>
  <c r="O93" i="26"/>
  <c r="P93" i="26" s="1"/>
  <c r="O94" i="26"/>
  <c r="P94" i="26" s="1"/>
  <c r="O95" i="26"/>
  <c r="P95" i="26" s="1"/>
  <c r="O96" i="26"/>
  <c r="P96" i="26" s="1"/>
  <c r="O97" i="26"/>
  <c r="P97" i="26" s="1"/>
  <c r="O98" i="26"/>
  <c r="P98" i="26" s="1"/>
  <c r="O99" i="26"/>
  <c r="P99" i="26" s="1"/>
  <c r="O100" i="26"/>
  <c r="P100" i="26" s="1"/>
  <c r="Q100" i="26" s="1"/>
  <c r="O101" i="26"/>
  <c r="P101" i="26" s="1"/>
  <c r="R101" i="26" s="1"/>
  <c r="O102" i="26"/>
  <c r="P102" i="26" s="1"/>
  <c r="Q102" i="26" s="1"/>
  <c r="O103" i="26"/>
  <c r="P103" i="26" s="1"/>
  <c r="L104" i="26"/>
  <c r="P104" i="26"/>
  <c r="T104" i="26" s="1"/>
  <c r="L105" i="26"/>
  <c r="P105" i="26"/>
  <c r="T105" i="26" s="1"/>
  <c r="L106" i="26"/>
  <c r="P106" i="26"/>
  <c r="L107" i="26"/>
  <c r="P107" i="26"/>
  <c r="T107" i="26" s="1"/>
  <c r="L108" i="26"/>
  <c r="P108" i="26"/>
  <c r="T108" i="26"/>
  <c r="L109" i="26"/>
  <c r="P109" i="26"/>
  <c r="R109" i="26" s="1"/>
  <c r="T109" i="26" s="1"/>
  <c r="L110" i="26"/>
  <c r="P110" i="26"/>
  <c r="T110" i="26" s="1"/>
  <c r="L111" i="26"/>
  <c r="P111" i="26"/>
  <c r="T111" i="26" s="1"/>
  <c r="L112" i="26"/>
  <c r="P112" i="26"/>
  <c r="T112" i="26" s="1"/>
  <c r="L113" i="26"/>
  <c r="P113" i="26"/>
  <c r="T113" i="26"/>
  <c r="L114" i="26"/>
  <c r="P114" i="26"/>
  <c r="T114" i="26" s="1"/>
  <c r="L115" i="26"/>
  <c r="P115" i="26"/>
  <c r="L116" i="26"/>
  <c r="P116" i="26"/>
  <c r="T116" i="26" s="1"/>
  <c r="L117" i="26"/>
  <c r="P117" i="26"/>
  <c r="T117" i="26"/>
  <c r="L118" i="26"/>
  <c r="P118" i="26"/>
  <c r="T118" i="26" s="1"/>
  <c r="L119" i="26"/>
  <c r="P119" i="26"/>
  <c r="T119" i="26" s="1"/>
  <c r="L120" i="26"/>
  <c r="P120" i="26"/>
  <c r="T120" i="26" s="1"/>
  <c r="L121" i="26"/>
  <c r="P121" i="26"/>
  <c r="T121" i="26" s="1"/>
  <c r="L122" i="26"/>
  <c r="P122" i="26"/>
  <c r="T122" i="26" s="1"/>
  <c r="L123" i="26"/>
  <c r="P123" i="26"/>
  <c r="L124" i="26"/>
  <c r="P124" i="26"/>
  <c r="T124" i="26" s="1"/>
  <c r="L125" i="26"/>
  <c r="P125" i="26"/>
  <c r="T125" i="26" s="1"/>
  <c r="L126" i="26"/>
  <c r="P126" i="26"/>
  <c r="T126" i="26" s="1"/>
  <c r="L127" i="26"/>
  <c r="P127" i="26"/>
  <c r="T127" i="26" s="1"/>
  <c r="L128" i="26"/>
  <c r="P128" i="26"/>
  <c r="T128" i="26"/>
  <c r="L129" i="26"/>
  <c r="P129" i="26"/>
  <c r="T129" i="26" s="1"/>
  <c r="L130" i="26"/>
  <c r="P130" i="26"/>
  <c r="T130" i="26" s="1"/>
  <c r="L131" i="26"/>
  <c r="P131" i="26"/>
  <c r="T131" i="26" s="1"/>
  <c r="L132" i="26"/>
  <c r="P132" i="26"/>
  <c r="T132" i="26" s="1"/>
  <c r="L133" i="26"/>
  <c r="P133" i="26"/>
  <c r="T133" i="26" s="1"/>
  <c r="L134" i="26"/>
  <c r="P134" i="26"/>
  <c r="T134" i="26" s="1"/>
  <c r="L135" i="26"/>
  <c r="P135" i="26"/>
  <c r="T135" i="26" s="1"/>
  <c r="L136" i="26"/>
  <c r="P136" i="26"/>
  <c r="T136" i="26" s="1"/>
  <c r="L137" i="26"/>
  <c r="P137" i="26"/>
  <c r="T137" i="26" s="1"/>
  <c r="L138" i="26"/>
  <c r="P138" i="26"/>
  <c r="T138" i="26" s="1"/>
  <c r="L139" i="26"/>
  <c r="P139" i="26"/>
  <c r="L140" i="26"/>
  <c r="P140" i="26"/>
  <c r="R140" i="26" s="1"/>
  <c r="T140" i="26" s="1"/>
  <c r="L141" i="26"/>
  <c r="P141" i="26"/>
  <c r="R141" i="26" s="1"/>
  <c r="T141" i="26" s="1"/>
  <c r="L142" i="26"/>
  <c r="P142" i="26"/>
  <c r="R142" i="26" s="1"/>
  <c r="L143" i="26"/>
  <c r="P143" i="26"/>
  <c r="R143" i="26" s="1"/>
  <c r="L144" i="26"/>
  <c r="P144" i="26"/>
  <c r="T144" i="26" s="1"/>
  <c r="L145" i="26"/>
  <c r="P145" i="26"/>
  <c r="T145" i="26" s="1"/>
  <c r="O146" i="26"/>
  <c r="P146" i="26" s="1"/>
  <c r="Q146" i="26" s="1"/>
  <c r="L147" i="26"/>
  <c r="P147" i="26"/>
  <c r="T147" i="26"/>
  <c r="L148" i="26"/>
  <c r="P148" i="26"/>
  <c r="T148" i="26" s="1"/>
  <c r="L149" i="26"/>
  <c r="P149" i="26"/>
  <c r="T149" i="26" s="1"/>
  <c r="L150" i="26"/>
  <c r="P150" i="26"/>
  <c r="T150" i="26" s="1"/>
  <c r="L151" i="26"/>
  <c r="P151" i="26"/>
  <c r="T151" i="26"/>
  <c r="L152" i="26"/>
  <c r="P152" i="26"/>
  <c r="T152" i="26" s="1"/>
  <c r="L153" i="26"/>
  <c r="P153" i="26"/>
  <c r="T153" i="26" s="1"/>
  <c r="L154" i="26"/>
  <c r="P154" i="26"/>
  <c r="T154" i="26"/>
  <c r="L155" i="26"/>
  <c r="P155" i="26"/>
  <c r="T155" i="26" s="1"/>
  <c r="L156" i="26"/>
  <c r="P156" i="26"/>
  <c r="T156" i="26" s="1"/>
  <c r="L157" i="26"/>
  <c r="P157" i="26"/>
  <c r="T157" i="26" s="1"/>
  <c r="L158" i="26"/>
  <c r="P158" i="26"/>
  <c r="T158" i="26" s="1"/>
  <c r="L159" i="26"/>
  <c r="P159" i="26"/>
  <c r="T159" i="26" s="1"/>
  <c r="L160" i="26"/>
  <c r="P160" i="26"/>
  <c r="L161" i="26"/>
  <c r="P161" i="26"/>
  <c r="L162" i="26"/>
  <c r="P162" i="26"/>
  <c r="T162" i="26" s="1"/>
  <c r="L163" i="26"/>
  <c r="P163" i="26"/>
  <c r="T163" i="26" s="1"/>
  <c r="L164" i="26"/>
  <c r="P164" i="26"/>
  <c r="T164" i="26" s="1"/>
  <c r="L165" i="26"/>
  <c r="P165" i="26"/>
  <c r="T165" i="26"/>
  <c r="L166" i="26"/>
  <c r="P166" i="26"/>
  <c r="T166" i="26" s="1"/>
  <c r="L167" i="26"/>
  <c r="P167" i="26"/>
  <c r="T167" i="26" s="1"/>
  <c r="L168" i="26"/>
  <c r="P168" i="26"/>
  <c r="O169" i="26"/>
  <c r="P169" i="26" s="1"/>
  <c r="O170" i="26"/>
  <c r="P170" i="26" s="1"/>
  <c r="Q170" i="26" s="1"/>
  <c r="T170" i="26" s="1"/>
  <c r="O171" i="26"/>
  <c r="P171" i="26" s="1"/>
  <c r="Q180" i="26"/>
  <c r="S6" i="19"/>
  <c r="L8" i="19"/>
  <c r="P8" i="19"/>
  <c r="T8" i="19" s="1"/>
  <c r="L9" i="19"/>
  <c r="P9" i="19"/>
  <c r="L10" i="19"/>
  <c r="P10" i="19"/>
  <c r="T10" i="19" s="1"/>
  <c r="L11" i="19"/>
  <c r="P11" i="19"/>
  <c r="T11" i="19" s="1"/>
  <c r="L12" i="19"/>
  <c r="P12" i="19"/>
  <c r="T12" i="19" s="1"/>
  <c r="L13" i="19"/>
  <c r="P13" i="19"/>
  <c r="T13" i="19"/>
  <c r="L14" i="19"/>
  <c r="P14" i="19"/>
  <c r="T14" i="19" s="1"/>
  <c r="L15" i="19"/>
  <c r="P15" i="19"/>
  <c r="T15" i="19" s="1"/>
  <c r="L16" i="19"/>
  <c r="P16" i="19"/>
  <c r="L17" i="19"/>
  <c r="P17" i="19"/>
  <c r="R17" i="19" s="1"/>
  <c r="L18" i="19"/>
  <c r="P18" i="19"/>
  <c r="T18" i="19" s="1"/>
  <c r="L19" i="19"/>
  <c r="P19" i="19"/>
  <c r="T19" i="19" s="1"/>
  <c r="L20" i="19"/>
  <c r="P20" i="19"/>
  <c r="T20" i="19" s="1"/>
  <c r="L21" i="19"/>
  <c r="P21" i="19"/>
  <c r="L22" i="19"/>
  <c r="P22" i="19"/>
  <c r="T22" i="19" s="1"/>
  <c r="L23" i="19"/>
  <c r="P23" i="19"/>
  <c r="T23" i="19" s="1"/>
  <c r="L24" i="19"/>
  <c r="P24" i="19"/>
  <c r="T24" i="19" s="1"/>
  <c r="L25" i="19"/>
  <c r="P25" i="19"/>
  <c r="T25" i="19"/>
  <c r="L26" i="19"/>
  <c r="P26" i="19"/>
  <c r="T26" i="19" s="1"/>
  <c r="L27" i="19"/>
  <c r="P27" i="19"/>
  <c r="T27" i="19" s="1"/>
  <c r="L28" i="19"/>
  <c r="P28" i="19"/>
  <c r="T28" i="19" s="1"/>
  <c r="L29" i="19"/>
  <c r="P29" i="19"/>
  <c r="T29" i="19" s="1"/>
  <c r="L30" i="19"/>
  <c r="P30" i="19"/>
  <c r="T30" i="19" s="1"/>
  <c r="L31" i="19"/>
  <c r="P31" i="19"/>
  <c r="T31" i="19" s="1"/>
  <c r="L32" i="19"/>
  <c r="P32" i="19"/>
  <c r="T32" i="19" s="1"/>
  <c r="L33" i="19"/>
  <c r="P33" i="19"/>
  <c r="T33" i="19" s="1"/>
  <c r="L34" i="19"/>
  <c r="P34" i="19"/>
  <c r="T34" i="19" s="1"/>
  <c r="L35" i="19"/>
  <c r="P35" i="19"/>
  <c r="T35" i="19"/>
  <c r="L36" i="19"/>
  <c r="P36" i="19"/>
  <c r="T36" i="19" s="1"/>
  <c r="L37" i="19"/>
  <c r="P37" i="19"/>
  <c r="T37" i="19" s="1"/>
  <c r="L38" i="19"/>
  <c r="P38" i="19"/>
  <c r="R38" i="19" s="1"/>
  <c r="T38" i="19" s="1"/>
  <c r="L39" i="19"/>
  <c r="P39" i="19"/>
  <c r="R39" i="19" s="1"/>
  <c r="T39" i="19" s="1"/>
  <c r="L40" i="19"/>
  <c r="P40" i="19"/>
  <c r="T40" i="19" s="1"/>
  <c r="L41" i="19"/>
  <c r="P41" i="19"/>
  <c r="T41" i="19" s="1"/>
  <c r="L42" i="19"/>
  <c r="P42" i="19"/>
  <c r="T42" i="19" s="1"/>
  <c r="L43" i="19"/>
  <c r="P43" i="19"/>
  <c r="T43" i="19" s="1"/>
  <c r="L44" i="19"/>
  <c r="P44" i="19"/>
  <c r="T44" i="19" s="1"/>
  <c r="L45" i="19"/>
  <c r="P45" i="19"/>
  <c r="T45" i="19" s="1"/>
  <c r="L46" i="19"/>
  <c r="P46" i="19"/>
  <c r="T46" i="19" s="1"/>
  <c r="L47" i="19"/>
  <c r="P47" i="19"/>
  <c r="T47" i="19" s="1"/>
  <c r="L48" i="19"/>
  <c r="P48" i="19"/>
  <c r="T48" i="19" s="1"/>
  <c r="L49" i="19"/>
  <c r="O49" i="19" s="1"/>
  <c r="P49" i="19" s="1"/>
  <c r="T49" i="19" s="1"/>
  <c r="L50" i="19"/>
  <c r="P50" i="19"/>
  <c r="T50" i="19" s="1"/>
  <c r="L51" i="19"/>
  <c r="P51" i="19"/>
  <c r="T51" i="19" s="1"/>
  <c r="L52" i="19"/>
  <c r="P52" i="19"/>
  <c r="T52" i="19" s="1"/>
  <c r="L53" i="19"/>
  <c r="P53" i="19"/>
  <c r="R53" i="19" s="1"/>
  <c r="T53" i="19" s="1"/>
  <c r="L54" i="19"/>
  <c r="P54" i="19"/>
  <c r="R54" i="19" s="1"/>
  <c r="L55" i="19"/>
  <c r="P55" i="19"/>
  <c r="T55" i="19" s="1"/>
  <c r="L56" i="19"/>
  <c r="P56" i="19"/>
  <c r="T56" i="19" s="1"/>
  <c r="L57" i="19"/>
  <c r="P57" i="19"/>
  <c r="T57" i="19" s="1"/>
  <c r="L58" i="19"/>
  <c r="P58" i="19"/>
  <c r="T58" i="19" s="1"/>
  <c r="L59" i="19"/>
  <c r="P59" i="19"/>
  <c r="T59" i="19" s="1"/>
  <c r="L60" i="19"/>
  <c r="P60" i="19"/>
  <c r="T60" i="19" s="1"/>
  <c r="L61" i="19"/>
  <c r="P61" i="19"/>
  <c r="T61" i="19" s="1"/>
  <c r="L62" i="19"/>
  <c r="P62" i="19"/>
  <c r="T62" i="19" s="1"/>
  <c r="L63" i="19"/>
  <c r="P63" i="19"/>
  <c r="T63" i="19" s="1"/>
  <c r="L64" i="19"/>
  <c r="P64" i="19"/>
  <c r="T64" i="19" s="1"/>
  <c r="L65" i="19"/>
  <c r="P65" i="19"/>
  <c r="T65" i="19" s="1"/>
  <c r="L66" i="19"/>
  <c r="P66" i="19"/>
  <c r="T66" i="19" s="1"/>
  <c r="L67" i="19"/>
  <c r="P67" i="19"/>
  <c r="T67" i="19" s="1"/>
  <c r="L68" i="19"/>
  <c r="P68" i="19"/>
  <c r="T68" i="19" s="1"/>
  <c r="L69" i="19"/>
  <c r="P69" i="19"/>
  <c r="T69" i="19" s="1"/>
  <c r="L70" i="19"/>
  <c r="P70" i="19"/>
  <c r="T70" i="19" s="1"/>
  <c r="L71" i="19"/>
  <c r="P71" i="19"/>
  <c r="T71" i="19" s="1"/>
  <c r="L72" i="19"/>
  <c r="P72" i="19"/>
  <c r="T72" i="19"/>
  <c r="L73" i="19"/>
  <c r="P73" i="19"/>
  <c r="T73" i="19" s="1"/>
  <c r="L74" i="19"/>
  <c r="P74" i="19"/>
  <c r="T74" i="19" s="1"/>
  <c r="L75" i="19"/>
  <c r="P75" i="19"/>
  <c r="T75" i="19" s="1"/>
  <c r="L76" i="19"/>
  <c r="P76" i="19"/>
  <c r="T76" i="19" s="1"/>
  <c r="L77" i="19"/>
  <c r="P77" i="19"/>
  <c r="T77" i="19" s="1"/>
  <c r="L78" i="19"/>
  <c r="P78" i="19"/>
  <c r="T78" i="19" s="1"/>
  <c r="L79" i="19"/>
  <c r="P79" i="19"/>
  <c r="T79" i="19" s="1"/>
  <c r="L80" i="19"/>
  <c r="P80" i="19"/>
  <c r="T80" i="19" s="1"/>
  <c r="L81" i="19"/>
  <c r="P81" i="19"/>
  <c r="T81" i="19" s="1"/>
  <c r="L82" i="19"/>
  <c r="P82" i="19"/>
  <c r="T82" i="19" s="1"/>
  <c r="L83" i="19"/>
  <c r="P83" i="19"/>
  <c r="T83" i="19" s="1"/>
  <c r="L84" i="19"/>
  <c r="P84" i="19"/>
  <c r="L85" i="19"/>
  <c r="P85" i="19"/>
  <c r="T85" i="19" s="1"/>
  <c r="L86" i="19"/>
  <c r="P86" i="19"/>
  <c r="T86" i="19" s="1"/>
  <c r="L87" i="19"/>
  <c r="P87" i="19"/>
  <c r="T87" i="19" s="1"/>
  <c r="L88" i="19"/>
  <c r="P88" i="19"/>
  <c r="T88" i="19"/>
  <c r="L89" i="19"/>
  <c r="P89" i="19"/>
  <c r="T89" i="19" s="1"/>
  <c r="L90" i="19"/>
  <c r="P90" i="19"/>
  <c r="T90" i="19"/>
  <c r="L91" i="19"/>
  <c r="P91" i="19"/>
  <c r="T91" i="19" s="1"/>
  <c r="L92" i="19"/>
  <c r="P92" i="19"/>
  <c r="T92" i="19" s="1"/>
  <c r="L93" i="19"/>
  <c r="P93" i="19"/>
  <c r="T93" i="19" s="1"/>
  <c r="L94" i="19"/>
  <c r="P94" i="19"/>
  <c r="R94" i="19" s="1"/>
  <c r="T94" i="19" s="1"/>
  <c r="L95" i="19"/>
  <c r="P95" i="19"/>
  <c r="R95" i="19" s="1"/>
  <c r="O96" i="19"/>
  <c r="P96" i="19" s="1"/>
  <c r="T96" i="19" s="1"/>
  <c r="O97" i="19"/>
  <c r="P97" i="19" s="1"/>
  <c r="Q97" i="19" s="1"/>
  <c r="T97" i="19" s="1"/>
  <c r="L98" i="19"/>
  <c r="P98" i="19"/>
  <c r="T98" i="19" s="1"/>
  <c r="L99" i="19"/>
  <c r="P99" i="19"/>
  <c r="T99" i="19" s="1"/>
  <c r="L100" i="19"/>
  <c r="P100" i="19"/>
  <c r="T100" i="19"/>
  <c r="L101" i="19"/>
  <c r="P101" i="19"/>
  <c r="T101" i="19" s="1"/>
  <c r="L102" i="19"/>
  <c r="P102" i="19"/>
  <c r="T102" i="19" s="1"/>
  <c r="L103" i="19"/>
  <c r="P103" i="19"/>
  <c r="T103" i="19" s="1"/>
  <c r="L104" i="19"/>
  <c r="P104" i="19"/>
  <c r="T104" i="19" s="1"/>
  <c r="L105" i="19"/>
  <c r="P105" i="19"/>
  <c r="T105" i="19" s="1"/>
  <c r="L106" i="19"/>
  <c r="P106" i="19"/>
  <c r="T106" i="19" s="1"/>
  <c r="L107" i="19"/>
  <c r="P107" i="19"/>
  <c r="T107" i="19" s="1"/>
  <c r="L108" i="19"/>
  <c r="P108" i="19"/>
  <c r="T108" i="19" s="1"/>
  <c r="L109" i="19"/>
  <c r="P109" i="19"/>
  <c r="T109" i="19" s="1"/>
  <c r="L110" i="19"/>
  <c r="P110" i="19"/>
  <c r="T110" i="19" s="1"/>
  <c r="L111" i="19"/>
  <c r="P111" i="19"/>
  <c r="R111" i="19" s="1"/>
  <c r="L112" i="19"/>
  <c r="P112" i="19"/>
  <c r="T112" i="19" s="1"/>
  <c r="R112" i="19"/>
  <c r="L113" i="19"/>
  <c r="P113" i="19"/>
  <c r="T113" i="19" s="1"/>
  <c r="L114" i="19"/>
  <c r="P114" i="19"/>
  <c r="T114" i="19" s="1"/>
  <c r="L115" i="19"/>
  <c r="P115" i="19"/>
  <c r="T115" i="19" s="1"/>
  <c r="L116" i="19"/>
  <c r="P116" i="19"/>
  <c r="T116" i="19" s="1"/>
  <c r="L117" i="19"/>
  <c r="P117" i="19"/>
  <c r="T117" i="19" s="1"/>
  <c r="L118" i="19"/>
  <c r="P118" i="19"/>
  <c r="L119" i="19"/>
  <c r="P119" i="19"/>
  <c r="T119" i="19" s="1"/>
  <c r="L120" i="19"/>
  <c r="P120" i="19"/>
  <c r="T120" i="19" s="1"/>
  <c r="L121" i="19"/>
  <c r="P121" i="19"/>
  <c r="T121" i="19" s="1"/>
  <c r="L122" i="19"/>
  <c r="P122" i="19"/>
  <c r="T122" i="19" s="1"/>
  <c r="L123" i="19"/>
  <c r="P123" i="19"/>
  <c r="T123" i="19" s="1"/>
  <c r="L124" i="19"/>
  <c r="P124" i="19"/>
  <c r="T124" i="19" s="1"/>
  <c r="L125" i="19"/>
  <c r="P125" i="19"/>
  <c r="T125" i="19" s="1"/>
  <c r="L126" i="19"/>
  <c r="P126" i="19"/>
  <c r="T126" i="19" s="1"/>
  <c r="L127" i="19"/>
  <c r="P127" i="19"/>
  <c r="T127" i="19" s="1"/>
  <c r="L128" i="19"/>
  <c r="P128" i="19"/>
  <c r="T128" i="19" s="1"/>
  <c r="L129" i="19"/>
  <c r="P129" i="19"/>
  <c r="T129" i="19" s="1"/>
  <c r="L130" i="19"/>
  <c r="P130" i="19"/>
  <c r="T130" i="19" s="1"/>
  <c r="L131" i="19"/>
  <c r="P131" i="19"/>
  <c r="T131" i="19" s="1"/>
  <c r="L132" i="19"/>
  <c r="P132" i="19"/>
  <c r="R132" i="19" s="1"/>
  <c r="T132" i="19" s="1"/>
  <c r="L133" i="19"/>
  <c r="P133" i="19"/>
  <c r="T133" i="19" s="1"/>
  <c r="O134" i="19"/>
  <c r="P134" i="19" s="1"/>
  <c r="L135" i="19"/>
  <c r="P135" i="19"/>
  <c r="T135" i="19" s="1"/>
  <c r="L136" i="19"/>
  <c r="P136" i="19"/>
  <c r="T136" i="19" s="1"/>
  <c r="O137" i="19"/>
  <c r="P137" i="19" s="1"/>
  <c r="Q137" i="19" s="1"/>
  <c r="T137" i="19" s="1"/>
  <c r="L138" i="19"/>
  <c r="P138" i="19"/>
  <c r="R138" i="19" s="1"/>
  <c r="L139" i="19"/>
  <c r="P139" i="19"/>
  <c r="T139" i="19" s="1"/>
  <c r="L140" i="19"/>
  <c r="P140" i="19"/>
  <c r="T140" i="19" s="1"/>
  <c r="L141" i="19"/>
  <c r="P141" i="19"/>
  <c r="T141" i="19" s="1"/>
  <c r="L142" i="19"/>
  <c r="P142" i="19"/>
  <c r="T142" i="19" s="1"/>
  <c r="L143" i="19"/>
  <c r="P143" i="19"/>
  <c r="T143" i="19" s="1"/>
  <c r="O144" i="19"/>
  <c r="P144" i="19" s="1"/>
  <c r="O145" i="19"/>
  <c r="P145" i="19" s="1"/>
  <c r="O146" i="19"/>
  <c r="P146" i="19" s="1"/>
  <c r="O147" i="19"/>
  <c r="P147" i="19" s="1"/>
  <c r="R147" i="19" s="1"/>
  <c r="O148" i="19"/>
  <c r="P148" i="19" s="1"/>
  <c r="O149" i="19"/>
  <c r="P149" i="19"/>
  <c r="Q149" i="19" s="1"/>
  <c r="O150" i="19"/>
  <c r="P150" i="19" s="1"/>
  <c r="O151" i="19"/>
  <c r="P151" i="19"/>
  <c r="Q151" i="19" s="1"/>
  <c r="O152" i="19"/>
  <c r="P152" i="19" s="1"/>
  <c r="O153" i="19"/>
  <c r="P153" i="19" s="1"/>
  <c r="O154" i="19"/>
  <c r="P154" i="19" s="1"/>
  <c r="R154" i="19" s="1"/>
  <c r="Q162" i="19"/>
  <c r="M8" i="15"/>
  <c r="Q8" i="15"/>
  <c r="P9" i="15"/>
  <c r="M10" i="15"/>
  <c r="Q10" i="15"/>
  <c r="U10" i="15" s="1"/>
  <c r="M11" i="15"/>
  <c r="Q11" i="15"/>
  <c r="U11" i="15" s="1"/>
  <c r="M12" i="15"/>
  <c r="Q12" i="15"/>
  <c r="U12" i="15" s="1"/>
  <c r="M13" i="15"/>
  <c r="Q13" i="15"/>
  <c r="U13" i="15" s="1"/>
  <c r="M14" i="15"/>
  <c r="Q14" i="15"/>
  <c r="U14" i="15"/>
  <c r="M15" i="15"/>
  <c r="Q15" i="15"/>
  <c r="U15" i="15" s="1"/>
  <c r="M16" i="15"/>
  <c r="Q16" i="15"/>
  <c r="U16" i="15" s="1"/>
  <c r="M17" i="15"/>
  <c r="Q17" i="15"/>
  <c r="U17" i="15" s="1"/>
  <c r="M18" i="15"/>
  <c r="Q18" i="15"/>
  <c r="S18" i="15"/>
  <c r="M19" i="15"/>
  <c r="Q19" i="15"/>
  <c r="S19" i="15" s="1"/>
  <c r="U19" i="15" s="1"/>
  <c r="M20" i="15"/>
  <c r="Q20" i="15"/>
  <c r="S20" i="15" s="1"/>
  <c r="U20" i="15" s="1"/>
  <c r="M21" i="15"/>
  <c r="Q21" i="15"/>
  <c r="U21" i="15" s="1"/>
  <c r="M22" i="15"/>
  <c r="Q22" i="15"/>
  <c r="S22" i="15" s="1"/>
  <c r="M23" i="15"/>
  <c r="Q23" i="15"/>
  <c r="M24" i="15"/>
  <c r="Q24" i="15"/>
  <c r="U24" i="15" s="1"/>
  <c r="M25" i="15"/>
  <c r="Q25" i="15"/>
  <c r="U25" i="15" s="1"/>
  <c r="M26" i="15"/>
  <c r="Q26" i="15"/>
  <c r="U26" i="15" s="1"/>
  <c r="M27" i="15"/>
  <c r="Q27" i="15"/>
  <c r="U27" i="15" s="1"/>
  <c r="M28" i="15"/>
  <c r="Q28" i="15"/>
  <c r="U28" i="15" s="1"/>
  <c r="M29" i="15"/>
  <c r="Q29" i="15"/>
  <c r="U29" i="15" s="1"/>
  <c r="M30" i="15"/>
  <c r="Q30" i="15"/>
  <c r="U30" i="15" s="1"/>
  <c r="M31" i="15"/>
  <c r="Q31" i="15"/>
  <c r="U31" i="15" s="1"/>
  <c r="M32" i="15"/>
  <c r="Q32" i="15"/>
  <c r="U32" i="15" s="1"/>
  <c r="M33" i="15"/>
  <c r="Q33" i="15"/>
  <c r="U33" i="15"/>
  <c r="M34" i="15"/>
  <c r="Q34" i="15"/>
  <c r="S34" i="15"/>
  <c r="M35" i="15"/>
  <c r="Q35" i="15"/>
  <c r="S35" i="15" s="1"/>
  <c r="U35" i="15" s="1"/>
  <c r="M36" i="15"/>
  <c r="Q36" i="15"/>
  <c r="S36" i="15" s="1"/>
  <c r="U36" i="15" s="1"/>
  <c r="M37" i="15"/>
  <c r="Q37" i="15"/>
  <c r="U37" i="15" s="1"/>
  <c r="M38" i="15"/>
  <c r="Q38" i="15"/>
  <c r="U38" i="15" s="1"/>
  <c r="M39" i="15"/>
  <c r="Q39" i="15"/>
  <c r="U39" i="15" s="1"/>
  <c r="M40" i="15"/>
  <c r="Q40" i="15"/>
  <c r="U40" i="15" s="1"/>
  <c r="M41" i="15"/>
  <c r="Q41" i="15"/>
  <c r="U41" i="15" s="1"/>
  <c r="M42" i="15"/>
  <c r="Q42" i="15"/>
  <c r="U42" i="15" s="1"/>
  <c r="M43" i="15"/>
  <c r="Q43" i="15"/>
  <c r="U43" i="15" s="1"/>
  <c r="M44" i="15"/>
  <c r="Q44" i="15"/>
  <c r="U44" i="15" s="1"/>
  <c r="M45" i="15"/>
  <c r="Q45" i="15"/>
  <c r="U45" i="15" s="1"/>
  <c r="M46" i="15"/>
  <c r="Q46" i="15"/>
  <c r="U46" i="15" s="1"/>
  <c r="M47" i="15"/>
  <c r="Q47" i="15"/>
  <c r="U47" i="15" s="1"/>
  <c r="M48" i="15"/>
  <c r="Q48" i="15"/>
  <c r="U48" i="15"/>
  <c r="M49" i="15"/>
  <c r="Q49" i="15"/>
  <c r="U49" i="15" s="1"/>
  <c r="P50" i="15"/>
  <c r="Q50" i="15" s="1"/>
  <c r="U50" i="15" s="1"/>
  <c r="M51" i="15"/>
  <c r="Q51" i="15"/>
  <c r="U51" i="15" s="1"/>
  <c r="M52" i="15"/>
  <c r="Q52" i="15"/>
  <c r="U52" i="15" s="1"/>
  <c r="M53" i="15"/>
  <c r="Q53" i="15"/>
  <c r="U53" i="15" s="1"/>
  <c r="M54" i="15"/>
  <c r="Q54" i="15"/>
  <c r="U54" i="15" s="1"/>
  <c r="M55" i="15"/>
  <c r="Q55" i="15"/>
  <c r="U55" i="15" s="1"/>
  <c r="M56" i="15"/>
  <c r="Q56" i="15"/>
  <c r="U56" i="15" s="1"/>
  <c r="M57" i="15"/>
  <c r="Q57" i="15"/>
  <c r="U57" i="15" s="1"/>
  <c r="M58" i="15"/>
  <c r="Q58" i="15"/>
  <c r="U58" i="15" s="1"/>
  <c r="M59" i="15"/>
  <c r="Q59" i="15"/>
  <c r="U59" i="15" s="1"/>
  <c r="M60" i="15"/>
  <c r="Q60" i="15"/>
  <c r="U60" i="15" s="1"/>
  <c r="M61" i="15"/>
  <c r="Q61" i="15"/>
  <c r="U61" i="15"/>
  <c r="M62" i="15"/>
  <c r="Q62" i="15"/>
  <c r="U62" i="15" s="1"/>
  <c r="M63" i="15"/>
  <c r="Q63" i="15"/>
  <c r="U63" i="15" s="1"/>
  <c r="M64" i="15"/>
  <c r="Q64" i="15"/>
  <c r="U64" i="15" s="1"/>
  <c r="M65" i="15"/>
  <c r="Q65" i="15"/>
  <c r="U65" i="15" s="1"/>
  <c r="M66" i="15"/>
  <c r="Q66" i="15"/>
  <c r="U66" i="15" s="1"/>
  <c r="M67" i="15"/>
  <c r="Q67" i="15"/>
  <c r="U67" i="15" s="1"/>
  <c r="M68" i="15"/>
  <c r="Q68" i="15"/>
  <c r="U68" i="15" s="1"/>
  <c r="M69" i="15"/>
  <c r="Q69" i="15"/>
  <c r="U69" i="15" s="1"/>
  <c r="M70" i="15"/>
  <c r="Q70" i="15"/>
  <c r="U70" i="15" s="1"/>
  <c r="M71" i="15"/>
  <c r="Q71" i="15"/>
  <c r="U71" i="15" s="1"/>
  <c r="M72" i="15"/>
  <c r="Q72" i="15"/>
  <c r="U72" i="15" s="1"/>
  <c r="M73" i="15"/>
  <c r="Q73" i="15"/>
  <c r="U73" i="15" s="1"/>
  <c r="M74" i="15"/>
  <c r="Q74" i="15"/>
  <c r="U74" i="15"/>
  <c r="M75" i="15"/>
  <c r="Q75" i="15"/>
  <c r="U75" i="15" s="1"/>
  <c r="M76" i="15"/>
  <c r="Q76" i="15"/>
  <c r="U76" i="15" s="1"/>
  <c r="M77" i="15"/>
  <c r="Q77" i="15"/>
  <c r="U77" i="15"/>
  <c r="M78" i="15"/>
  <c r="Q78" i="15"/>
  <c r="U78" i="15" s="1"/>
  <c r="M79" i="15"/>
  <c r="Q79" i="15"/>
  <c r="U79" i="15" s="1"/>
  <c r="M80" i="15"/>
  <c r="Q80" i="15"/>
  <c r="U80" i="15" s="1"/>
  <c r="M81" i="15"/>
  <c r="Q81" i="15"/>
  <c r="U81" i="15" s="1"/>
  <c r="M82" i="15"/>
  <c r="Q82" i="15"/>
  <c r="U82" i="15" s="1"/>
  <c r="M83" i="15"/>
  <c r="Q83" i="15"/>
  <c r="U83" i="15" s="1"/>
  <c r="M84" i="15"/>
  <c r="Q84" i="15"/>
  <c r="U84" i="15" s="1"/>
  <c r="M85" i="15"/>
  <c r="Q85" i="15"/>
  <c r="U85" i="15" s="1"/>
  <c r="M86" i="15"/>
  <c r="Q86" i="15"/>
  <c r="U86" i="15" s="1"/>
  <c r="M87" i="15"/>
  <c r="Q87" i="15"/>
  <c r="U87" i="15" s="1"/>
  <c r="M88" i="15"/>
  <c r="Q88" i="15"/>
  <c r="U88" i="15" s="1"/>
  <c r="M89" i="15"/>
  <c r="Q89" i="15"/>
  <c r="U89" i="15" s="1"/>
  <c r="M90" i="15"/>
  <c r="Q90" i="15"/>
  <c r="U90" i="15" s="1"/>
  <c r="M91" i="15"/>
  <c r="Q91" i="15"/>
  <c r="U91" i="15" s="1"/>
  <c r="M92" i="15"/>
  <c r="Q92" i="15"/>
  <c r="U92" i="15" s="1"/>
  <c r="M93" i="15"/>
  <c r="Q93" i="15"/>
  <c r="U93" i="15"/>
  <c r="M94" i="15"/>
  <c r="Q94" i="15"/>
  <c r="U94" i="15" s="1"/>
  <c r="M95" i="15"/>
  <c r="Q95" i="15"/>
  <c r="U95" i="15" s="1"/>
  <c r="M96" i="15"/>
  <c r="Q96" i="15"/>
  <c r="U96" i="15" s="1"/>
  <c r="M97" i="15"/>
  <c r="Q97" i="15"/>
  <c r="U97" i="15" s="1"/>
  <c r="P98" i="15"/>
  <c r="Q98" i="15" s="1"/>
  <c r="R98" i="15" s="1"/>
  <c r="P99" i="15"/>
  <c r="Q99" i="15" s="1"/>
  <c r="P100" i="15"/>
  <c r="Q100" i="15" s="1"/>
  <c r="R100" i="15" s="1"/>
  <c r="P101" i="15"/>
  <c r="Q101" i="15" s="1"/>
  <c r="P102" i="15"/>
  <c r="Q102" i="15"/>
  <c r="R102" i="15" s="1"/>
  <c r="P103" i="15"/>
  <c r="Q103" i="15" s="1"/>
  <c r="S103" i="15" s="1"/>
  <c r="P104" i="15"/>
  <c r="Q104" i="15" s="1"/>
  <c r="P105" i="15"/>
  <c r="Q105" i="15" s="1"/>
  <c r="P106" i="15"/>
  <c r="Q106" i="15" s="1"/>
  <c r="S106" i="15" s="1"/>
  <c r="P107" i="15"/>
  <c r="Q107" i="15" s="1"/>
  <c r="R107" i="15" s="1"/>
  <c r="M108" i="15"/>
  <c r="Q108" i="15"/>
  <c r="U108" i="15" s="1"/>
  <c r="M109" i="15"/>
  <c r="Q109" i="15"/>
  <c r="U109" i="15" s="1"/>
  <c r="M110" i="15"/>
  <c r="Q110" i="15"/>
  <c r="U110" i="15" s="1"/>
  <c r="M111" i="15"/>
  <c r="Q111" i="15"/>
  <c r="U111" i="15" s="1"/>
  <c r="M112" i="15"/>
  <c r="Q112" i="15"/>
  <c r="U112" i="15" s="1"/>
  <c r="M113" i="15"/>
  <c r="Q113" i="15"/>
  <c r="U113" i="15" s="1"/>
  <c r="M114" i="15"/>
  <c r="Q114" i="15"/>
  <c r="U114" i="15" s="1"/>
  <c r="M115" i="15"/>
  <c r="Q115" i="15"/>
  <c r="U115" i="15" s="1"/>
  <c r="M116" i="15"/>
  <c r="Q116" i="15"/>
  <c r="U116" i="15" s="1"/>
  <c r="M117" i="15"/>
  <c r="Q117" i="15"/>
  <c r="U117" i="15" s="1"/>
  <c r="M118" i="15"/>
  <c r="Q118" i="15"/>
  <c r="U118" i="15" s="1"/>
  <c r="M119" i="15"/>
  <c r="Q119" i="15"/>
  <c r="U119" i="15" s="1"/>
  <c r="M120" i="15"/>
  <c r="Q120" i="15"/>
  <c r="U120" i="15"/>
  <c r="P121" i="15"/>
  <c r="Q121" i="15" s="1"/>
  <c r="S121" i="15" s="1"/>
  <c r="P122" i="15"/>
  <c r="Q122" i="15" s="1"/>
  <c r="P123" i="15"/>
  <c r="Q123" i="15" s="1"/>
  <c r="P124" i="15"/>
  <c r="Q124" i="15" s="1"/>
  <c r="S124" i="15" s="1"/>
  <c r="P125" i="15"/>
  <c r="Q125" i="15" s="1"/>
  <c r="R125" i="15" s="1"/>
  <c r="M126" i="15"/>
  <c r="Q126" i="15"/>
  <c r="U126" i="15" s="1"/>
  <c r="M127" i="15"/>
  <c r="Q127" i="15"/>
  <c r="U127" i="15" s="1"/>
  <c r="M128" i="15"/>
  <c r="Q128" i="15"/>
  <c r="U128" i="15" s="1"/>
  <c r="M129" i="15"/>
  <c r="Q129" i="15"/>
  <c r="U129" i="15" s="1"/>
  <c r="M130" i="15"/>
  <c r="Q130" i="15"/>
  <c r="U130" i="15" s="1"/>
  <c r="M131" i="15"/>
  <c r="Q131" i="15"/>
  <c r="U131" i="15"/>
  <c r="M132" i="15"/>
  <c r="Q132" i="15"/>
  <c r="U132" i="15" s="1"/>
  <c r="M133" i="15"/>
  <c r="Q133" i="15"/>
  <c r="U133" i="15" s="1"/>
  <c r="M134" i="15"/>
  <c r="Q134" i="15"/>
  <c r="U134" i="15" s="1"/>
  <c r="M135" i="15"/>
  <c r="Q135" i="15"/>
  <c r="U135" i="15" s="1"/>
  <c r="M136" i="15"/>
  <c r="Q136" i="15"/>
  <c r="U136" i="15" s="1"/>
  <c r="M137" i="15"/>
  <c r="Q137" i="15"/>
  <c r="U137" i="15"/>
  <c r="M138" i="15"/>
  <c r="Q138" i="15"/>
  <c r="U138" i="15" s="1"/>
  <c r="M139" i="15"/>
  <c r="Q139" i="15"/>
  <c r="U139" i="15" s="1"/>
  <c r="M140" i="15"/>
  <c r="Q140" i="15"/>
  <c r="U140" i="15" s="1"/>
  <c r="M141" i="15"/>
  <c r="Q141" i="15"/>
  <c r="U141" i="15" s="1"/>
  <c r="M142" i="15"/>
  <c r="Q142" i="15"/>
  <c r="U142" i="15" s="1"/>
  <c r="M143" i="15"/>
  <c r="Q143" i="15"/>
  <c r="U143" i="15" s="1"/>
  <c r="M144" i="15"/>
  <c r="Q144" i="15"/>
  <c r="U144" i="15"/>
  <c r="M145" i="15"/>
  <c r="Q145" i="15"/>
  <c r="U145" i="15" s="1"/>
  <c r="M146" i="15"/>
  <c r="Q146" i="15"/>
  <c r="U146" i="15" s="1"/>
  <c r="M147" i="15"/>
  <c r="Q147" i="15"/>
  <c r="U147" i="15" s="1"/>
  <c r="M148" i="15"/>
  <c r="Q148" i="15"/>
  <c r="U148" i="15" s="1"/>
  <c r="M149" i="15"/>
  <c r="Q149" i="15"/>
  <c r="U149" i="15" s="1"/>
  <c r="M150" i="15"/>
  <c r="Q150" i="15"/>
  <c r="U150" i="15"/>
  <c r="M151" i="15"/>
  <c r="Q151" i="15"/>
  <c r="U151" i="15" s="1"/>
  <c r="M152" i="15"/>
  <c r="Q152" i="15"/>
  <c r="U152" i="15" s="1"/>
  <c r="M153" i="15"/>
  <c r="Q153" i="15"/>
  <c r="U153" i="15" s="1"/>
  <c r="M154" i="15"/>
  <c r="Q154" i="15"/>
  <c r="U154" i="15"/>
  <c r="M155" i="15"/>
  <c r="Q155" i="15"/>
  <c r="U155" i="15" s="1"/>
  <c r="M156" i="15"/>
  <c r="Q156" i="15"/>
  <c r="U156" i="15" s="1"/>
  <c r="M157" i="15"/>
  <c r="Q157" i="15"/>
  <c r="U157" i="15" s="1"/>
  <c r="M158" i="15"/>
  <c r="Q158" i="15"/>
  <c r="U158" i="15" s="1"/>
  <c r="M159" i="15"/>
  <c r="Q159" i="15"/>
  <c r="U159" i="15" s="1"/>
  <c r="M160" i="15"/>
  <c r="Q160" i="15"/>
  <c r="U160" i="15" s="1"/>
  <c r="M161" i="15"/>
  <c r="Q161" i="15"/>
  <c r="U161" i="15" s="1"/>
  <c r="M162" i="15"/>
  <c r="Q162" i="15"/>
  <c r="U162" i="15" s="1"/>
  <c r="M163" i="15"/>
  <c r="Q163" i="15"/>
  <c r="S163" i="15" s="1"/>
  <c r="U163" i="15" s="1"/>
  <c r="M164" i="15"/>
  <c r="Q164" i="15"/>
  <c r="S164" i="15" s="1"/>
  <c r="M165" i="15"/>
  <c r="Q165" i="15"/>
  <c r="S165" i="15" s="1"/>
  <c r="M166" i="15"/>
  <c r="Q166" i="15"/>
  <c r="S166" i="15" s="1"/>
  <c r="M167" i="15"/>
  <c r="Q167" i="15"/>
  <c r="S167" i="15" s="1"/>
  <c r="M168" i="15"/>
  <c r="Q168" i="15"/>
  <c r="S168" i="15" s="1"/>
  <c r="U168" i="15" s="1"/>
  <c r="P169" i="15"/>
  <c r="Q169" i="15"/>
  <c r="R169" i="15" s="1"/>
  <c r="M170" i="15"/>
  <c r="Q170" i="15"/>
  <c r="U170" i="15" s="1"/>
  <c r="M171" i="15"/>
  <c r="Q171" i="15"/>
  <c r="S171" i="15" s="1"/>
  <c r="M172" i="15"/>
  <c r="Q172" i="15"/>
  <c r="S172" i="15" s="1"/>
  <c r="M173" i="15"/>
  <c r="Q173" i="15"/>
  <c r="S173" i="15" s="1"/>
  <c r="U173" i="15" s="1"/>
  <c r="M174" i="15"/>
  <c r="Q174" i="15"/>
  <c r="U174" i="15" s="1"/>
  <c r="P175" i="15"/>
  <c r="Q175" i="15" s="1"/>
  <c r="R175" i="15" s="1"/>
  <c r="M176" i="15"/>
  <c r="Q176" i="15"/>
  <c r="U176" i="15" s="1"/>
  <c r="M177" i="15"/>
  <c r="Q177" i="15"/>
  <c r="U177" i="15" s="1"/>
  <c r="M178" i="15"/>
  <c r="Q178" i="15"/>
  <c r="U178" i="15" s="1"/>
  <c r="M179" i="15"/>
  <c r="Q179" i="15"/>
  <c r="U179" i="15" s="1"/>
  <c r="M180" i="15"/>
  <c r="Q180" i="15"/>
  <c r="U180" i="15" s="1"/>
  <c r="M181" i="15"/>
  <c r="Q181" i="15"/>
  <c r="U181" i="15" s="1"/>
  <c r="M182" i="15"/>
  <c r="Q182" i="15"/>
  <c r="U182" i="15" s="1"/>
  <c r="M183" i="15"/>
  <c r="Q183" i="15"/>
  <c r="U183" i="15" s="1"/>
  <c r="R192" i="15"/>
  <c r="M8" i="14"/>
  <c r="Q8" i="14"/>
  <c r="S8" i="14" s="1"/>
  <c r="M9" i="14"/>
  <c r="Q9" i="14"/>
  <c r="S9" i="14" s="1"/>
  <c r="U9" i="14" s="1"/>
  <c r="M10" i="14"/>
  <c r="Q10" i="14"/>
  <c r="U10" i="14"/>
  <c r="M11" i="14"/>
  <c r="Q11" i="14"/>
  <c r="U11" i="14"/>
  <c r="M12" i="14"/>
  <c r="Q12" i="14"/>
  <c r="U12" i="14" s="1"/>
  <c r="M13" i="14"/>
  <c r="Q13" i="14"/>
  <c r="U13" i="14" s="1"/>
  <c r="M14" i="14"/>
  <c r="Q14" i="14"/>
  <c r="U14" i="14" s="1"/>
  <c r="Q15" i="14"/>
  <c r="U15" i="14" s="1"/>
  <c r="Q16" i="14"/>
  <c r="U16" i="14"/>
  <c r="Q17" i="14"/>
  <c r="U17" i="14" s="1"/>
  <c r="M18" i="14"/>
  <c r="Q18" i="14"/>
  <c r="U18" i="14" s="1"/>
  <c r="M19" i="14"/>
  <c r="Q19" i="14"/>
  <c r="M20" i="14"/>
  <c r="Q20" i="14"/>
  <c r="U20" i="14" s="1"/>
  <c r="M21" i="14"/>
  <c r="Q21" i="14"/>
  <c r="U21" i="14" s="1"/>
  <c r="Q22" i="14"/>
  <c r="S22" i="14" s="1"/>
  <c r="U22" i="14" s="1"/>
  <c r="M23" i="14"/>
  <c r="Q23" i="14"/>
  <c r="U23" i="14" s="1"/>
  <c r="M24" i="14"/>
  <c r="Q24" i="14"/>
  <c r="U24" i="14" s="1"/>
  <c r="M25" i="14"/>
  <c r="Q25" i="14"/>
  <c r="U25" i="14" s="1"/>
  <c r="M26" i="14"/>
  <c r="Q26" i="14"/>
  <c r="U26" i="14" s="1"/>
  <c r="M27" i="14"/>
  <c r="Q27" i="14"/>
  <c r="U27" i="14" s="1"/>
  <c r="M28" i="14"/>
  <c r="Q28" i="14"/>
  <c r="U28" i="14" s="1"/>
  <c r="M29" i="14"/>
  <c r="Q29" i="14"/>
  <c r="U29" i="14"/>
  <c r="M30" i="14"/>
  <c r="Q30" i="14"/>
  <c r="U30" i="14" s="1"/>
  <c r="M31" i="14"/>
  <c r="Q31" i="14"/>
  <c r="U31" i="14"/>
  <c r="M32" i="14"/>
  <c r="Q32" i="14"/>
  <c r="U32" i="14" s="1"/>
  <c r="M33" i="14"/>
  <c r="Q33" i="14"/>
  <c r="U33" i="14" s="1"/>
  <c r="Q34" i="14"/>
  <c r="U34" i="14" s="1"/>
  <c r="Q35" i="14"/>
  <c r="U35" i="14" s="1"/>
  <c r="M36" i="14"/>
  <c r="Q36" i="14"/>
  <c r="U36" i="14" s="1"/>
  <c r="M37" i="14"/>
  <c r="Q37" i="14"/>
  <c r="U37" i="14" s="1"/>
  <c r="M38" i="14"/>
  <c r="Q38" i="14"/>
  <c r="S38" i="14" s="1"/>
  <c r="U38" i="14" s="1"/>
  <c r="M39" i="14"/>
  <c r="Q39" i="14"/>
  <c r="M40" i="14"/>
  <c r="Q40" i="14"/>
  <c r="U40" i="14" s="1"/>
  <c r="M41" i="14"/>
  <c r="Q41" i="14"/>
  <c r="U41" i="14" s="1"/>
  <c r="Q42" i="14"/>
  <c r="U42" i="14" s="1"/>
  <c r="M43" i="14"/>
  <c r="Q43" i="14"/>
  <c r="U43" i="14" s="1"/>
  <c r="M44" i="14"/>
  <c r="Q44" i="14"/>
  <c r="U44" i="14" s="1"/>
  <c r="M45" i="14"/>
  <c r="Q45" i="14"/>
  <c r="U45" i="14" s="1"/>
  <c r="M46" i="14"/>
  <c r="Q46" i="14"/>
  <c r="U46" i="14" s="1"/>
  <c r="M47" i="14"/>
  <c r="Q47" i="14"/>
  <c r="S47" i="14" s="1"/>
  <c r="U47" i="14" s="1"/>
  <c r="M48" i="14"/>
  <c r="Q48" i="14"/>
  <c r="U48" i="14" s="1"/>
  <c r="M49" i="14"/>
  <c r="Q49" i="14"/>
  <c r="U49" i="14"/>
  <c r="M50" i="14"/>
  <c r="Q50" i="14"/>
  <c r="U50" i="14"/>
  <c r="M51" i="14"/>
  <c r="Q51" i="14"/>
  <c r="U51" i="14" s="1"/>
  <c r="M52" i="14"/>
  <c r="Q52" i="14"/>
  <c r="U52" i="14" s="1"/>
  <c r="M53" i="14"/>
  <c r="Q53" i="14"/>
  <c r="U53" i="14" s="1"/>
  <c r="M54" i="14"/>
  <c r="Q54" i="14"/>
  <c r="S54" i="14" s="1"/>
  <c r="M55" i="14"/>
  <c r="Q55" i="14"/>
  <c r="U55" i="14" s="1"/>
  <c r="M56" i="14"/>
  <c r="Q56" i="14"/>
  <c r="U56" i="14"/>
  <c r="M57" i="14"/>
  <c r="Q57" i="14"/>
  <c r="U57" i="14" s="1"/>
  <c r="M58" i="14"/>
  <c r="Q58" i="14"/>
  <c r="U58" i="14" s="1"/>
  <c r="M59" i="14"/>
  <c r="Q59" i="14"/>
  <c r="U59" i="14" s="1"/>
  <c r="M60" i="14"/>
  <c r="Q60" i="14"/>
  <c r="U60" i="14" s="1"/>
  <c r="M61" i="14"/>
  <c r="Q61" i="14"/>
  <c r="U61" i="14" s="1"/>
  <c r="M62" i="14"/>
  <c r="Q62" i="14"/>
  <c r="U62" i="14" s="1"/>
  <c r="M63" i="14"/>
  <c r="Q63" i="14"/>
  <c r="U63" i="14" s="1"/>
  <c r="M64" i="14"/>
  <c r="Q64" i="14"/>
  <c r="U64" i="14" s="1"/>
  <c r="M65" i="14"/>
  <c r="Q65" i="14"/>
  <c r="U65" i="14" s="1"/>
  <c r="M66" i="14"/>
  <c r="Q66" i="14"/>
  <c r="U66" i="14" s="1"/>
  <c r="M67" i="14"/>
  <c r="Q67" i="14"/>
  <c r="U67" i="14" s="1"/>
  <c r="M68" i="14"/>
  <c r="Q68" i="14"/>
  <c r="U68" i="14" s="1"/>
  <c r="M69" i="14"/>
  <c r="Q69" i="14"/>
  <c r="U69" i="14" s="1"/>
  <c r="Q70" i="14"/>
  <c r="U70" i="14" s="1"/>
  <c r="M71" i="14"/>
  <c r="Q71" i="14"/>
  <c r="S71" i="14" s="1"/>
  <c r="Q72" i="14"/>
  <c r="U72" i="14" s="1"/>
  <c r="M73" i="14"/>
  <c r="Q73" i="14"/>
  <c r="U73" i="14" s="1"/>
  <c r="M74" i="14"/>
  <c r="Q74" i="14"/>
  <c r="U74" i="14" s="1"/>
  <c r="M75" i="14"/>
  <c r="Q75" i="14"/>
  <c r="U75" i="14" s="1"/>
  <c r="M76" i="14"/>
  <c r="Q76" i="14"/>
  <c r="U76" i="14" s="1"/>
  <c r="M77" i="14"/>
  <c r="Q77" i="14"/>
  <c r="U77" i="14" s="1"/>
  <c r="Q78" i="14"/>
  <c r="U78" i="14" s="1"/>
  <c r="Q79" i="14"/>
  <c r="U79" i="14" s="1"/>
  <c r="Q80" i="14"/>
  <c r="U80" i="14" s="1"/>
  <c r="Q81" i="14"/>
  <c r="U81" i="14" s="1"/>
  <c r="Q82" i="14"/>
  <c r="S82" i="14" s="1"/>
  <c r="M83" i="14"/>
  <c r="Q83" i="14"/>
  <c r="U83" i="14" s="1"/>
  <c r="M84" i="14"/>
  <c r="Q84" i="14"/>
  <c r="U84" i="14" s="1"/>
  <c r="M85" i="14"/>
  <c r="Q85" i="14"/>
  <c r="U85" i="14"/>
  <c r="M86" i="14"/>
  <c r="Q86" i="14"/>
  <c r="U86" i="14" s="1"/>
  <c r="M87" i="14"/>
  <c r="Q87" i="14"/>
  <c r="U87" i="14" s="1"/>
  <c r="M88" i="14"/>
  <c r="Q88" i="14"/>
  <c r="U88" i="14" s="1"/>
  <c r="M89" i="14"/>
  <c r="Q89" i="14"/>
  <c r="U89" i="14" s="1"/>
  <c r="M90" i="14"/>
  <c r="Q90" i="14"/>
  <c r="U90" i="14" s="1"/>
  <c r="Q91" i="14"/>
  <c r="U91" i="14" s="1"/>
  <c r="Q92" i="14"/>
  <c r="S92" i="14" s="1"/>
  <c r="Q93" i="14"/>
  <c r="U93" i="14" s="1"/>
  <c r="Q94" i="14"/>
  <c r="U94" i="14" s="1"/>
  <c r="Q95" i="14"/>
  <c r="U95" i="14" s="1"/>
  <c r="M96" i="14"/>
  <c r="Q96" i="14"/>
  <c r="U96" i="14" s="1"/>
  <c r="Q97" i="14"/>
  <c r="U97" i="14" s="1"/>
  <c r="Q98" i="14"/>
  <c r="U98" i="14" s="1"/>
  <c r="Q99" i="14"/>
  <c r="U99" i="14" s="1"/>
  <c r="Q100" i="14"/>
  <c r="U100" i="14" s="1"/>
  <c r="Q101" i="14"/>
  <c r="S101" i="14" s="1"/>
  <c r="Q102" i="14"/>
  <c r="S102" i="14" s="1"/>
  <c r="Q103" i="14"/>
  <c r="U103" i="14" s="1"/>
  <c r="Q104" i="14"/>
  <c r="S104" i="14" s="1"/>
  <c r="M105" i="14"/>
  <c r="Q105" i="14"/>
  <c r="U105" i="14" s="1"/>
  <c r="M106" i="14"/>
  <c r="Q106" i="14"/>
  <c r="U106" i="14" s="1"/>
  <c r="M107" i="14"/>
  <c r="Q107" i="14"/>
  <c r="U107" i="14" s="1"/>
  <c r="M108" i="14"/>
  <c r="Q108" i="14"/>
  <c r="U108" i="14" s="1"/>
  <c r="M109" i="14"/>
  <c r="Q109" i="14"/>
  <c r="U109" i="14" s="1"/>
  <c r="M110" i="14"/>
  <c r="Q110" i="14"/>
  <c r="U110" i="14" s="1"/>
  <c r="M111" i="14"/>
  <c r="Q111" i="14"/>
  <c r="U111" i="14" s="1"/>
  <c r="M112" i="14"/>
  <c r="Q112" i="14"/>
  <c r="U112" i="14" s="1"/>
  <c r="M113" i="14"/>
  <c r="Q113" i="14"/>
  <c r="U113" i="14" s="1"/>
  <c r="M114" i="14"/>
  <c r="Q114" i="14"/>
  <c r="U114" i="14" s="1"/>
  <c r="Q115" i="14"/>
  <c r="U115" i="14" s="1"/>
  <c r="M116" i="14"/>
  <c r="Q116" i="14"/>
  <c r="U116" i="14" s="1"/>
  <c r="M117" i="14"/>
  <c r="Q117" i="14"/>
  <c r="S117" i="14" s="1"/>
  <c r="M118" i="14"/>
  <c r="Q118" i="14"/>
  <c r="U118" i="14"/>
  <c r="P119" i="14"/>
  <c r="Q119" i="14" s="1"/>
  <c r="U119" i="14" s="1"/>
  <c r="P120" i="14"/>
  <c r="Q120" i="14" s="1"/>
  <c r="R120" i="14" s="1"/>
  <c r="P121" i="14"/>
  <c r="Q121" i="14" s="1"/>
  <c r="S121" i="14" s="1"/>
  <c r="P122" i="14"/>
  <c r="Q122" i="14" s="1"/>
  <c r="P123" i="14"/>
  <c r="Q123" i="14" s="1"/>
  <c r="P124" i="14"/>
  <c r="Q124" i="14" s="1"/>
  <c r="P125" i="14"/>
  <c r="Q125" i="14" s="1"/>
  <c r="P126" i="14"/>
  <c r="Q126" i="14" s="1"/>
  <c r="S126" i="14" s="1"/>
  <c r="P127" i="14"/>
  <c r="Q127" i="14" s="1"/>
  <c r="R127" i="14" s="1"/>
  <c r="P128" i="14"/>
  <c r="Q128" i="14" s="1"/>
  <c r="P129" i="14"/>
  <c r="Q129" i="14" s="1"/>
  <c r="P130" i="14"/>
  <c r="Q130" i="14"/>
  <c r="R130" i="14" s="1"/>
  <c r="U130" i="14" s="1"/>
  <c r="P131" i="14"/>
  <c r="Q131" i="14" s="1"/>
  <c r="R131" i="14" s="1"/>
  <c r="P133" i="14"/>
  <c r="Q133" i="14" s="1"/>
  <c r="P134" i="14"/>
  <c r="Q134" i="14" s="1"/>
  <c r="P135" i="14"/>
  <c r="P136" i="14"/>
  <c r="T136" i="14" s="1"/>
  <c r="P137" i="14"/>
  <c r="T137" i="14" s="1"/>
  <c r="Q137" i="14" s="1"/>
  <c r="P138" i="14"/>
  <c r="Q138" i="14" s="1"/>
  <c r="R149" i="14"/>
  <c r="R184" i="28"/>
  <c r="T184" i="28" s="1"/>
  <c r="R151" i="28"/>
  <c r="R52" i="28"/>
  <c r="T52" i="28" s="1"/>
  <c r="R44" i="28"/>
  <c r="T44" i="28" s="1"/>
  <c r="R84" i="19"/>
  <c r="T84" i="19" s="1"/>
  <c r="R121" i="14"/>
  <c r="U82" i="14"/>
  <c r="U71" i="14"/>
  <c r="S39" i="14"/>
  <c r="U39" i="14" s="1"/>
  <c r="S19" i="14"/>
  <c r="U19" i="14" s="1"/>
  <c r="T44" i="29"/>
  <c r="T45" i="29"/>
  <c r="T151" i="28"/>
  <c r="R82" i="28"/>
  <c r="T82" i="28" s="1"/>
  <c r="T21" i="19"/>
  <c r="T118" i="19"/>
  <c r="R16" i="19"/>
  <c r="T16" i="19"/>
  <c r="T9" i="19"/>
  <c r="Q168" i="28"/>
  <c r="R15" i="28"/>
  <c r="Q197" i="28"/>
  <c r="R197" i="28"/>
  <c r="T96" i="28"/>
  <c r="R120" i="28"/>
  <c r="T120" i="28" s="1"/>
  <c r="R86" i="28"/>
  <c r="T86" i="28" s="1"/>
  <c r="T81" i="28"/>
  <c r="R51" i="28"/>
  <c r="T51" i="28" s="1"/>
  <c r="R14" i="28"/>
  <c r="R90" i="28"/>
  <c r="T31" i="29"/>
  <c r="T82" i="29"/>
  <c r="Q17" i="26"/>
  <c r="T17" i="26" s="1"/>
  <c r="R26" i="26"/>
  <c r="T26" i="26" s="1"/>
  <c r="R24" i="26"/>
  <c r="T24" i="26" s="1"/>
  <c r="R122" i="29"/>
  <c r="T125" i="29"/>
  <c r="O6" i="29"/>
  <c r="T43" i="29"/>
  <c r="S6" i="29"/>
  <c r="Q180" i="31"/>
  <c r="Q181" i="31"/>
  <c r="Q6" i="29"/>
  <c r="R96" i="31"/>
  <c r="T96" i="31" s="1"/>
  <c r="Q134" i="19"/>
  <c r="T134" i="19" s="1"/>
  <c r="R97" i="19"/>
  <c r="T17" i="19"/>
  <c r="R151" i="19"/>
  <c r="R131" i="19"/>
  <c r="O6" i="31"/>
  <c r="T158" i="31"/>
  <c r="R38" i="31"/>
  <c r="T38" i="31"/>
  <c r="T72" i="31"/>
  <c r="R68" i="29"/>
  <c r="T68" i="29" s="1"/>
  <c r="Q6" i="31"/>
  <c r="Q99" i="26"/>
  <c r="R99" i="26"/>
  <c r="Q18" i="26"/>
  <c r="T18" i="26" s="1"/>
  <c r="R23" i="26"/>
  <c r="T23" i="26" s="1"/>
  <c r="R100" i="26"/>
  <c r="T100" i="26" s="1"/>
  <c r="R169" i="26"/>
  <c r="T169" i="26" s="1"/>
  <c r="T161" i="26"/>
  <c r="R139" i="26"/>
  <c r="T139" i="26" s="1"/>
  <c r="T74" i="26"/>
  <c r="T70" i="26"/>
  <c r="R25" i="26"/>
  <c r="T25" i="26" s="1"/>
  <c r="Q169" i="26"/>
  <c r="R102" i="26"/>
  <c r="T102" i="26" s="1"/>
  <c r="T123" i="26"/>
  <c r="T115" i="26"/>
  <c r="T58" i="26"/>
  <c r="T54" i="26"/>
  <c r="T143" i="26"/>
  <c r="T168" i="26"/>
  <c r="T160" i="26"/>
  <c r="T81" i="26"/>
  <c r="Q166" i="29"/>
  <c r="R166" i="29"/>
  <c r="R97" i="29"/>
  <c r="Q97" i="29"/>
  <c r="T97" i="29" s="1"/>
  <c r="R148" i="29"/>
  <c r="Q148" i="29"/>
  <c r="T148" i="29" s="1"/>
  <c r="R103" i="29"/>
  <c r="T77" i="29"/>
  <c r="Q172" i="29"/>
  <c r="R172" i="29"/>
  <c r="S168" i="29"/>
  <c r="Q78" i="29"/>
  <c r="T32" i="29"/>
  <c r="R141" i="29"/>
  <c r="T141" i="29" s="1"/>
  <c r="T19" i="29"/>
  <c r="T26" i="29"/>
  <c r="T22" i="29"/>
  <c r="R8" i="29"/>
  <c r="T8" i="29" s="1"/>
  <c r="T47" i="29"/>
  <c r="T101" i="32"/>
  <c r="R38" i="34"/>
  <c r="T38" i="34" s="1"/>
  <c r="Q26" i="31"/>
  <c r="R26" i="31"/>
  <c r="R13" i="31"/>
  <c r="R20" i="31"/>
  <c r="Q20" i="31"/>
  <c r="Q19" i="31"/>
  <c r="Q21" i="31"/>
  <c r="R21" i="31"/>
  <c r="T166" i="31"/>
  <c r="T109" i="31"/>
  <c r="R164" i="32"/>
  <c r="Q164" i="32"/>
  <c r="Q81" i="32"/>
  <c r="Q159" i="32"/>
  <c r="T159" i="32" s="1"/>
  <c r="R159" i="32"/>
  <c r="R160" i="32"/>
  <c r="R163" i="32"/>
  <c r="Q163" i="32"/>
  <c r="R162" i="32"/>
  <c r="Q162" i="32"/>
  <c r="T86" i="32"/>
  <c r="T87" i="32"/>
  <c r="R42" i="32"/>
  <c r="T42" i="32" s="1"/>
  <c r="R56" i="32"/>
  <c r="T56" i="32" s="1"/>
  <c r="R100" i="29" l="1"/>
  <c r="Q100" i="29"/>
  <c r="T100" i="29" s="1"/>
  <c r="T171" i="31"/>
  <c r="R151" i="29"/>
  <c r="T151" i="29" s="1"/>
  <c r="Q154" i="19"/>
  <c r="T154" i="19" s="1"/>
  <c r="T44" i="32"/>
  <c r="Q154" i="32"/>
  <c r="T154" i="32" s="1"/>
  <c r="Q18" i="31"/>
  <c r="T18" i="31" s="1"/>
  <c r="T38" i="29"/>
  <c r="R146" i="26"/>
  <c r="T146" i="26" s="1"/>
  <c r="Q147" i="19"/>
  <c r="T147" i="19" s="1"/>
  <c r="T40" i="28"/>
  <c r="R149" i="19"/>
  <c r="T149" i="19" s="1"/>
  <c r="T126" i="31"/>
  <c r="Q82" i="32"/>
  <c r="T82" i="32" s="1"/>
  <c r="R171" i="31"/>
  <c r="R167" i="28"/>
  <c r="T167" i="28" s="1"/>
  <c r="T111" i="19"/>
  <c r="P169" i="29"/>
  <c r="R169" i="29" s="1"/>
  <c r="Q8" i="28"/>
  <c r="T8" i="28" s="1"/>
  <c r="U22" i="15"/>
  <c r="Q22" i="31"/>
  <c r="T22" i="31" s="1"/>
  <c r="R22" i="31"/>
  <c r="Q105" i="29"/>
  <c r="R105" i="29"/>
  <c r="R94" i="26"/>
  <c r="Q94" i="26"/>
  <c r="T94" i="26" s="1"/>
  <c r="Q13" i="28"/>
  <c r="T13" i="28" s="1"/>
  <c r="R13" i="28"/>
  <c r="Q153" i="32"/>
  <c r="R153" i="32"/>
  <c r="Q171" i="29"/>
  <c r="R171" i="29"/>
  <c r="Q9" i="31"/>
  <c r="R9" i="31"/>
  <c r="Q30" i="31"/>
  <c r="T30" i="31" s="1"/>
  <c r="R30" i="31"/>
  <c r="R125" i="14"/>
  <c r="S125" i="14"/>
  <c r="U125" i="14" s="1"/>
  <c r="R122" i="14"/>
  <c r="S122" i="14"/>
  <c r="U122" i="14" s="1"/>
  <c r="Q172" i="31"/>
  <c r="R172" i="31"/>
  <c r="Q17" i="31"/>
  <c r="R17" i="31"/>
  <c r="T17" i="31" s="1"/>
  <c r="R96" i="29"/>
  <c r="Q96" i="29"/>
  <c r="T96" i="29" s="1"/>
  <c r="R165" i="32"/>
  <c r="Q165" i="32"/>
  <c r="T165" i="32" s="1"/>
  <c r="T6" i="31"/>
  <c r="R130" i="29"/>
  <c r="T130" i="29" s="1"/>
  <c r="R126" i="14"/>
  <c r="U126" i="14" s="1"/>
  <c r="U92" i="14"/>
  <c r="O6" i="28"/>
  <c r="R155" i="32"/>
  <c r="Q23" i="28"/>
  <c r="T23" i="28" s="1"/>
  <c r="T185" i="28"/>
  <c r="P6" i="31"/>
  <c r="Q155" i="32"/>
  <c r="T155" i="32" s="1"/>
  <c r="T20" i="31"/>
  <c r="Q20" i="26"/>
  <c r="T20" i="26" s="1"/>
  <c r="T41" i="32"/>
  <c r="Q24" i="28"/>
  <c r="T99" i="26"/>
  <c r="R11" i="31"/>
  <c r="T11" i="31" s="1"/>
  <c r="T172" i="28"/>
  <c r="R15" i="31"/>
  <c r="T15" i="31" s="1"/>
  <c r="T108" i="31"/>
  <c r="R106" i="26"/>
  <c r="T106" i="26" s="1"/>
  <c r="T166" i="29"/>
  <c r="T164" i="32"/>
  <c r="O6" i="32"/>
  <c r="T26" i="31"/>
  <c r="Q169" i="29"/>
  <c r="T169" i="29" s="1"/>
  <c r="T13" i="29"/>
  <c r="T13" i="31"/>
  <c r="Q173" i="29"/>
  <c r="T173" i="29" s="1"/>
  <c r="Q136" i="14"/>
  <c r="S134" i="14"/>
  <c r="R134" i="14"/>
  <c r="U134" i="14" s="1"/>
  <c r="R144" i="19"/>
  <c r="Q144" i="19"/>
  <c r="R19" i="26"/>
  <c r="Q19" i="26"/>
  <c r="T19" i="26"/>
  <c r="R9" i="28"/>
  <c r="Q9" i="28"/>
  <c r="T9" i="28" s="1"/>
  <c r="Q129" i="29"/>
  <c r="R129" i="29"/>
  <c r="T129" i="29" s="1"/>
  <c r="Q128" i="29"/>
  <c r="R128" i="29"/>
  <c r="Q156" i="32"/>
  <c r="R156" i="32"/>
  <c r="R170" i="29"/>
  <c r="Q170" i="29"/>
  <c r="T170" i="29" s="1"/>
  <c r="Q157" i="32"/>
  <c r="R157" i="32"/>
  <c r="R153" i="19"/>
  <c r="Q153" i="19"/>
  <c r="Q171" i="26"/>
  <c r="T171" i="26" s="1"/>
  <c r="Q19" i="28"/>
  <c r="R19" i="28"/>
  <c r="R158" i="32"/>
  <c r="Q158" i="32"/>
  <c r="T158" i="32" s="1"/>
  <c r="Q152" i="19"/>
  <c r="R152" i="19"/>
  <c r="R103" i="26"/>
  <c r="Q103" i="26"/>
  <c r="R18" i="28"/>
  <c r="Q18" i="28"/>
  <c r="T18" i="28" s="1"/>
  <c r="Q102" i="29"/>
  <c r="R102" i="29"/>
  <c r="R17" i="28"/>
  <c r="Q17" i="28"/>
  <c r="T17" i="28" s="1"/>
  <c r="R168" i="29"/>
  <c r="Q168" i="29"/>
  <c r="R101" i="29"/>
  <c r="Q101" i="29"/>
  <c r="R16" i="28"/>
  <c r="Q16" i="28"/>
  <c r="T16" i="28" s="1"/>
  <c r="Q161" i="32"/>
  <c r="R161" i="32"/>
  <c r="Q150" i="19"/>
  <c r="T150" i="19" s="1"/>
  <c r="R150" i="19"/>
  <c r="Q98" i="26"/>
  <c r="R98" i="26"/>
  <c r="Q99" i="29"/>
  <c r="R99" i="29"/>
  <c r="R23" i="31"/>
  <c r="Q23" i="31"/>
  <c r="T23" i="31" s="1"/>
  <c r="Q97" i="26"/>
  <c r="R97" i="26"/>
  <c r="T98" i="29"/>
  <c r="R151" i="32"/>
  <c r="Q151" i="32"/>
  <c r="T151" i="32" s="1"/>
  <c r="R148" i="19"/>
  <c r="Q148" i="19"/>
  <c r="T148" i="19" s="1"/>
  <c r="R96" i="26"/>
  <c r="Q96" i="26"/>
  <c r="R195" i="28"/>
  <c r="Q195" i="28"/>
  <c r="T195" i="28"/>
  <c r="R25" i="31"/>
  <c r="Q25" i="31"/>
  <c r="R152" i="32"/>
  <c r="Q152" i="32"/>
  <c r="Q95" i="26"/>
  <c r="R95" i="26"/>
  <c r="T95" i="26" s="1"/>
  <c r="R12" i="28"/>
  <c r="Q12" i="28"/>
  <c r="R10" i="31"/>
  <c r="Q10" i="31"/>
  <c r="Q14" i="31"/>
  <c r="R14" i="31"/>
  <c r="Q166" i="32"/>
  <c r="R166" i="32"/>
  <c r="S123" i="14"/>
  <c r="R123" i="14"/>
  <c r="Q11" i="28"/>
  <c r="R11" i="28"/>
  <c r="T11" i="28" s="1"/>
  <c r="Q109" i="32"/>
  <c r="R109" i="32"/>
  <c r="Q145" i="19"/>
  <c r="R145" i="19"/>
  <c r="R93" i="26"/>
  <c r="Q93" i="26"/>
  <c r="R106" i="29"/>
  <c r="Q106" i="29"/>
  <c r="T106" i="29" s="1"/>
  <c r="Q8" i="31"/>
  <c r="R8" i="31"/>
  <c r="T8" i="31" s="1"/>
  <c r="Q107" i="29"/>
  <c r="T107" i="29" s="1"/>
  <c r="R150" i="29"/>
  <c r="T150" i="29" s="1"/>
  <c r="R146" i="19"/>
  <c r="T19" i="31"/>
  <c r="Q146" i="19"/>
  <c r="T146" i="19" s="1"/>
  <c r="U164" i="15"/>
  <c r="T81" i="32"/>
  <c r="T24" i="28"/>
  <c r="T168" i="28"/>
  <c r="U169" i="15"/>
  <c r="R24" i="31"/>
  <c r="T24" i="31" s="1"/>
  <c r="T197" i="28"/>
  <c r="U34" i="15"/>
  <c r="T142" i="26"/>
  <c r="T27" i="26"/>
  <c r="P10" i="28"/>
  <c r="P6" i="28" s="1"/>
  <c r="T21" i="31"/>
  <c r="U121" i="14"/>
  <c r="T71" i="31"/>
  <c r="T78" i="29"/>
  <c r="T136" i="32"/>
  <c r="Q98" i="29"/>
  <c r="T14" i="28"/>
  <c r="U102" i="14"/>
  <c r="T101" i="28"/>
  <c r="Q101" i="26"/>
  <c r="T101" i="26" s="1"/>
  <c r="T54" i="19"/>
  <c r="R196" i="28"/>
  <c r="T196" i="28" s="1"/>
  <c r="U167" i="15"/>
  <c r="T31" i="26"/>
  <c r="T162" i="32"/>
  <c r="T151" i="19"/>
  <c r="T138" i="19"/>
  <c r="T172" i="29"/>
  <c r="R6" i="31"/>
  <c r="L6" i="31"/>
  <c r="S166" i="28"/>
  <c r="S6" i="28" s="1"/>
  <c r="T103" i="29"/>
  <c r="Q92" i="26"/>
  <c r="T92" i="26" s="1"/>
  <c r="R166" i="28"/>
  <c r="T166" i="28" s="1"/>
  <c r="T33" i="29"/>
  <c r="T120" i="32"/>
  <c r="T153" i="32"/>
  <c r="T15" i="28"/>
  <c r="T95" i="19"/>
  <c r="T29" i="26"/>
  <c r="T163" i="32"/>
  <c r="T37" i="34"/>
  <c r="T31" i="34"/>
  <c r="Q164" i="31"/>
  <c r="T164" i="31" s="1"/>
  <c r="R128" i="14"/>
  <c r="S128" i="14"/>
  <c r="R138" i="14"/>
  <c r="S138" i="14"/>
  <c r="S137" i="14"/>
  <c r="R137" i="14"/>
  <c r="U137" i="14" s="1"/>
  <c r="R133" i="14"/>
  <c r="U133" i="14" s="1"/>
  <c r="S133" i="14"/>
  <c r="R129" i="14"/>
  <c r="S129" i="14"/>
  <c r="R119" i="32"/>
  <c r="T119" i="32" s="1"/>
  <c r="R41" i="28"/>
  <c r="T41" i="28" s="1"/>
  <c r="R20" i="28"/>
  <c r="S23" i="15"/>
  <c r="O6" i="19"/>
  <c r="Q20" i="28"/>
  <c r="R124" i="15"/>
  <c r="U124" i="15" s="1"/>
  <c r="U117" i="14"/>
  <c r="R123" i="15"/>
  <c r="S123" i="15"/>
  <c r="U123" i="15"/>
  <c r="R101" i="15"/>
  <c r="S101" i="15"/>
  <c r="T144" i="29"/>
  <c r="R34" i="29"/>
  <c r="T34" i="29" s="1"/>
  <c r="R122" i="15"/>
  <c r="U122" i="15" s="1"/>
  <c r="S122" i="15"/>
  <c r="Q9" i="15"/>
  <c r="P6" i="15"/>
  <c r="Q27" i="31"/>
  <c r="T27" i="31" s="1"/>
  <c r="S100" i="15"/>
  <c r="U100" i="15" s="1"/>
  <c r="U8" i="15"/>
  <c r="P6" i="19"/>
  <c r="R121" i="15"/>
  <c r="U121" i="15" s="1"/>
  <c r="R99" i="15"/>
  <c r="S99" i="15"/>
  <c r="R112" i="32"/>
  <c r="T122" i="29"/>
  <c r="Q112" i="32"/>
  <c r="Q104" i="29"/>
  <c r="U8" i="14"/>
  <c r="R124" i="14"/>
  <c r="S124" i="14"/>
  <c r="Q22" i="28"/>
  <c r="T22" i="28" s="1"/>
  <c r="P6" i="32"/>
  <c r="R167" i="29"/>
  <c r="T167" i="29" s="1"/>
  <c r="S127" i="14"/>
  <c r="U127" i="14" s="1"/>
  <c r="U101" i="14"/>
  <c r="R106" i="15"/>
  <c r="U106" i="15" s="1"/>
  <c r="Q149" i="29"/>
  <c r="T149" i="29" s="1"/>
  <c r="T29" i="31"/>
  <c r="R104" i="29"/>
  <c r="S167" i="29"/>
  <c r="T135" i="14"/>
  <c r="T6" i="14" s="1"/>
  <c r="P6" i="14"/>
  <c r="U165" i="15"/>
  <c r="R156" i="29"/>
  <c r="T156" i="29" s="1"/>
  <c r="R29" i="31"/>
  <c r="U131" i="14"/>
  <c r="R105" i="15"/>
  <c r="S105" i="15"/>
  <c r="R76" i="31"/>
  <c r="T76" i="31"/>
  <c r="Q16" i="31"/>
  <c r="T16" i="31" s="1"/>
  <c r="Q28" i="31"/>
  <c r="T28" i="31" s="1"/>
  <c r="Q21" i="28"/>
  <c r="T21" i="28" s="1"/>
  <c r="R104" i="15"/>
  <c r="U104" i="15" s="1"/>
  <c r="S104" i="15"/>
  <c r="U18" i="15"/>
  <c r="S120" i="14"/>
  <c r="U120" i="14" s="1"/>
  <c r="P6" i="26"/>
  <c r="R103" i="15"/>
  <c r="U103" i="15" s="1"/>
  <c r="R37" i="31"/>
  <c r="T37" i="31"/>
  <c r="U172" i="15"/>
  <c r="S102" i="15"/>
  <c r="U102" i="15" s="1"/>
  <c r="U104" i="14"/>
  <c r="T105" i="32"/>
  <c r="U171" i="15"/>
  <c r="S98" i="15"/>
  <c r="U98" i="15" s="1"/>
  <c r="S175" i="15"/>
  <c r="U175" i="15" s="1"/>
  <c r="T69" i="29"/>
  <c r="T12" i="29"/>
  <c r="U54" i="14"/>
  <c r="U166" i="15"/>
  <c r="S125" i="15"/>
  <c r="U125" i="15" s="1"/>
  <c r="S107" i="15"/>
  <c r="U107" i="15" s="1"/>
  <c r="R123" i="29"/>
  <c r="R6" i="29" s="1"/>
  <c r="T172" i="31" l="1"/>
  <c r="T10" i="31"/>
  <c r="U124" i="14"/>
  <c r="T157" i="32"/>
  <c r="T9" i="31"/>
  <c r="T25" i="31"/>
  <c r="T104" i="29"/>
  <c r="T171" i="29"/>
  <c r="T166" i="32"/>
  <c r="T156" i="32"/>
  <c r="T93" i="26"/>
  <c r="T161" i="32"/>
  <c r="T128" i="29"/>
  <c r="T109" i="32"/>
  <c r="T101" i="29"/>
  <c r="T152" i="32"/>
  <c r="T168" i="29"/>
  <c r="T19" i="28"/>
  <c r="T153" i="19"/>
  <c r="U99" i="15"/>
  <c r="T105" i="29"/>
  <c r="U138" i="14"/>
  <c r="T98" i="26"/>
  <c r="T102" i="29"/>
  <c r="U101" i="15"/>
  <c r="U123" i="14"/>
  <c r="U105" i="15"/>
  <c r="T14" i="31"/>
  <c r="S136" i="14"/>
  <c r="R136" i="14"/>
  <c r="U136" i="14" s="1"/>
  <c r="T96" i="26"/>
  <c r="T144" i="19"/>
  <c r="T6" i="19" s="1"/>
  <c r="R6" i="32"/>
  <c r="U129" i="14"/>
  <c r="U128" i="14"/>
  <c r="R6" i="19"/>
  <c r="R10" i="28"/>
  <c r="Q10" i="28"/>
  <c r="Q6" i="19"/>
  <c r="Q158" i="19" s="1"/>
  <c r="Q161" i="19" s="1"/>
  <c r="T145" i="19"/>
  <c r="T97" i="26"/>
  <c r="Q6" i="32"/>
  <c r="Q135" i="14"/>
  <c r="Q6" i="14" s="1"/>
  <c r="T12" i="28"/>
  <c r="R6" i="26"/>
  <c r="T20" i="28"/>
  <c r="T99" i="29"/>
  <c r="T103" i="26"/>
  <c r="S6" i="15"/>
  <c r="T152" i="19"/>
  <c r="Q6" i="26"/>
  <c r="Q176" i="26" s="1"/>
  <c r="Q179" i="26" s="1"/>
  <c r="R9" i="15"/>
  <c r="R6" i="15" s="1"/>
  <c r="R188" i="15" s="1"/>
  <c r="R191" i="15" s="1"/>
  <c r="U9" i="15"/>
  <c r="Q6" i="28"/>
  <c r="Q202" i="28" s="1"/>
  <c r="Q205" i="28" s="1"/>
  <c r="U23" i="15"/>
  <c r="T123" i="29"/>
  <c r="T6" i="29" s="1"/>
  <c r="Q6" i="15"/>
  <c r="T112" i="32"/>
  <c r="T6" i="32" s="1"/>
  <c r="S135" i="14" l="1"/>
  <c r="S6" i="14" s="1"/>
  <c r="T6" i="26"/>
  <c r="R135" i="14"/>
  <c r="R6" i="14" s="1"/>
  <c r="R145" i="14" s="1"/>
  <c r="R148" i="14" s="1"/>
  <c r="T10" i="28"/>
  <c r="T6" i="28" s="1"/>
  <c r="U6" i="15"/>
  <c r="R6" i="28"/>
  <c r="U135" i="14"/>
  <c r="U6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7" authorId="0" shapeId="0" xr:uid="{57848ED7-2F4B-4BD7-B5A1-B9927A5D4034}">
      <text>
        <r>
          <rPr>
            <b/>
            <sz val="9"/>
            <color indexed="81"/>
            <rFont val="Tahoma"/>
            <family val="2"/>
          </rPr>
          <t>lemnya tumpah jadi ga bisa di pake 8kg.</t>
        </r>
      </text>
    </comment>
    <comment ref="A124" authorId="0" shapeId="0" xr:uid="{3BB3BBD8-6191-43BA-B634-3FFD01173E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PENGENTAL PIGMENT
</t>
        </r>
      </text>
    </comment>
    <comment ref="A146" authorId="0" shapeId="0" xr:uid="{D5B4D510-CBE6-4C4F-BDCB-840F5F5D3A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info pas SO 29jun23</t>
        </r>
      </text>
    </comment>
  </commentList>
</comments>
</file>

<file path=xl/sharedStrings.xml><?xml version="1.0" encoding="utf-8"?>
<sst xmlns="http://schemas.openxmlformats.org/spreadsheetml/2006/main" count="12269" uniqueCount="3294">
  <si>
    <t>KG</t>
  </si>
  <si>
    <t>Kg</t>
  </si>
  <si>
    <t>DPP</t>
  </si>
  <si>
    <t>KLG</t>
  </si>
  <si>
    <t>Ltr</t>
  </si>
  <si>
    <t>MTR</t>
  </si>
  <si>
    <t>PCS</t>
  </si>
  <si>
    <t>PPN</t>
  </si>
  <si>
    <t>PSG</t>
  </si>
  <si>
    <t>QTY</t>
  </si>
  <si>
    <t>BUAH</t>
  </si>
  <si>
    <t>BUKU</t>
  </si>
  <si>
    <t>CANE</t>
  </si>
  <si>
    <t>KURS</t>
  </si>
  <si>
    <t>POT.</t>
  </si>
  <si>
    <t>ROLL</t>
  </si>
  <si>
    <t>UNIT</t>
  </si>
  <si>
    <t>NO.PO</t>
  </si>
  <si>
    <t>TOTAL</t>
  </si>
  <si>
    <t>ACETON</t>
  </si>
  <si>
    <t>NO.ACC</t>
  </si>
  <si>
    <t>SATUAN</t>
  </si>
  <si>
    <t>TGL.PO</t>
  </si>
  <si>
    <t>1105201</t>
  </si>
  <si>
    <t>1105301</t>
  </si>
  <si>
    <t>1105401</t>
  </si>
  <si>
    <t>6102105</t>
  </si>
  <si>
    <t>6104101</t>
  </si>
  <si>
    <t>ACCOUNT</t>
  </si>
  <si>
    <t>PAC PCO</t>
  </si>
  <si>
    <t>PERIODE</t>
  </si>
  <si>
    <t>TANGGAL</t>
  </si>
  <si>
    <t>NO.BUKTI</t>
  </si>
  <si>
    <t>SUPPLIER</t>
  </si>
  <si>
    <t>HARGA SAT</t>
  </si>
  <si>
    <t>WYSOFT LF</t>
  </si>
  <si>
    <t>TANGGA MAS</t>
  </si>
  <si>
    <t>GRAND TOTAL</t>
  </si>
  <si>
    <t>NAMA BARANG</t>
  </si>
  <si>
    <t>AIRS PARTNERS</t>
  </si>
  <si>
    <t>RANTAI SUKSES</t>
  </si>
  <si>
    <t>ULTRAGUM HT 8</t>
  </si>
  <si>
    <t>MANDIRI TEKNIK</t>
  </si>
  <si>
    <t>ULTRA BIOTIFIX</t>
  </si>
  <si>
    <t>LAUTAN LUAS, PT</t>
  </si>
  <si>
    <t>PERSEDIAAN OBAT</t>
  </si>
  <si>
    <t>CHEMPOWER - 1400</t>
  </si>
  <si>
    <t>CHEMPOWER - 2002</t>
  </si>
  <si>
    <t>LAKBAN COKLAT 2"</t>
  </si>
  <si>
    <t>LAKBAN KERTAS 2"</t>
  </si>
  <si>
    <t>LUCKY REJEKI, PT</t>
  </si>
  <si>
    <t>KARUNIA ABADI, CV</t>
  </si>
  <si>
    <t>LEM KALBEKA JAPAN</t>
  </si>
  <si>
    <t>COUSTIC SODA FLAKE</t>
  </si>
  <si>
    <t>KENDY INDOPACK, CV</t>
  </si>
  <si>
    <t>LESTARI MECHANICAL</t>
  </si>
  <si>
    <t>BERKAH JAYA MANDIRI</t>
  </si>
  <si>
    <t>CAHAYA LESTARI JAYA</t>
  </si>
  <si>
    <t>LAMPU TL UV 40 WATT</t>
  </si>
  <si>
    <t>BAUD COUPLING NBK 30</t>
  </si>
  <si>
    <t>JAYA AGUNG PRINT, CV</t>
  </si>
  <si>
    <t>PERSEDIAAN SPAREPART</t>
  </si>
  <si>
    <t>* nilai negatif retur</t>
  </si>
  <si>
    <t>ALAM TERANG ABADI, CV</t>
  </si>
  <si>
    <t>BANGKIT MAJU JAYA, PT</t>
  </si>
  <si>
    <t>CHARISTA PRINTING, CV</t>
  </si>
  <si>
    <t>INDEX TOHO AUGIES, PT</t>
  </si>
  <si>
    <t>DISPERSE NAVY BLUE SGL</t>
  </si>
  <si>
    <t>SINAR JAYA LESTARI, CV</t>
  </si>
  <si>
    <t>BIAYA ALAT TULIS KANTOR</t>
  </si>
  <si>
    <t>CHEMPOWER INDONESIA, PT</t>
  </si>
  <si>
    <t>MITRA AVODA SENTOSA, PT</t>
  </si>
  <si>
    <t>LAUTAN AIR INDONESIA, PT</t>
  </si>
  <si>
    <t>GURITA MANDALA PERSADA, PT</t>
  </si>
  <si>
    <t>KARET RAKET UK 5 X 7 X 160</t>
  </si>
  <si>
    <t>PT. HERO SEKAWAN - BANDUNG</t>
  </si>
  <si>
    <t>AVODA RC (THIOUREA DIOXIDE)</t>
  </si>
  <si>
    <t>DK FOAM HT 42 S (ANTI FOAM)</t>
  </si>
  <si>
    <t>FOTO EMULSION FLAT SUPERZOL</t>
  </si>
  <si>
    <t>PERSEDIAN BAHAN BAKAR PADAT</t>
  </si>
  <si>
    <t>BI. PEM. DAN PERB. PERALATAN</t>
  </si>
  <si>
    <t>MITRA BARA ABADI BANDUNG, PT</t>
  </si>
  <si>
    <t>PLASTIK PE UK 70 X 150 X 0.5</t>
  </si>
  <si>
    <t>SCREEN MONYL M 135 X 74 30 D</t>
  </si>
  <si>
    <t>BANDARJAYA BARA INDONESIA, PT</t>
  </si>
  <si>
    <t>HARAP INDO ANUGRAH BERSATU, PT</t>
  </si>
  <si>
    <t>KARET RAKEL 5 X7 X 142 CM H 60</t>
  </si>
  <si>
    <t>SERVICE SIKAT JARUM STENTER 7"</t>
  </si>
  <si>
    <t>KARET RAKEL 5 X 7 X 172 CM H - 60</t>
  </si>
  <si>
    <t>BATU BARA ROM HIGH GAR 5200 - 5400</t>
  </si>
  <si>
    <t>CUTTING WHEEL 4 X 1.20 MM (POTONG)</t>
  </si>
  <si>
    <t>DISPERSE YELLOW 114 ECON ( 6 GSL )</t>
  </si>
  <si>
    <t>REKAPITULASI PENERIMAAN BARANG &amp; RETUR PEMBELIAN</t>
  </si>
  <si>
    <t>PPH</t>
  </si>
  <si>
    <t>FAKTUR PAJAK</t>
  </si>
  <si>
    <t>KODE SUPPLIER</t>
  </si>
  <si>
    <t>SIDR001</t>
  </si>
  <si>
    <t>SIDR223</t>
  </si>
  <si>
    <t>SIDR152</t>
  </si>
  <si>
    <t>SIDR008</t>
  </si>
  <si>
    <t>SIDR222</t>
  </si>
  <si>
    <t>SIDR211</t>
  </si>
  <si>
    <t>SIDR023</t>
  </si>
  <si>
    <t>SIDR204</t>
  </si>
  <si>
    <t>SIDR037</t>
  </si>
  <si>
    <t>SUSD014</t>
  </si>
  <si>
    <t>SIDR042</t>
  </si>
  <si>
    <t>SIDR146</t>
  </si>
  <si>
    <t>SIDR182</t>
  </si>
  <si>
    <t>SIDR053</t>
  </si>
  <si>
    <t>SIDR239</t>
  </si>
  <si>
    <t>SIDR069</t>
  </si>
  <si>
    <t>SUSD064</t>
  </si>
  <si>
    <t>SIDR074</t>
  </si>
  <si>
    <t>SUSD032</t>
  </si>
  <si>
    <t>SIDR078</t>
  </si>
  <si>
    <t>SIDR101</t>
  </si>
  <si>
    <t>SIDR115</t>
  </si>
  <si>
    <t>SIDR229</t>
  </si>
  <si>
    <t>6112101</t>
  </si>
  <si>
    <t>BIAYA KEPERLUAN PABRIK</t>
  </si>
  <si>
    <t>DN ADATA</t>
  </si>
  <si>
    <t>BENANG OBRAS</t>
  </si>
  <si>
    <t>CONES</t>
  </si>
  <si>
    <t>BTG</t>
  </si>
  <si>
    <t>CAT NIPPE PUTIH 2000</t>
  </si>
  <si>
    <t>ULTRA NUTRI BIO S</t>
  </si>
  <si>
    <t>GEMILANG HARAPAN, CV</t>
  </si>
  <si>
    <t>DYAWET W 600</t>
  </si>
  <si>
    <t>BINTANG ABADI MAKMUR</t>
  </si>
  <si>
    <t>BAUD MUR M 8 X 30</t>
  </si>
  <si>
    <t>DISPERSE BLUE BBLS 200%</t>
  </si>
  <si>
    <t>SIDR017</t>
  </si>
  <si>
    <t>SIDR179</t>
  </si>
  <si>
    <t>SIDR033</t>
  </si>
  <si>
    <t>M3</t>
  </si>
  <si>
    <t>SCREEN MONYL M 135 X 88 X 30 D</t>
  </si>
  <si>
    <t>GARUDA MAS LESTARI, CV</t>
  </si>
  <si>
    <t>SIDR032</t>
  </si>
  <si>
    <t>BAUD MUR M 10 X 40</t>
  </si>
  <si>
    <t>SET</t>
  </si>
  <si>
    <t>MULTIKIMIA INTIPELANGI, PT</t>
  </si>
  <si>
    <t>CHLORASAL DCA</t>
  </si>
  <si>
    <t>SLS LAHARINDO, PT</t>
  </si>
  <si>
    <t>TRIPLEK 9 MM</t>
  </si>
  <si>
    <t>LBR</t>
  </si>
  <si>
    <t>FLINGKUT</t>
  </si>
  <si>
    <t>SUMBER REJEKI</t>
  </si>
  <si>
    <t>SIDR232</t>
  </si>
  <si>
    <t>SIDR121</t>
  </si>
  <si>
    <t>SIDR126</t>
  </si>
  <si>
    <t>PACK</t>
  </si>
  <si>
    <t>RODA CASTER 8" X 2" X 1"</t>
  </si>
  <si>
    <t>MULTIPRIMA INDO SEJAHTERA</t>
  </si>
  <si>
    <t>OLI RANTAI STENTER ( BECHEM )</t>
  </si>
  <si>
    <t>TINTA REPEAT O TYPE</t>
  </si>
  <si>
    <t>BTL</t>
  </si>
  <si>
    <t>KIMIA SX</t>
  </si>
  <si>
    <t>FOTO EMULSION ROTARY SX</t>
  </si>
  <si>
    <t>SIDR060</t>
  </si>
  <si>
    <t>SIDR082</t>
  </si>
  <si>
    <t>SJS005</t>
  </si>
  <si>
    <t>AGRA DIPA RAHARJA, PT</t>
  </si>
  <si>
    <t>6101301</t>
  </si>
  <si>
    <t xml:space="preserve">BIAYA GAJI </t>
  </si>
  <si>
    <t>ORG</t>
  </si>
  <si>
    <t>SLMP002</t>
  </si>
  <si>
    <t>D 9527 YC</t>
  </si>
  <si>
    <t>BOTTOM ASH</t>
  </si>
  <si>
    <t>6106103</t>
  </si>
  <si>
    <t>SUSD054</t>
  </si>
  <si>
    <t>SORT BY</t>
  </si>
  <si>
    <t>Tanggal</t>
  </si>
  <si>
    <t>KACA LAS ( BENING / PUTIH )</t>
  </si>
  <si>
    <t>SIKAT KAWAT</t>
  </si>
  <si>
    <t>BATU BARA ROM MEDIUM GAR 4800 (ADB 5800)</t>
  </si>
  <si>
    <t>CONTINOUS FORM 4 FLY PRS</t>
  </si>
  <si>
    <t>DUS</t>
  </si>
  <si>
    <t>CONTINOUS FORM 4 FLY</t>
  </si>
  <si>
    <t>BUKTI PERMINTAAN BAHAN ( CK )</t>
  </si>
  <si>
    <t>PAKU 7 CM</t>
  </si>
  <si>
    <t>PAKU 10 CM</t>
  </si>
  <si>
    <t>SAMBUNGAN RANTAI RS 60 - 1</t>
  </si>
  <si>
    <t>APOLLO AGUNG CHEMICAL INDUSTRY, PT</t>
  </si>
  <si>
    <t>SUSD003</t>
  </si>
  <si>
    <t>KARTU PROSES</t>
  </si>
  <si>
    <t>NIAGA SEJAHTERA MAKMUR, CV</t>
  </si>
  <si>
    <t>SIDR083</t>
  </si>
  <si>
    <t>SODIUM HEXA METHA POSPHAT POWDER (SHMP)</t>
  </si>
  <si>
    <t>JASA SERVICE</t>
  </si>
  <si>
    <t>6102104</t>
  </si>
  <si>
    <t>BI. PEM. DAN PERB. MESIN</t>
  </si>
  <si>
    <t>BIAYA ONGKOS ANGKUT</t>
  </si>
  <si>
    <t>KABEL TIES 300 MM</t>
  </si>
  <si>
    <t>5 BENUA, CV</t>
  </si>
  <si>
    <t>STRIPPER ADDITIVE SR - 17</t>
  </si>
  <si>
    <t>SUBUR REZEKI TRADE</t>
  </si>
  <si>
    <t>KARET COUPLING NBK 30</t>
  </si>
  <si>
    <t>BEARING 6204</t>
  </si>
  <si>
    <t>BEARING 23124 KONES</t>
  </si>
  <si>
    <t>SIDR153</t>
  </si>
  <si>
    <t>BINDER 660 N</t>
  </si>
  <si>
    <t>HAMPELAS DUCCO NO. 240</t>
  </si>
  <si>
    <t>HLS 104 NE ( OBAT GARUK )</t>
  </si>
  <si>
    <t>PETRA TEXTIMA MANDIRI, PT</t>
  </si>
  <si>
    <t>SCREEN MESH 125 X 640 X 2000 MM</t>
  </si>
  <si>
    <t>SUSD078</t>
  </si>
  <si>
    <t>HYDROGEN PEROXIDA ( H2O2 )</t>
  </si>
  <si>
    <t>RODA DUNIA TEKNIK</t>
  </si>
  <si>
    <t>SIDR224</t>
  </si>
  <si>
    <t>KHALDA ALAM UTAMA, PT</t>
  </si>
  <si>
    <t>BEARING 6307</t>
  </si>
  <si>
    <t>LAMPU LED 50 WATT E27</t>
  </si>
  <si>
    <t>THICKENER P8E</t>
  </si>
  <si>
    <t>CONTACT CLEANER</t>
  </si>
  <si>
    <t>PIGMENT YELLOW HG CONS</t>
  </si>
  <si>
    <t>PIGMENT ORANGE SGR</t>
  </si>
  <si>
    <t>BAROKAH PRIMA, PT</t>
  </si>
  <si>
    <t>SUSD027</t>
  </si>
  <si>
    <t>SILICONE HIGH TEMPERATURE</t>
  </si>
  <si>
    <t>TUBE</t>
  </si>
  <si>
    <t>KIMIA JAYA UTAMA, PT</t>
  </si>
  <si>
    <t>SUPER SCOUR</t>
  </si>
  <si>
    <t>KERIN PRIMA SENTOSA LESTARI</t>
  </si>
  <si>
    <t>SIDR054</t>
  </si>
  <si>
    <t>SUSD087</t>
  </si>
  <si>
    <t>KAYU  5X10X4</t>
  </si>
  <si>
    <t>SARUNG TANGAN KATUN + KARET</t>
  </si>
  <si>
    <t>INVERTER 3.7 KW, 5 HP, 220 VOLT, 3 PHASE</t>
  </si>
  <si>
    <t>OPEN MESH BELT 2620 MM X 19120 MM</t>
  </si>
  <si>
    <t>RUDOLF TRADING INDONESIA</t>
  </si>
  <si>
    <t>THAXAPLAST DOP 100 (SOFTENER PASTA)</t>
  </si>
  <si>
    <t>SIDR245</t>
  </si>
  <si>
    <t>BEARING 22211 - C3</t>
  </si>
  <si>
    <t>DOP PVC 2"</t>
  </si>
  <si>
    <t>SINAR PRIMER</t>
  </si>
  <si>
    <t>SIDR163</t>
  </si>
  <si>
    <t>WPC - 2967 ( POLYMER CATHIONIC )</t>
  </si>
  <si>
    <t>WPA 5205 ( POLYMER ANIONIC)</t>
  </si>
  <si>
    <t>OP1124-00051</t>
  </si>
  <si>
    <t>MITRA LESTARI SEJATI, PT</t>
  </si>
  <si>
    <t>OP1224-00060</t>
  </si>
  <si>
    <t>01-01-2025 s/d 31-01-2025</t>
  </si>
  <si>
    <t>BTP0125-00001</t>
  </si>
  <si>
    <t>OP1224-00074</t>
  </si>
  <si>
    <t>BTP0125-00002</t>
  </si>
  <si>
    <t>OP1224-00073</t>
  </si>
  <si>
    <t>BTP0125-00003</t>
  </si>
  <si>
    <t>BTP0125-00004</t>
  </si>
  <si>
    <t>OP1224-00072</t>
  </si>
  <si>
    <t>BTP0125-00006</t>
  </si>
  <si>
    <t>OP0125-00001</t>
  </si>
  <si>
    <t>BTP0125-00009</t>
  </si>
  <si>
    <t>OP0125-00003</t>
  </si>
  <si>
    <t>BTP0125-00007</t>
  </si>
  <si>
    <t>OP0125-00004</t>
  </si>
  <si>
    <t>BTP0125-00008</t>
  </si>
  <si>
    <t>OP0125-00002</t>
  </si>
  <si>
    <t>04002500000268728</t>
  </si>
  <si>
    <t>04002500000242493</t>
  </si>
  <si>
    <t>BTP0125-00011</t>
  </si>
  <si>
    <t>OP0125-00005</t>
  </si>
  <si>
    <t>BTP0125-00012</t>
  </si>
  <si>
    <t>BTP0125-00013</t>
  </si>
  <si>
    <t>OP0125-00012</t>
  </si>
  <si>
    <t>BEARING 6308 2Z</t>
  </si>
  <si>
    <t>BTP0125-00014</t>
  </si>
  <si>
    <t>OP0125-00014</t>
  </si>
  <si>
    <t>BTP0125-00015</t>
  </si>
  <si>
    <t>BTP0125-00016</t>
  </si>
  <si>
    <t>OP0125-00018</t>
  </si>
  <si>
    <t>BTP0125-00017</t>
  </si>
  <si>
    <t>OP0125-00009</t>
  </si>
  <si>
    <t>BTP0125-00018</t>
  </si>
  <si>
    <t>OP0125-00015</t>
  </si>
  <si>
    <t>BTP0125-00019</t>
  </si>
  <si>
    <t>OP0125-00016</t>
  </si>
  <si>
    <t>KLEM SLANG 1/2"</t>
  </si>
  <si>
    <t>BTP0125-00020</t>
  </si>
  <si>
    <t>OP0125-00017</t>
  </si>
  <si>
    <t>VANBELT M 30</t>
  </si>
  <si>
    <t>BTP0125-00021</t>
  </si>
  <si>
    <t>OP0125-00026</t>
  </si>
  <si>
    <t>BTP0125-00022</t>
  </si>
  <si>
    <t>OP1224-00071</t>
  </si>
  <si>
    <t>RUBBER STRIP SM GREEN 50 MM X 50 MTR</t>
  </si>
  <si>
    <t>BTP0125-00024</t>
  </si>
  <si>
    <t>OP0125-00006</t>
  </si>
  <si>
    <t>BTP0125-00025</t>
  </si>
  <si>
    <t>OP0125-00008</t>
  </si>
  <si>
    <t>BTP0125-00026</t>
  </si>
  <si>
    <t>OP0125-00010</t>
  </si>
  <si>
    <t>BTP0125-00027</t>
  </si>
  <si>
    <t>OP0125-00011</t>
  </si>
  <si>
    <t>BTP0125-00029</t>
  </si>
  <si>
    <t>BTP0125-00030</t>
  </si>
  <si>
    <t>BTP0125-00032</t>
  </si>
  <si>
    <t>BTP0125-00033</t>
  </si>
  <si>
    <t>OP1224-00075</t>
  </si>
  <si>
    <t>BTP0125-00034</t>
  </si>
  <si>
    <t>BTP0125-00035</t>
  </si>
  <si>
    <t>OP0125-00019</t>
  </si>
  <si>
    <t>SCREEN MESH 80 X 640 X 2000 MM</t>
  </si>
  <si>
    <t>BTP0125-00036</t>
  </si>
  <si>
    <t>OP0125-00020</t>
  </si>
  <si>
    <t>BTP0125-00037</t>
  </si>
  <si>
    <t>OP0125-00023</t>
  </si>
  <si>
    <t>BTP0125-00038</t>
  </si>
  <si>
    <t>OP0125-00025</t>
  </si>
  <si>
    <t>BTP0125-00039</t>
  </si>
  <si>
    <t>BTP0125-00040</t>
  </si>
  <si>
    <t>OP0125-00007</t>
  </si>
  <si>
    <t>BTP0125-00041</t>
  </si>
  <si>
    <t>OP0125-00022</t>
  </si>
  <si>
    <t>RODA CASTER 8 X 2 X 1 HIDUP</t>
  </si>
  <si>
    <t>BTP0125-00042</t>
  </si>
  <si>
    <t>OP0125-00028</t>
  </si>
  <si>
    <t>BTP0125-00043</t>
  </si>
  <si>
    <t>OP0125-00029</t>
  </si>
  <si>
    <t>BTP0125-00044</t>
  </si>
  <si>
    <t>OP0125-00030</t>
  </si>
  <si>
    <t>BTP0125-00045</t>
  </si>
  <si>
    <t>OP0125-00031</t>
  </si>
  <si>
    <t>BTP0125-00046</t>
  </si>
  <si>
    <t>OP0125-00032</t>
  </si>
  <si>
    <t>PAPAN 2 X 20 X 4</t>
  </si>
  <si>
    <t>BTP0125-00047</t>
  </si>
  <si>
    <t>OP0125-00024</t>
  </si>
  <si>
    <t>SIDR250</t>
  </si>
  <si>
    <t>SUSD033</t>
  </si>
  <si>
    <t>BTP0125-00049</t>
  </si>
  <si>
    <t>OP0125-00045</t>
  </si>
  <si>
    <t>HAMPELAS DUCCO NO.100</t>
  </si>
  <si>
    <t>BTP0125-00050</t>
  </si>
  <si>
    <t>OP0125-00046</t>
  </si>
  <si>
    <t>KLEM SLANG 3/4</t>
  </si>
  <si>
    <t>BTP0125-00051</t>
  </si>
  <si>
    <t>OP0125-00047</t>
  </si>
  <si>
    <t>BTP0125-00052</t>
  </si>
  <si>
    <t>OP1224-00069</t>
  </si>
  <si>
    <t>SIKAT JARUM STENTER 3 LUBANG</t>
  </si>
  <si>
    <t>BTP0125-00053</t>
  </si>
  <si>
    <t>OP0125-00048</t>
  </si>
  <si>
    <t>BTP0125-00054</t>
  </si>
  <si>
    <t>OP0125-00037</t>
  </si>
  <si>
    <t>BTP0125-00055</t>
  </si>
  <si>
    <t>OP0125-00036</t>
  </si>
  <si>
    <t>BTP0125-00061</t>
  </si>
  <si>
    <t>OP0125-00043</t>
  </si>
  <si>
    <t>BTP0125-00056</t>
  </si>
  <si>
    <t>OP0125-00033</t>
  </si>
  <si>
    <t>BTP0125-00057</t>
  </si>
  <si>
    <t>OP0125-00034</t>
  </si>
  <si>
    <t>BTP0125-00058</t>
  </si>
  <si>
    <t>OP0125-00038</t>
  </si>
  <si>
    <t>BTP0125-00059</t>
  </si>
  <si>
    <t>OP0125-00042</t>
  </si>
  <si>
    <t>INVERTER 7.5 HP - 380/480 VOLT - 5.5 KW</t>
  </si>
  <si>
    <t>BTP0125-00060</t>
  </si>
  <si>
    <t>OP0125-00044</t>
  </si>
  <si>
    <t>SYPHONE PIPA UAP 1/2"</t>
  </si>
  <si>
    <t>BTP0125-00064</t>
  </si>
  <si>
    <t>OP0125-00050</t>
  </si>
  <si>
    <t>BALL VALVE PVC 2"</t>
  </si>
  <si>
    <t>DOP PVC 3"</t>
  </si>
  <si>
    <t>BTP0125-00066</t>
  </si>
  <si>
    <t>BTP0125-00067</t>
  </si>
  <si>
    <t>BTP0125-00068</t>
  </si>
  <si>
    <t>OP0125-00021</t>
  </si>
  <si>
    <t>BTP0125-00069</t>
  </si>
  <si>
    <t>OP0125-00035</t>
  </si>
  <si>
    <t>BTP0125-00070</t>
  </si>
  <si>
    <t>OP0125-00039</t>
  </si>
  <si>
    <t>BTP0125-00071</t>
  </si>
  <si>
    <t>OP0125-00040</t>
  </si>
  <si>
    <t>BTP0125-00072</t>
  </si>
  <si>
    <t>OP0125-00041</t>
  </si>
  <si>
    <t>BTP0125-00074</t>
  </si>
  <si>
    <t>OP0125-00013</t>
  </si>
  <si>
    <t>BTP0125-00076</t>
  </si>
  <si>
    <t>OP0125-00052</t>
  </si>
  <si>
    <t>BTP0125-00077</t>
  </si>
  <si>
    <t>BTP0125-00078</t>
  </si>
  <si>
    <t>04002500001433689</t>
  </si>
  <si>
    <t>04002500001696652</t>
  </si>
  <si>
    <t>04002500001866898</t>
  </si>
  <si>
    <t>04002500001866901</t>
  </si>
  <si>
    <t>04002500002084746</t>
  </si>
  <si>
    <t>04002500001261923</t>
  </si>
  <si>
    <t>04002500001547953</t>
  </si>
  <si>
    <t>04002500001547924</t>
  </si>
  <si>
    <t>04002500003881713</t>
  </si>
  <si>
    <t>04002500001516604</t>
  </si>
  <si>
    <t>04002500001687900</t>
  </si>
  <si>
    <t>BTP0125-00079</t>
  </si>
  <si>
    <t>BTP0125-00080</t>
  </si>
  <si>
    <t>OP0125-00053</t>
  </si>
  <si>
    <t>BTP0125-00081</t>
  </si>
  <si>
    <t>OP0125-00054</t>
  </si>
  <si>
    <t>SMALL FLAT KABEL</t>
  </si>
  <si>
    <t>BTP0125-00082</t>
  </si>
  <si>
    <t>OP0125-00055</t>
  </si>
  <si>
    <t>BTP0125-00083</t>
  </si>
  <si>
    <t>PL0125-00009</t>
  </si>
  <si>
    <t>BTP0125-00084</t>
  </si>
  <si>
    <t>BTP0125-00086</t>
  </si>
  <si>
    <t>OP0125-00051</t>
  </si>
  <si>
    <t>BTP0125-00087</t>
  </si>
  <si>
    <t>BTP0125-00088</t>
  </si>
  <si>
    <t>BTP0125-00090</t>
  </si>
  <si>
    <t>OP0125-00062</t>
  </si>
  <si>
    <t>BAUD MUR M 10  X 30</t>
  </si>
  <si>
    <t>BTP0125-00091</t>
  </si>
  <si>
    <t>OP0125-00063</t>
  </si>
  <si>
    <t>BTP0125-00092</t>
  </si>
  <si>
    <t>OP0125-00064</t>
  </si>
  <si>
    <t>VANBELT B 48</t>
  </si>
  <si>
    <t>BTP0125-00093</t>
  </si>
  <si>
    <t>OP0125-00065</t>
  </si>
  <si>
    <t>BTP0125-00094</t>
  </si>
  <si>
    <t>OP0125-00058</t>
  </si>
  <si>
    <t>BTP0125-00095</t>
  </si>
  <si>
    <t>BTP0125-00096</t>
  </si>
  <si>
    <t>BTP0125-00097</t>
  </si>
  <si>
    <t>OP0125-00066</t>
  </si>
  <si>
    <t>04002500004165996</t>
  </si>
  <si>
    <t>04002500001661398</t>
  </si>
  <si>
    <t>04002500004391472</t>
  </si>
  <si>
    <t>04002500006424776</t>
  </si>
  <si>
    <t>04002500008066458</t>
  </si>
  <si>
    <t>0047709</t>
  </si>
  <si>
    <t>0055622</t>
  </si>
  <si>
    <t>0055642</t>
  </si>
  <si>
    <t>0055687</t>
  </si>
  <si>
    <t>0055636</t>
  </si>
  <si>
    <t>0055730</t>
  </si>
  <si>
    <t>0055864</t>
  </si>
  <si>
    <t>0055903</t>
  </si>
  <si>
    <t>0055847</t>
  </si>
  <si>
    <t>0055798</t>
  </si>
  <si>
    <t>01-02-2025 s/d 28-02-2025</t>
  </si>
  <si>
    <t>BTP0225-00001</t>
  </si>
  <si>
    <t>BTP0225-00003</t>
  </si>
  <si>
    <t>OP0125-00067</t>
  </si>
  <si>
    <t>BTP0225-00004</t>
  </si>
  <si>
    <t>OP0125-00068</t>
  </si>
  <si>
    <t>BTP0225-00005</t>
  </si>
  <si>
    <t>OP0225-00002</t>
  </si>
  <si>
    <t>BTP0225-00006</t>
  </si>
  <si>
    <t>OP0225-00001</t>
  </si>
  <si>
    <t>BTP0225-00007</t>
  </si>
  <si>
    <t>OP0225-00005</t>
  </si>
  <si>
    <t>BTP0225-00008</t>
  </si>
  <si>
    <t>OP0125-00056</t>
  </si>
  <si>
    <t>BTP0225-00009</t>
  </si>
  <si>
    <t>OP0125-00059</t>
  </si>
  <si>
    <t>OP0125-00061</t>
  </si>
  <si>
    <t>BTP0225-00011</t>
  </si>
  <si>
    <t>BTP0225-00012</t>
  </si>
  <si>
    <t>OP0225-00004</t>
  </si>
  <si>
    <t>BTP0225-00013</t>
  </si>
  <si>
    <t>OP0125-00060</t>
  </si>
  <si>
    <t>BTP0225-00014</t>
  </si>
  <si>
    <t>OP0125-00057</t>
  </si>
  <si>
    <t>BTP0225-00017</t>
  </si>
  <si>
    <t>OP0225-00008</t>
  </si>
  <si>
    <t>BTP0225-00018</t>
  </si>
  <si>
    <t>BTP0225-00019</t>
  </si>
  <si>
    <t>BTP0125-00099</t>
  </si>
  <si>
    <t>OP0125-00049</t>
  </si>
  <si>
    <t>ANO SERVICE BLANKET</t>
  </si>
  <si>
    <t>SERVICE  BLANKET</t>
  </si>
  <si>
    <t>SIDR251</t>
  </si>
  <si>
    <t>04002500011091852</t>
  </si>
  <si>
    <t>04002500011139630</t>
  </si>
  <si>
    <t>04002500004244780</t>
  </si>
  <si>
    <t>04002500008142935</t>
  </si>
  <si>
    <t>04002500013966869</t>
  </si>
  <si>
    <t>04002500012455936</t>
  </si>
  <si>
    <t>04002500005914853</t>
  </si>
  <si>
    <t>04002500005915176</t>
  </si>
  <si>
    <t>JASA KEAMANAN 15 JANUARI 2025 SD 14 FEBRUARI 2025</t>
  </si>
  <si>
    <t>04002500006852536</t>
  </si>
  <si>
    <t>MENTARI MANDIRI</t>
  </si>
  <si>
    <t>ZARA KNITT</t>
  </si>
  <si>
    <t>04002500005313344</t>
  </si>
  <si>
    <t>04002500011537161</t>
  </si>
  <si>
    <t>04002500009234231</t>
  </si>
  <si>
    <t>04002500007498950</t>
  </si>
  <si>
    <t>04002500012674368</t>
  </si>
  <si>
    <t>04002500009646277</t>
  </si>
  <si>
    <t>04002500009646331</t>
  </si>
  <si>
    <t>04002500009646374</t>
  </si>
  <si>
    <t>04002500003296257</t>
  </si>
  <si>
    <t>04002500010012700</t>
  </si>
  <si>
    <t>04002500004581166</t>
  </si>
  <si>
    <t>04002500010219947</t>
  </si>
  <si>
    <t>04002500015776314</t>
  </si>
  <si>
    <t>04002500013172510</t>
  </si>
  <si>
    <t>04002500005313837</t>
  </si>
  <si>
    <t>klaim</t>
  </si>
  <si>
    <t>SCLM007</t>
  </si>
  <si>
    <t>KB013296</t>
  </si>
  <si>
    <t>PEMAKAIAN AIR DESEMBER 2024  1.757M3 X Rp 7.500</t>
  </si>
  <si>
    <t>BTP0125-00100</t>
  </si>
  <si>
    <t>PPN MASUKAN HERO</t>
  </si>
  <si>
    <t>PPN MASUKAN DINAMIKA</t>
  </si>
  <si>
    <t>PPN KELUARAN HERO</t>
  </si>
  <si>
    <t>SELISIH</t>
  </si>
  <si>
    <t>TAGIHAN</t>
  </si>
  <si>
    <t>SJS004</t>
  </si>
  <si>
    <t>RDN ARTHA SENTOSA, PT</t>
  </si>
  <si>
    <t>BIAYA SEWA MESIN FOTOCOPY</t>
  </si>
  <si>
    <t>6104104</t>
  </si>
  <si>
    <t>BIAYA KEPERLUAN KANTOR LAIN-LAIN</t>
  </si>
  <si>
    <t>BIAYA PEMAKAIAN COPY</t>
  </si>
  <si>
    <t>04002500011332223</t>
  </si>
  <si>
    <t>04002500005208216</t>
  </si>
  <si>
    <t>04002500006572983</t>
  </si>
  <si>
    <t>04002500006154976</t>
  </si>
  <si>
    <t>04002500012788704</t>
  </si>
  <si>
    <t>04002500020653641</t>
  </si>
  <si>
    <t>04002500020653635</t>
  </si>
  <si>
    <t>04002500007184384</t>
  </si>
  <si>
    <t>04002500025897846</t>
  </si>
  <si>
    <t>04002500025897844</t>
  </si>
  <si>
    <t>04002500025897841</t>
  </si>
  <si>
    <t>04002500025897845</t>
  </si>
  <si>
    <t>04002500025897839</t>
  </si>
  <si>
    <t>04002500022924635</t>
  </si>
  <si>
    <t>04002500015468161</t>
  </si>
  <si>
    <t>04002500002279152</t>
  </si>
  <si>
    <t>04002500005006056</t>
  </si>
  <si>
    <t>04002500015342731</t>
  </si>
  <si>
    <t>04002500019957844</t>
  </si>
  <si>
    <t>04002500010390741</t>
  </si>
  <si>
    <t>04002500010390751</t>
  </si>
  <si>
    <t>04002500010390776</t>
  </si>
  <si>
    <t>04002500010390801</t>
  </si>
  <si>
    <t>04002500010390810</t>
  </si>
  <si>
    <t>04002500014048927</t>
  </si>
  <si>
    <t>04002500014048951</t>
  </si>
  <si>
    <t>04002500014048964</t>
  </si>
  <si>
    <t>04002500022024386</t>
  </si>
  <si>
    <t>04002500022024379</t>
  </si>
  <si>
    <t>BTP0225-00020</t>
  </si>
  <si>
    <t>OP0225-00014</t>
  </si>
  <si>
    <t>ISOLASI HITAM</t>
  </si>
  <si>
    <t>KUNCI L 4 MM</t>
  </si>
  <si>
    <t>KAPE 2"</t>
  </si>
  <si>
    <t>KUNCI L 3 MM</t>
  </si>
  <si>
    <t>BTP0225-00021</t>
  </si>
  <si>
    <t>OP0225-00015</t>
  </si>
  <si>
    <t>SARUNG TANGAN KARET PANJANG</t>
  </si>
  <si>
    <t>OBENG LONG + 2 X 300</t>
  </si>
  <si>
    <t>NEPLE H8 - 01</t>
  </si>
  <si>
    <t>OBENG LONG - 2 X 300</t>
  </si>
  <si>
    <t>BTP0225-00022</t>
  </si>
  <si>
    <t>OP0225-00016</t>
  </si>
  <si>
    <t>KIPAS AXIAL FAN 8" (20 X 20)</t>
  </si>
  <si>
    <t>BTP0225-00023</t>
  </si>
  <si>
    <t>OP0225-00013</t>
  </si>
  <si>
    <t>BTP0225-00024</t>
  </si>
  <si>
    <t>OP0225-00003</t>
  </si>
  <si>
    <t>BTP0225-00025</t>
  </si>
  <si>
    <t>OP0225-00006</t>
  </si>
  <si>
    <t>SUPER SUKSES KENCANA, PT</t>
  </si>
  <si>
    <t>TF - T - 454 (OPTIC WHITE)</t>
  </si>
  <si>
    <t>BTP0225-00026</t>
  </si>
  <si>
    <t>OP0225-00007</t>
  </si>
  <si>
    <t>THERMACOAT RESIN TO 90</t>
  </si>
  <si>
    <t>BTP0225-00027</t>
  </si>
  <si>
    <t>OP0225-00009</t>
  </si>
  <si>
    <t>BTP0225-00029</t>
  </si>
  <si>
    <t>BTP0225-00030</t>
  </si>
  <si>
    <t>BTP0225-00031</t>
  </si>
  <si>
    <t>BTP0225-00032</t>
  </si>
  <si>
    <t>OP0225-00010</t>
  </si>
  <si>
    <t>CITRIC ACID MONOHYDRATE</t>
  </si>
  <si>
    <t>BTP0225-00033</t>
  </si>
  <si>
    <t>OP0225-00012</t>
  </si>
  <si>
    <t>BTP0225-00034</t>
  </si>
  <si>
    <t>OP0225-00017</t>
  </si>
  <si>
    <t>BTP0225-00035</t>
  </si>
  <si>
    <t>OP0225-00019</t>
  </si>
  <si>
    <t>INTI COLOURINDO, PT</t>
  </si>
  <si>
    <t>DISPERSE SCARLET 2R ( UNICRON )</t>
  </si>
  <si>
    <t>BTP0225-00036</t>
  </si>
  <si>
    <t>OP0225-00020</t>
  </si>
  <si>
    <t>DISPERSE RUBINE S2GFL ( UNICRON )</t>
  </si>
  <si>
    <t>BTP0225-00038</t>
  </si>
  <si>
    <t>SUSD083</t>
  </si>
  <si>
    <t>SUSD019</t>
  </si>
  <si>
    <t>SUSD051</t>
  </si>
  <si>
    <t>DI FP NILAINYA DI SATUKAN</t>
  </si>
  <si>
    <t>PERUMDA TIRTAWENING KOTA BANDUNG</t>
  </si>
  <si>
    <t>PENGUJIAN AIR BERSIH</t>
  </si>
  <si>
    <t>PENGUJIAN UDARA AMBIEN</t>
  </si>
  <si>
    <t>PENGUJIAN UDARA EMISI</t>
  </si>
  <si>
    <t>BIAYA SAMPLING</t>
  </si>
  <si>
    <t>04002500030876196</t>
  </si>
  <si>
    <t>KB013366</t>
  </si>
  <si>
    <t>PEMAKAIAN AIR JANUARI 2025  2.479 M3 X Rp 7.500</t>
  </si>
  <si>
    <t>BTP0225-00042</t>
  </si>
  <si>
    <t>BTP0225-00043</t>
  </si>
  <si>
    <t>BTP0225-00044</t>
  </si>
  <si>
    <t>BTP0225-00045</t>
  </si>
  <si>
    <t>OP0225-00024</t>
  </si>
  <si>
    <t>TIMBUL JAYA</t>
  </si>
  <si>
    <t>SERVICE ROLL PADDER WASHING SIZE 215 X 2200 MM</t>
  </si>
  <si>
    <t>LAS BUBUT AS L/R</t>
  </si>
  <si>
    <t>BTP0225-00046</t>
  </si>
  <si>
    <t>BTP0225-00047</t>
  </si>
  <si>
    <t>OP0225-00026</t>
  </si>
  <si>
    <t>OLI SEAL TC 85 X 110 X 13 VITON</t>
  </si>
  <si>
    <t>BTP0225-00048</t>
  </si>
  <si>
    <t>OP0225-00023</t>
  </si>
  <si>
    <t>BTP0225-00049</t>
  </si>
  <si>
    <t>OP0225-00025</t>
  </si>
  <si>
    <t>ERA WARNA MANDIRI, PT</t>
  </si>
  <si>
    <t>DISPERSE BLUE ACE (LONGPERSE)</t>
  </si>
  <si>
    <t>DISPERSE RED ACE (LONGPERSE)</t>
  </si>
  <si>
    <t>BTP0225-00052</t>
  </si>
  <si>
    <t>OP0225-00028</t>
  </si>
  <si>
    <t>BAUD JP STAINLESS 8 X 15</t>
  </si>
  <si>
    <t>BAUD SOCKET STAINLESS L 8 X 25</t>
  </si>
  <si>
    <t>SARUNG TANGAN KULIT PANJANG</t>
  </si>
  <si>
    <t>BTP0225-00053</t>
  </si>
  <si>
    <t>OP0225-00029</t>
  </si>
  <si>
    <t>BAUD MUR STAINLESS M 6 X 35</t>
  </si>
  <si>
    <t>KAWAT LAS LB 52 U ( 2.6 MM)</t>
  </si>
  <si>
    <t>RING PLAT 10 MM</t>
  </si>
  <si>
    <t>MASKER PENUTUP HIDUNG</t>
  </si>
  <si>
    <t>RING PLAT M 12</t>
  </si>
  <si>
    <t>CUTTING WHEEL 4" X 6 MM (SLEPAN)</t>
  </si>
  <si>
    <t>BTP0225-00055</t>
  </si>
  <si>
    <t>OP0225-00030</t>
  </si>
  <si>
    <t>LEM ASAHI</t>
  </si>
  <si>
    <t>BTP0225-00056</t>
  </si>
  <si>
    <t>BTP0225-00057</t>
  </si>
  <si>
    <t>OP0225-00033</t>
  </si>
  <si>
    <t>BTP0225-00058</t>
  </si>
  <si>
    <t>BTP0225-00059</t>
  </si>
  <si>
    <t>BTP0225-00060</t>
  </si>
  <si>
    <t>BTP0225-00061</t>
  </si>
  <si>
    <t>OP0225-00031</t>
  </si>
  <si>
    <t>KARET RUBBER SQUEZEE 50 MM X 7 MM X 110 CM</t>
  </si>
  <si>
    <t>BTP0225-00062</t>
  </si>
  <si>
    <t>OP0225-00032</t>
  </si>
  <si>
    <t>TINTA RA - JET INK (SCREEN MASTER)</t>
  </si>
  <si>
    <t>LITER</t>
  </si>
  <si>
    <t>BTP0225-00064</t>
  </si>
  <si>
    <t>BTP0225-00065</t>
  </si>
  <si>
    <t>OP0225-00042</t>
  </si>
  <si>
    <t>TANDA TERIMA KONTRA BON</t>
  </si>
  <si>
    <t>BTP0225-00066</t>
  </si>
  <si>
    <t>OP0225-00022</t>
  </si>
  <si>
    <t>BTP0225-00067</t>
  </si>
  <si>
    <t>BTP0225-00068</t>
  </si>
  <si>
    <t>OP0225-00034</t>
  </si>
  <si>
    <t>LEOPRINT 700 ( SYNTETIC THICKENER )</t>
  </si>
  <si>
    <t>BTP0225-00069</t>
  </si>
  <si>
    <t>BTP0225-00070</t>
  </si>
  <si>
    <t>BTP0225-00071</t>
  </si>
  <si>
    <t>BTP0225-00072</t>
  </si>
  <si>
    <t>BTP0225-00074</t>
  </si>
  <si>
    <t>OP0225-00035</t>
  </si>
  <si>
    <t>KHARISMA ABADI</t>
  </si>
  <si>
    <t>FITTING LAMPU BROCO E27</t>
  </si>
  <si>
    <t>BTP0225-00075</t>
  </si>
  <si>
    <t>OP0225-00036</t>
  </si>
  <si>
    <t>STEAKER BROCO</t>
  </si>
  <si>
    <t>BTP0225-00076</t>
  </si>
  <si>
    <t>OP0225-00043</t>
  </si>
  <si>
    <t>BTP0225-00077</t>
  </si>
  <si>
    <t>OP0225-00044</t>
  </si>
  <si>
    <t>KAIROS KERTA KARYA, CV</t>
  </si>
  <si>
    <t>KAWAT LAS KUNINGAN</t>
  </si>
  <si>
    <t>SEPATU BOOT NO 40</t>
  </si>
  <si>
    <t>CUTTING WHEEL 4" X 6 MM (HAMPELAS)</t>
  </si>
  <si>
    <t>SEPATU BOOT NO. 42</t>
  </si>
  <si>
    <t>SILICONE TUBBING</t>
  </si>
  <si>
    <t>BTP0225-00079</t>
  </si>
  <si>
    <t>BTP0225-00080</t>
  </si>
  <si>
    <t>OP0225-00011</t>
  </si>
  <si>
    <t>BTP0225-00081</t>
  </si>
  <si>
    <t>OP0225-00021</t>
  </si>
  <si>
    <t>BTP0225-00082</t>
  </si>
  <si>
    <t>OP0225-00040</t>
  </si>
  <si>
    <t>BTP0225-00083</t>
  </si>
  <si>
    <t>OP0225-00041</t>
  </si>
  <si>
    <t>SUSD012</t>
  </si>
  <si>
    <t>SIDR210</t>
  </si>
  <si>
    <t>SIDR057</t>
  </si>
  <si>
    <t>SIDR133</t>
  </si>
  <si>
    <t>04002500041039171</t>
  </si>
  <si>
    <t>04002500040284193</t>
  </si>
  <si>
    <t>04002500031622532</t>
  </si>
  <si>
    <t>04002500031628479</t>
  </si>
  <si>
    <t>04002500019780720</t>
  </si>
  <si>
    <t>04002500024227011</t>
  </si>
  <si>
    <t>04002500033451954</t>
  </si>
  <si>
    <t>04002500033477489</t>
  </si>
  <si>
    <t>04002500022442284</t>
  </si>
  <si>
    <t>04002500023926402</t>
  </si>
  <si>
    <t>04002500022761557</t>
  </si>
  <si>
    <t>04002500032477226</t>
  </si>
  <si>
    <t>04002500031016432</t>
  </si>
  <si>
    <t>04002500017499171</t>
  </si>
  <si>
    <t>04002500017351160</t>
  </si>
  <si>
    <t>04002500040463607</t>
  </si>
  <si>
    <t>04002500043120938</t>
  </si>
  <si>
    <t>04002500043120915</t>
  </si>
  <si>
    <t>04002500043125993</t>
  </si>
  <si>
    <t>04002500043125988</t>
  </si>
  <si>
    <t>04002500041788634</t>
  </si>
  <si>
    <t>04002500040822322</t>
  </si>
  <si>
    <t>BTP0225-00084</t>
  </si>
  <si>
    <t>OP0225-00050</t>
  </si>
  <si>
    <t>BTP0225-00085</t>
  </si>
  <si>
    <t>BTP0225-00086</t>
  </si>
  <si>
    <t>OP0225-00051</t>
  </si>
  <si>
    <t>LAKBAN KERTAS KUNING 2"</t>
  </si>
  <si>
    <t>BTP0225-00087</t>
  </si>
  <si>
    <t>OP0225-00039</t>
  </si>
  <si>
    <t>DISPERSE BLUE SE2</t>
  </si>
  <si>
    <t>BTP0225-00088</t>
  </si>
  <si>
    <t>BTP0225-00089</t>
  </si>
  <si>
    <t>OP0225-00049</t>
  </si>
  <si>
    <t>MCB 2A - 1 PHASE</t>
  </si>
  <si>
    <t>BTP0225-00090</t>
  </si>
  <si>
    <t>OP0225-00054</t>
  </si>
  <si>
    <t>BTP0225-00091</t>
  </si>
  <si>
    <t>OP0225-00055</t>
  </si>
  <si>
    <t>BALL VALVE STAINLESS 1"</t>
  </si>
  <si>
    <t>KLEM SLANG 1 1/2"</t>
  </si>
  <si>
    <t>TANG SNAP RING BUKA 10"</t>
  </si>
  <si>
    <t>OLI CAN 300 CC</t>
  </si>
  <si>
    <t>TANG SNAP RING TUTUP 10"</t>
  </si>
  <si>
    <t>BTP0225-00092</t>
  </si>
  <si>
    <t>OP0225-00056</t>
  </si>
  <si>
    <t>METERAN 3 M</t>
  </si>
  <si>
    <t>TESPEN</t>
  </si>
  <si>
    <t>BTP0225-00093</t>
  </si>
  <si>
    <t>OP0225-00057</t>
  </si>
  <si>
    <t>BTP0225-00094</t>
  </si>
  <si>
    <t>OP0225-00045</t>
  </si>
  <si>
    <t>BTP0225-00095</t>
  </si>
  <si>
    <t>OP0225-00046</t>
  </si>
  <si>
    <t>ROLL TEFLON / PULLEY TEFLON</t>
  </si>
  <si>
    <t>BTP0225-00098</t>
  </si>
  <si>
    <t>PL0225-00011</t>
  </si>
  <si>
    <t>KROMATINDOMAS KIMIATAMA</t>
  </si>
  <si>
    <t>CHROMASPEC PAC ( B )</t>
  </si>
  <si>
    <t>BTP0225-00099</t>
  </si>
  <si>
    <t>BTP0225-00100</t>
  </si>
  <si>
    <t>OP0225-00027</t>
  </si>
  <si>
    <t>BEARING 3310 B TVH - C3 FAG</t>
  </si>
  <si>
    <t>BEARING 6006</t>
  </si>
  <si>
    <t>BTP0225-00101</t>
  </si>
  <si>
    <t>OP0225-00047</t>
  </si>
  <si>
    <t>BTP0225-00102</t>
  </si>
  <si>
    <t>OP0225-00048</t>
  </si>
  <si>
    <t>BEARING 6203</t>
  </si>
  <si>
    <t>BTP0225-00103</t>
  </si>
  <si>
    <t>BTP0225-00104</t>
  </si>
  <si>
    <t>BTP0225-00105</t>
  </si>
  <si>
    <t>SUSD024</t>
  </si>
  <si>
    <t>SIDR196</t>
  </si>
  <si>
    <t>Keb. Kantor dan pabrik</t>
  </si>
  <si>
    <t>Claim</t>
  </si>
  <si>
    <t>Jasa Buang Limbah</t>
  </si>
  <si>
    <t>Biaya Gaji Security</t>
  </si>
  <si>
    <t>R/C</t>
  </si>
  <si>
    <t>KETERANGAN</t>
  </si>
  <si>
    <t>04002500042694181</t>
  </si>
  <si>
    <t>04002500030387509</t>
  </si>
  <si>
    <t>04002500040879070</t>
  </si>
  <si>
    <t>04002500044512681</t>
  </si>
  <si>
    <t>04002500024085782</t>
  </si>
  <si>
    <t>BTP0225-00106</t>
  </si>
  <si>
    <t>BTP0225-00107</t>
  </si>
  <si>
    <t>OP0225-00038</t>
  </si>
  <si>
    <t>DISPERSE ORANGE 2GF 200%</t>
  </si>
  <si>
    <t>BTP0225-00108</t>
  </si>
  <si>
    <t>OP0225-00058</t>
  </si>
  <si>
    <t>DISPERSE BLUE SE 2R ( UNICRON )</t>
  </si>
  <si>
    <t>BTP0225-00111</t>
  </si>
  <si>
    <t>OP0225-00052</t>
  </si>
  <si>
    <t>BTP0225-00112</t>
  </si>
  <si>
    <t>OP0225-00053</t>
  </si>
  <si>
    <t>BTP0225-00113</t>
  </si>
  <si>
    <t>BTP0225-00114</t>
  </si>
  <si>
    <t>OP0225-00059</t>
  </si>
  <si>
    <t>BTP0225-00115</t>
  </si>
  <si>
    <t>OP0225-00060</t>
  </si>
  <si>
    <t>BTP0225-00116</t>
  </si>
  <si>
    <t>OP0225-00018</t>
  </si>
  <si>
    <t>BTP0225-00117</t>
  </si>
  <si>
    <t>OP0225-00062</t>
  </si>
  <si>
    <t>BTP0225-00120</t>
  </si>
  <si>
    <t>OP0225-00071</t>
  </si>
  <si>
    <t>BTP0225-00121</t>
  </si>
  <si>
    <t>OP0225-00061</t>
  </si>
  <si>
    <t>BTP0225-00122</t>
  </si>
  <si>
    <t>OP0225-00063</t>
  </si>
  <si>
    <t>BTP0225-00123</t>
  </si>
  <si>
    <t>OP0225-00072</t>
  </si>
  <si>
    <t>SINAR PANCAR</t>
  </si>
  <si>
    <t>SERVICE ELECTROMOTOR 3 HP</t>
  </si>
  <si>
    <t>BTP0225-00124</t>
  </si>
  <si>
    <t>OP1224-00054</t>
  </si>
  <si>
    <t>SERVICE ELECTROMOTOR 15 HP</t>
  </si>
  <si>
    <t>BTP0225-00125</t>
  </si>
  <si>
    <t>BTP0225-00126</t>
  </si>
  <si>
    <t>OP0225-00068</t>
  </si>
  <si>
    <t>BEARING UCFL 205</t>
  </si>
  <si>
    <t>SIDR117</t>
  </si>
  <si>
    <t>BATU BARA</t>
  </si>
  <si>
    <t>KEB. KANTOR DAN PABRIK</t>
  </si>
  <si>
    <t>SPAREPART</t>
  </si>
  <si>
    <t>04002500048251291</t>
  </si>
  <si>
    <t>BTP0225-00127</t>
  </si>
  <si>
    <t>BTP0225-00128</t>
  </si>
  <si>
    <t>BTP0225-00129</t>
  </si>
  <si>
    <t>BTP0225-00130</t>
  </si>
  <si>
    <t>OP0225-00067</t>
  </si>
  <si>
    <t>KABEL CCTV CAT 5</t>
  </si>
  <si>
    <t>Roll</t>
  </si>
  <si>
    <t>BTP0225-00131</t>
  </si>
  <si>
    <t>OP0225-00069</t>
  </si>
  <si>
    <t>KARET RUBBER SQUZEE 50 MM X 7 MM X 180 CM</t>
  </si>
  <si>
    <t>BTP0225-00132</t>
  </si>
  <si>
    <t>OP0225-00070</t>
  </si>
  <si>
    <t>LUBRINDO AGUNG PERKASA, PT</t>
  </si>
  <si>
    <t>OLI COMPRESOR CASTROL AIRCOL CM 32</t>
  </si>
  <si>
    <t>BTP0225-00133</t>
  </si>
  <si>
    <t>OP0225-00074</t>
  </si>
  <si>
    <t>SELANG AIR 1" BENANG</t>
  </si>
  <si>
    <t>METER</t>
  </si>
  <si>
    <t>BTP0225-00134</t>
  </si>
  <si>
    <t>OP0225-00076</t>
  </si>
  <si>
    <t>BAUD L STAINLESS 10 X 110</t>
  </si>
  <si>
    <t>BTP0225-00135</t>
  </si>
  <si>
    <t>OP0225-00077</t>
  </si>
  <si>
    <t>BTP0225-00136</t>
  </si>
  <si>
    <t>OP0225-00078</t>
  </si>
  <si>
    <t>RANTAI RS 60 - 1</t>
  </si>
  <si>
    <t>BTP0225-00137</t>
  </si>
  <si>
    <t>OP0225-00079</t>
  </si>
  <si>
    <t>WEARING 97 X 100 X 4</t>
  </si>
  <si>
    <t>BTP0225-00140</t>
  </si>
  <si>
    <t>OP0225-00065</t>
  </si>
  <si>
    <t>MAKMUR SANTOSA SEJATI, PT</t>
  </si>
  <si>
    <t>BESI PLAT 240 X 120 X 5 MM</t>
  </si>
  <si>
    <t>BESI PLAT 120 X 240 X 3 MM</t>
  </si>
  <si>
    <t>BTP0225-00141</t>
  </si>
  <si>
    <t>OP0225-00073</t>
  </si>
  <si>
    <t>BESI SIKU 5 X 5 CM</t>
  </si>
  <si>
    <t>BTP0225-00142</t>
  </si>
  <si>
    <t>BTP0225-00143</t>
  </si>
  <si>
    <t>BTP0225-00145</t>
  </si>
  <si>
    <t>OP0225-00066</t>
  </si>
  <si>
    <t>SIDR199</t>
  </si>
  <si>
    <t>SIDR073</t>
  </si>
  <si>
    <t>0056022</t>
  </si>
  <si>
    <t>0056070</t>
  </si>
  <si>
    <t>0055724</t>
  </si>
  <si>
    <t>0056098</t>
  </si>
  <si>
    <t>0055972</t>
  </si>
  <si>
    <t>0056210</t>
  </si>
  <si>
    <t>0056064</t>
  </si>
  <si>
    <t>0056267</t>
  </si>
  <si>
    <t>0056195</t>
  </si>
  <si>
    <t>0056257</t>
  </si>
  <si>
    <t>0056335</t>
  </si>
  <si>
    <t>0056137</t>
  </si>
  <si>
    <t>0056412</t>
  </si>
  <si>
    <t>0056466</t>
  </si>
  <si>
    <t>0056492</t>
  </si>
  <si>
    <t>JASA KEAMANAN 15 FEBRUARI 2025 SD 14 MARET 2025</t>
  </si>
  <si>
    <t>04002500020945552</t>
  </si>
  <si>
    <t>MITRA PRIANGAN TEKNOLOGI</t>
  </si>
  <si>
    <t>TONER103AD</t>
  </si>
  <si>
    <t>04002500049150547</t>
  </si>
  <si>
    <t>DYEING</t>
  </si>
  <si>
    <t>DYESTUFF</t>
  </si>
  <si>
    <t>LIMBAH</t>
  </si>
  <si>
    <t>ENGRAVING</t>
  </si>
  <si>
    <t>BOILER</t>
  </si>
  <si>
    <t>CK</t>
  </si>
  <si>
    <t>FINISHING</t>
  </si>
  <si>
    <t>BIAYA GAJI SECURITY</t>
  </si>
  <si>
    <t>JASA BUANG LIMBAH</t>
  </si>
  <si>
    <t>SIDR244</t>
  </si>
  <si>
    <t>04002500050122160</t>
  </si>
  <si>
    <t>04002500048256178</t>
  </si>
  <si>
    <t>04002500039061817</t>
  </si>
  <si>
    <t>04002500048829935</t>
  </si>
  <si>
    <t>04002500048829960</t>
  </si>
  <si>
    <t>04002500044507430</t>
  </si>
  <si>
    <t>04002500053166694</t>
  </si>
  <si>
    <t>04002500044231926</t>
  </si>
  <si>
    <t>04002500046340412</t>
  </si>
  <si>
    <t>04002500047608669</t>
  </si>
  <si>
    <t>04002500048601205</t>
  </si>
  <si>
    <t>04002500046839877</t>
  </si>
  <si>
    <t>04002500048289323</t>
  </si>
  <si>
    <t>04002500043644190</t>
  </si>
  <si>
    <t>04002500043644191</t>
  </si>
  <si>
    <t>04002500048785270</t>
  </si>
  <si>
    <t>BTP0325-00005</t>
  </si>
  <si>
    <t>OP0225-00086</t>
  </si>
  <si>
    <t>BTP0325-00001</t>
  </si>
  <si>
    <t>BTP0325-00008</t>
  </si>
  <si>
    <t>OP0325-00001</t>
  </si>
  <si>
    <t>BTP0325-00003</t>
  </si>
  <si>
    <t>OP0225-00084</t>
  </si>
  <si>
    <t>BTP0325-00006</t>
  </si>
  <si>
    <t>OP0225-00075</t>
  </si>
  <si>
    <t>BTP0325-00002</t>
  </si>
  <si>
    <t>OP0225-00082</t>
  </si>
  <si>
    <t>LAMPU HALOGEN 300 WATT PLUS LINE</t>
  </si>
  <si>
    <t>BTP0325-00009</t>
  </si>
  <si>
    <t>OP0325-00002</t>
  </si>
  <si>
    <t>BTP0325-00004</t>
  </si>
  <si>
    <t>OP0225-00085</t>
  </si>
  <si>
    <t>BTP0325-00007</t>
  </si>
  <si>
    <t>OP0225-00087</t>
  </si>
  <si>
    <t>LAMPU SOROT LED 100 WATT</t>
  </si>
  <si>
    <t>BTP0325-00015</t>
  </si>
  <si>
    <t>PL0325-00003</t>
  </si>
  <si>
    <t>RAJA AUTO MAKMUR, CV</t>
  </si>
  <si>
    <t>ACCU INOE GOLD N50Z 60AH</t>
  </si>
  <si>
    <t>1105801</t>
  </si>
  <si>
    <t>PERSEDIAAN UMUM DAN MAINTENANCE</t>
  </si>
  <si>
    <t>BTP0325-00011</t>
  </si>
  <si>
    <t>OP0225-00083</t>
  </si>
  <si>
    <t>BTP0325-00013</t>
  </si>
  <si>
    <t>OP0325-00005</t>
  </si>
  <si>
    <t>CAT HITAM HIGH TEMPERATURE</t>
  </si>
  <si>
    <t>GLN</t>
  </si>
  <si>
    <t>BTP0325-00010</t>
  </si>
  <si>
    <t>OP0225-00081</t>
  </si>
  <si>
    <t>BTP0325-00012</t>
  </si>
  <si>
    <t>OP0325-00004</t>
  </si>
  <si>
    <t>PLAT BESI 3 MM</t>
  </si>
  <si>
    <t>CAT SILVER HIGH TEMPERATURE</t>
  </si>
  <si>
    <t>MENI BESI</t>
  </si>
  <si>
    <t>BESI SIKU 4 X 4 CM</t>
  </si>
  <si>
    <t>KB013421</t>
  </si>
  <si>
    <t>PEMAKAIAN AIR FEBRUARI 2025 4.876 M3 X Rp 8.500</t>
  </si>
  <si>
    <t>04002500042594046</t>
  </si>
  <si>
    <t>0400250004873004</t>
  </si>
  <si>
    <t>04002500048227660</t>
  </si>
  <si>
    <t>04002500048040603</t>
  </si>
  <si>
    <t>04002500052064162</t>
  </si>
  <si>
    <t>04002500036097834</t>
  </si>
  <si>
    <t>04002500048769089</t>
  </si>
  <si>
    <t>04002500048768933</t>
  </si>
  <si>
    <t>04002500049369178</t>
  </si>
  <si>
    <t>04002500055269151</t>
  </si>
  <si>
    <t>04002500055273031</t>
  </si>
  <si>
    <t>04002500041361849</t>
  </si>
  <si>
    <t>04002500041361658</t>
  </si>
  <si>
    <t>04002500041361421</t>
  </si>
  <si>
    <t>04002500047907314</t>
  </si>
  <si>
    <t>04002500047907259</t>
  </si>
  <si>
    <t>04002500047435226</t>
  </si>
  <si>
    <t>04002500047435209</t>
  </si>
  <si>
    <t>04002500050586010</t>
  </si>
  <si>
    <t>04002500050585995</t>
  </si>
  <si>
    <t>04002500050585771</t>
  </si>
  <si>
    <t>04002500050585752</t>
  </si>
  <si>
    <t>04002500052832686</t>
  </si>
  <si>
    <t>04002500052832652</t>
  </si>
  <si>
    <t>04002500054675940</t>
  </si>
  <si>
    <t>04002500054675919</t>
  </si>
  <si>
    <t>RC</t>
  </si>
  <si>
    <t>04002500055520284</t>
  </si>
  <si>
    <t>04002500049782796</t>
  </si>
  <si>
    <t>04002500049782797</t>
  </si>
  <si>
    <t>04002500045177959</t>
  </si>
  <si>
    <t>04002500043893099</t>
  </si>
  <si>
    <t>04002500043892732</t>
  </si>
  <si>
    <t>04002500050132647</t>
  </si>
  <si>
    <t>04002500050132648</t>
  </si>
  <si>
    <t>04002500050135232</t>
  </si>
  <si>
    <t>04002500050135235</t>
  </si>
  <si>
    <t>04002500050150158</t>
  </si>
  <si>
    <t>04002500029342615</t>
  </si>
  <si>
    <t>0400250004665213</t>
  </si>
  <si>
    <t>BTP0325-00016</t>
  </si>
  <si>
    <t>OP0225-00088</t>
  </si>
  <si>
    <t>BTP0325-00017</t>
  </si>
  <si>
    <t>OP0225-00080</t>
  </si>
  <si>
    <t>BTP0325-00018</t>
  </si>
  <si>
    <t>OP0325-00007</t>
  </si>
  <si>
    <t>BTP0325-00019</t>
  </si>
  <si>
    <t>OP0325-00008</t>
  </si>
  <si>
    <t>BTP0325-00020</t>
  </si>
  <si>
    <t>OP0325-00010</t>
  </si>
  <si>
    <t>DISPERSE YELLOW ACE (LONGPERSE)</t>
  </si>
  <si>
    <t>BTP0325-00021</t>
  </si>
  <si>
    <t>OP0325-00009</t>
  </si>
  <si>
    <t>PIGMENT BLUE 11</t>
  </si>
  <si>
    <t>BTP0325-00022</t>
  </si>
  <si>
    <t>OP0325-00011</t>
  </si>
  <si>
    <t>BTP0325-00023</t>
  </si>
  <si>
    <t>OP0225-00089</t>
  </si>
  <si>
    <t>BTP0325-00024</t>
  </si>
  <si>
    <t>OP0325-00013</t>
  </si>
  <si>
    <t>LEM FOX AIBON KUNING</t>
  </si>
  <si>
    <t>LEM TETES / LEM KOREA</t>
  </si>
  <si>
    <t>BTP0325-00025</t>
  </si>
  <si>
    <t>BTP0325-00026</t>
  </si>
  <si>
    <t>OP0325-00003</t>
  </si>
  <si>
    <t>BTP0325-00027</t>
  </si>
  <si>
    <t>OP0325-00012</t>
  </si>
  <si>
    <t>KARET RUBBER SQUUZE UK 50MM X 7MM X 3 MTR</t>
  </si>
  <si>
    <t>BTP0325-00028</t>
  </si>
  <si>
    <t>OP0325-00006</t>
  </si>
  <si>
    <t>BTP0325-00029</t>
  </si>
  <si>
    <t>BTP0325-00030</t>
  </si>
  <si>
    <t>BTP0325-00031</t>
  </si>
  <si>
    <t>OP0225-00064</t>
  </si>
  <si>
    <t>PLASTIK PE UK 80 X 150 X 0.05</t>
  </si>
  <si>
    <t>PLASTIK PE UK 80 X 200 X 0.5</t>
  </si>
  <si>
    <t>SIDR192</t>
  </si>
  <si>
    <t>SINAR PRIMER PEMB AGUSTUS 401.500</t>
  </si>
  <si>
    <t>BTP0325-00033</t>
  </si>
  <si>
    <t>PL0325-00005</t>
  </si>
  <si>
    <t>HAMZAH, BPK</t>
  </si>
  <si>
    <t>BLANKET PRINTING SIZE 3000MM X 4500MM</t>
  </si>
  <si>
    <t>BTP0325-00034</t>
  </si>
  <si>
    <t>BTP0325-00037</t>
  </si>
  <si>
    <t>BTP0325-00038</t>
  </si>
  <si>
    <t>BTP0325-00039</t>
  </si>
  <si>
    <t>BTP0325-00040</t>
  </si>
  <si>
    <t>BTP0325-00041</t>
  </si>
  <si>
    <t>OP0325-00016</t>
  </si>
  <si>
    <t>BTP0325-00042</t>
  </si>
  <si>
    <t>OP0325-00014</t>
  </si>
  <si>
    <t>TBG</t>
  </si>
  <si>
    <t>BTP0325-00044</t>
  </si>
  <si>
    <t>PL0325-00010</t>
  </si>
  <si>
    <t>APK POWDER 9 KG</t>
  </si>
  <si>
    <t>BTP0325-00045</t>
  </si>
  <si>
    <t>BTP0325-00046</t>
  </si>
  <si>
    <t>OP0325-00019</t>
  </si>
  <si>
    <t>BTP0325-00047</t>
  </si>
  <si>
    <t>OP0325-00023</t>
  </si>
  <si>
    <t>BTP0325-00048</t>
  </si>
  <si>
    <t>OP0325-00022</t>
  </si>
  <si>
    <t>BTP0325-00049</t>
  </si>
  <si>
    <t>OP0325-00020</t>
  </si>
  <si>
    <t>HYSOFT TE - 90</t>
  </si>
  <si>
    <t>BTP0325-00051</t>
  </si>
  <si>
    <t>OP0225-00037</t>
  </si>
  <si>
    <t>SINAR JAYA, CV</t>
  </si>
  <si>
    <t>NFB 3PH 32A</t>
  </si>
  <si>
    <t>BTP0325-00052</t>
  </si>
  <si>
    <t>BTP0325-00053</t>
  </si>
  <si>
    <t>OP0325-00018</t>
  </si>
  <si>
    <t>BTP0325-00054</t>
  </si>
  <si>
    <t>OP0325-00028</t>
  </si>
  <si>
    <t>KUNCI RING PAS 10</t>
  </si>
  <si>
    <t>KUNCI RING PAS 13</t>
  </si>
  <si>
    <t>BTP0325-00055</t>
  </si>
  <si>
    <t>OP0325-00035</t>
  </si>
  <si>
    <t>DATA PRODUKSI CK</t>
  </si>
  <si>
    <t>BTP0325-00056</t>
  </si>
  <si>
    <t>OP0325-00037</t>
  </si>
  <si>
    <t>SEKOP</t>
  </si>
  <si>
    <t>BTP0325-00057</t>
  </si>
  <si>
    <t>OP0325-00038</t>
  </si>
  <si>
    <t>SELANG LPG DOUBLE (SELANG BLANDER)</t>
  </si>
  <si>
    <t>FITTING QS 3/8 - 08</t>
  </si>
  <si>
    <t>REGULATOR OKSIGEN</t>
  </si>
  <si>
    <t>FITTING QS 1/4 - 08</t>
  </si>
  <si>
    <t>BTP0325-00058</t>
  </si>
  <si>
    <t>OP0325-00039</t>
  </si>
  <si>
    <t>CUTTING NOZZLE NO. 2</t>
  </si>
  <si>
    <t>CUTTING NOZZLE NO 3</t>
  </si>
  <si>
    <t>CUTTING NOZZLE NO. 1</t>
  </si>
  <si>
    <t>BTP0325-00059</t>
  </si>
  <si>
    <t>OP0325-00040</t>
  </si>
  <si>
    <t>BTP0325-00060</t>
  </si>
  <si>
    <t>OP0325-00015</t>
  </si>
  <si>
    <t>BTP0325-00061</t>
  </si>
  <si>
    <t>OP0325-00017</t>
  </si>
  <si>
    <t>BTP0325-00062</t>
  </si>
  <si>
    <t>OP0325-00027</t>
  </si>
  <si>
    <t>BTP0325-00063</t>
  </si>
  <si>
    <t>BTP0325-00064</t>
  </si>
  <si>
    <t>BTP0325-00065</t>
  </si>
  <si>
    <t>BTP0325-00066</t>
  </si>
  <si>
    <t>OP0325-00025</t>
  </si>
  <si>
    <t>ELEPHANT JAYA KARYA, CV</t>
  </si>
  <si>
    <t>RENOGENT</t>
  </si>
  <si>
    <t>BTP0325-00067</t>
  </si>
  <si>
    <t>OP0325-00030</t>
  </si>
  <si>
    <t>KAWAT LAS RB 2.6 MM</t>
  </si>
  <si>
    <t>KAWAT LAS RB 3.2</t>
  </si>
  <si>
    <t>BTP0325-00068</t>
  </si>
  <si>
    <t>BTP0325-00069</t>
  </si>
  <si>
    <t>OP0325-00032</t>
  </si>
  <si>
    <t>BTP0325-00070</t>
  </si>
  <si>
    <t>OP0325-00036</t>
  </si>
  <si>
    <t>DISPERSE BLUE SE2R 200% ( LONGPERSE )</t>
  </si>
  <si>
    <t>BTP0325-00071</t>
  </si>
  <si>
    <t>BTP0325-00072</t>
  </si>
  <si>
    <t>SIDR175</t>
  </si>
  <si>
    <t>SIDR116</t>
  </si>
  <si>
    <t>SIDR252</t>
  </si>
  <si>
    <t>04002500059672769</t>
  </si>
  <si>
    <t>04002500053715454</t>
  </si>
  <si>
    <t>04002500052224419</t>
  </si>
  <si>
    <t>04002500051430425</t>
  </si>
  <si>
    <t>04002500054715259</t>
  </si>
  <si>
    <t>04002500054715261</t>
  </si>
  <si>
    <t>04002500054715260</t>
  </si>
  <si>
    <t>04002500060182893</t>
  </si>
  <si>
    <t>04002500056963478</t>
  </si>
  <si>
    <t>04002500052566629</t>
  </si>
  <si>
    <t>04002500053496021</t>
  </si>
  <si>
    <t>04002500053109144</t>
  </si>
  <si>
    <t>04002500053109141</t>
  </si>
  <si>
    <t>04002500053109142</t>
  </si>
  <si>
    <t>04002500053599375</t>
  </si>
  <si>
    <t>04002500054045844</t>
  </si>
  <si>
    <t>04002500046675670</t>
  </si>
  <si>
    <t>04002500056513797</t>
  </si>
  <si>
    <t>04002500061021658</t>
  </si>
  <si>
    <t>04002500060405509</t>
  </si>
  <si>
    <t>04002500064577581</t>
  </si>
  <si>
    <t>04002500056933990</t>
  </si>
  <si>
    <t>04002500056933992</t>
  </si>
  <si>
    <t>04002500061634592</t>
  </si>
  <si>
    <t>04002500058789413</t>
  </si>
  <si>
    <t>04002500058737097</t>
  </si>
  <si>
    <t>04002500060023212</t>
  </si>
  <si>
    <t>04002500060012618</t>
  </si>
  <si>
    <t>04002500048299497</t>
  </si>
  <si>
    <t>04002500071119813</t>
  </si>
  <si>
    <t>04002500077421729</t>
  </si>
  <si>
    <t>04002500067146558</t>
  </si>
  <si>
    <t>04002500067146546</t>
  </si>
  <si>
    <t>04002500067146559</t>
  </si>
  <si>
    <t>04002500068878494</t>
  </si>
  <si>
    <t>04002500070250251</t>
  </si>
  <si>
    <t>04002500068339274</t>
  </si>
  <si>
    <t>04002500064284698</t>
  </si>
  <si>
    <t>04002500066860073</t>
  </si>
  <si>
    <t>04002500070370636</t>
  </si>
  <si>
    <t>04002500070331595</t>
  </si>
  <si>
    <t>04002500079368672</t>
  </si>
  <si>
    <t>BIAYA SEWA DAN PEMAKAIAN MESIN FOTOCOPY</t>
  </si>
  <si>
    <t>04002500076125730</t>
  </si>
  <si>
    <t>BLN</t>
  </si>
  <si>
    <t>KB 013485</t>
  </si>
  <si>
    <t>BTP0325-00073</t>
  </si>
  <si>
    <t>BTP0325-00074</t>
  </si>
  <si>
    <t>BTP0325-00075</t>
  </si>
  <si>
    <t>OP0325-00029</t>
  </si>
  <si>
    <t>BTP0325-00076</t>
  </si>
  <si>
    <t>BTP0325-00077</t>
  </si>
  <si>
    <t>BTP0325-00078</t>
  </si>
  <si>
    <t>OP0325-00021</t>
  </si>
  <si>
    <t>BTP0325-00079</t>
  </si>
  <si>
    <t>OP0325-00024</t>
  </si>
  <si>
    <t>BTP0325-00080</t>
  </si>
  <si>
    <t>OP0325-00026</t>
  </si>
  <si>
    <t>BTP0325-00081</t>
  </si>
  <si>
    <t>OP0325-00041</t>
  </si>
  <si>
    <t>BTP0325-00082</t>
  </si>
  <si>
    <t>OP0325-00042</t>
  </si>
  <si>
    <t>BTP0325-00083</t>
  </si>
  <si>
    <t>OP0325-00045</t>
  </si>
  <si>
    <t>THOMAS SEJAHTERA, CV</t>
  </si>
  <si>
    <t>CASTABEL C 1800 (SEMEN API)</t>
  </si>
  <si>
    <t>ZAK</t>
  </si>
  <si>
    <t>SEMEN API MORTAR</t>
  </si>
  <si>
    <t>BTP0325-00084</t>
  </si>
  <si>
    <t>BTP0325-00085</t>
  </si>
  <si>
    <t>BTP0325-00086</t>
  </si>
  <si>
    <t>BTP0325-00087</t>
  </si>
  <si>
    <t>BTP0325-00088</t>
  </si>
  <si>
    <t>OP0325-00031</t>
  </si>
  <si>
    <t>LAUTAN SOLUSI AIRINDO, PT</t>
  </si>
  <si>
    <t>RESIN TREVERLITE IXC 120/UN/NA</t>
  </si>
  <si>
    <t>BTP0325-00089</t>
  </si>
  <si>
    <t>OP0325-00044</t>
  </si>
  <si>
    <t>TAKEL 3 TON - 5 METER</t>
  </si>
  <si>
    <t>BTP0325-00090</t>
  </si>
  <si>
    <t>OP0325-00046</t>
  </si>
  <si>
    <t>SEMEN</t>
  </si>
  <si>
    <t>CLOSET JONGKOK</t>
  </si>
  <si>
    <t>BTP0325-00091</t>
  </si>
  <si>
    <t>OP0325-00047</t>
  </si>
  <si>
    <t>BEARING 30220</t>
  </si>
  <si>
    <t>BTP0325-00092</t>
  </si>
  <si>
    <t>BTP0325-00093</t>
  </si>
  <si>
    <t>BTP0325-00095</t>
  </si>
  <si>
    <t>OP0325-00049</t>
  </si>
  <si>
    <t>BTP0325-00096</t>
  </si>
  <si>
    <t>OP0325-00050</t>
  </si>
  <si>
    <t>BAUD 30 X 100</t>
  </si>
  <si>
    <t>FITTING QS V0 - 10</t>
  </si>
  <si>
    <t>BAUD MUR M 24 X 90</t>
  </si>
  <si>
    <t>BTP0325-00097</t>
  </si>
  <si>
    <t>OP0325-00043</t>
  </si>
  <si>
    <t>MESIN TRAVO LAS INVERTER 900 WATT 200 A</t>
  </si>
  <si>
    <t>UNTI</t>
  </si>
  <si>
    <t>BTP0325-00098</t>
  </si>
  <si>
    <t>OP0325-00051</t>
  </si>
  <si>
    <t>AIR REGULATOR AR 2000</t>
  </si>
  <si>
    <t>AIR REGULATOR AC 2010 - 02 PAMY</t>
  </si>
  <si>
    <t>BTP0325-00099</t>
  </si>
  <si>
    <t>BTP0325-00100</t>
  </si>
  <si>
    <t>BTP0325-00101</t>
  </si>
  <si>
    <t>BTP0325-00103</t>
  </si>
  <si>
    <t>OP0325-00033</t>
  </si>
  <si>
    <t>EUROASIATIC JAYA, PT</t>
  </si>
  <si>
    <t>ISOWOOL 1260C CERAMIC FIBRE 3600X600X50MM</t>
  </si>
  <si>
    <t>CASTABEL C 1600</t>
  </si>
  <si>
    <t>BATA API SK - 34 ARCH 230 X 115X 76/70</t>
  </si>
  <si>
    <t>BTP0325-00102</t>
  </si>
  <si>
    <t>OP0325-00048</t>
  </si>
  <si>
    <t>LAMPU TL LED 16 WATT PHILIPS</t>
  </si>
  <si>
    <t>BTP0325-00104</t>
  </si>
  <si>
    <t>OP0325-00034</t>
  </si>
  <si>
    <t>BTP0325-00106</t>
  </si>
  <si>
    <t>ROD STAINLESS STEEL D = 6 MM</t>
  </si>
  <si>
    <t>LOT</t>
  </si>
  <si>
    <t>BTP0325-00107</t>
  </si>
  <si>
    <t>OP0325-00053</t>
  </si>
  <si>
    <t>FAJAR BARU TEKNIK MAKMUR, PT</t>
  </si>
  <si>
    <t>INNOTECH 260 (SUPER CLEAN)</t>
  </si>
  <si>
    <t>BTP0325-00108</t>
  </si>
  <si>
    <t>OP0325-00054</t>
  </si>
  <si>
    <t>BATA API IS 8 230 X 115 X 76</t>
  </si>
  <si>
    <t>CALDE PLAST SUPERAL AB 25 KG / BOX</t>
  </si>
  <si>
    <t>BOX</t>
  </si>
  <si>
    <t>BATA API SK - 34 300 X 150 X 76</t>
  </si>
  <si>
    <t>SIDR203</t>
  </si>
  <si>
    <t>SIDR148</t>
  </si>
  <si>
    <t>SIDR253</t>
  </si>
  <si>
    <t>SIDR132</t>
  </si>
  <si>
    <t>KHARIMA BRAHMA SAFETY</t>
  </si>
  <si>
    <t>SIDR254</t>
  </si>
  <si>
    <t>0056481</t>
  </si>
  <si>
    <t>0056394</t>
  </si>
  <si>
    <t>0056491</t>
  </si>
  <si>
    <t>0056540</t>
  </si>
  <si>
    <t>0055850</t>
  </si>
  <si>
    <t>0056688</t>
  </si>
  <si>
    <t>0056387</t>
  </si>
  <si>
    <t>0056689</t>
  </si>
  <si>
    <t>0057014</t>
  </si>
  <si>
    <t>0056855</t>
  </si>
  <si>
    <t>kb 013490</t>
  </si>
  <si>
    <t>JASA KEAMANAN 15 MARET 2025 SD 14 APRIL 2025</t>
  </si>
  <si>
    <t>04002500081332388</t>
  </si>
  <si>
    <t>04002500035495415</t>
  </si>
  <si>
    <t>04002500075598152</t>
  </si>
  <si>
    <t>04002500078400489</t>
  </si>
  <si>
    <t>04002500078973898</t>
  </si>
  <si>
    <t>04002500076329826</t>
  </si>
  <si>
    <t>04002500057761791</t>
  </si>
  <si>
    <t>04002500076047991</t>
  </si>
  <si>
    <t>04002500076756886</t>
  </si>
  <si>
    <t>04002500082977396</t>
  </si>
  <si>
    <t>04002500083716981</t>
  </si>
  <si>
    <t>04002500091724326</t>
  </si>
  <si>
    <t>04002500068315677</t>
  </si>
  <si>
    <t>04002500076681910</t>
  </si>
  <si>
    <t>04002500075410573</t>
  </si>
  <si>
    <t>04002500077994695</t>
  </si>
  <si>
    <t>04002500076431421</t>
  </si>
  <si>
    <t>04002500077101867</t>
  </si>
  <si>
    <t>04002500077101870</t>
  </si>
  <si>
    <t>04002500083074869</t>
  </si>
  <si>
    <t>04002500079571293</t>
  </si>
  <si>
    <t>0400012562378629</t>
  </si>
  <si>
    <t>0400012562378664</t>
  </si>
  <si>
    <t>harap indo 173.799</t>
  </si>
  <si>
    <t>BTP0425-00001</t>
  </si>
  <si>
    <t>BTP0425-00002</t>
  </si>
  <si>
    <t>OP0425-00004</t>
  </si>
  <si>
    <t>BTP0425-00003</t>
  </si>
  <si>
    <t>OP0425-00012</t>
  </si>
  <si>
    <t>BTP0425-00004</t>
  </si>
  <si>
    <t>OP0425-00013</t>
  </si>
  <si>
    <t>BTP0425-00005</t>
  </si>
  <si>
    <t>OP0425-00002</t>
  </si>
  <si>
    <t>PIGMENT BLACK NO</t>
  </si>
  <si>
    <t>BTP0425-00006</t>
  </si>
  <si>
    <t>OP0425-00014</t>
  </si>
  <si>
    <t>KIPAS MOTOR Y - 100 - 100 - 112 D = 28</t>
  </si>
  <si>
    <t>BTP0425-00007</t>
  </si>
  <si>
    <t>OP0425-00015</t>
  </si>
  <si>
    <t>BAUD MUR M 5/8 X 5</t>
  </si>
  <si>
    <t>BAUD MUR M 12 X 30</t>
  </si>
  <si>
    <t>BAUD MUR M 10 X 50</t>
  </si>
  <si>
    <t>BTP0425-00008</t>
  </si>
  <si>
    <t>OP0425-00016</t>
  </si>
  <si>
    <t>FITTING QS 1/2 X 10</t>
  </si>
  <si>
    <t>SPEED CONTROL 3/8 X 8 MM</t>
  </si>
  <si>
    <t>BTP0425-00009</t>
  </si>
  <si>
    <t>OP0425-00017</t>
  </si>
  <si>
    <t>OLI SEAL TC 120 X 150 X 12</t>
  </si>
  <si>
    <t>OLI SEAL TC 130 X 160 X 12</t>
  </si>
  <si>
    <t>BTP0425-00014</t>
  </si>
  <si>
    <t>OP0425-00001</t>
  </si>
  <si>
    <t>BTP0425-00015</t>
  </si>
  <si>
    <t>OP0425-00003</t>
  </si>
  <si>
    <t>TRI TUNGGAL</t>
  </si>
  <si>
    <t>CROMIC ACID</t>
  </si>
  <si>
    <t>BTP0425-00016</t>
  </si>
  <si>
    <t>OP0425-00006</t>
  </si>
  <si>
    <t>BTP0425-00017</t>
  </si>
  <si>
    <t>OP0425-00007</t>
  </si>
  <si>
    <t>OLI GEAR BOX CASTROL ALPHA SP 220</t>
  </si>
  <si>
    <t>BTP0425-00018</t>
  </si>
  <si>
    <t>OP0425-00008</t>
  </si>
  <si>
    <t>BTP0425-00019</t>
  </si>
  <si>
    <t>OP0425-00009</t>
  </si>
  <si>
    <t>BTP0425-00020</t>
  </si>
  <si>
    <t>OP0425-00011</t>
  </si>
  <si>
    <t>RODA HAND LIFT 80 MM</t>
  </si>
  <si>
    <t>SUSD073</t>
  </si>
  <si>
    <t>BTP0425-00021</t>
  </si>
  <si>
    <t>OP0425-00018</t>
  </si>
  <si>
    <t>BTP0425-00022</t>
  </si>
  <si>
    <t>OP0425-00025</t>
  </si>
  <si>
    <t>BTP0425-00023</t>
  </si>
  <si>
    <t>OP0425-00026</t>
  </si>
  <si>
    <t>TRIPLEPLANK POLOS 300 X 4000 X 8 MM</t>
  </si>
  <si>
    <t>CAT TEMBOK PUTIH</t>
  </si>
  <si>
    <t>PAIL</t>
  </si>
  <si>
    <t>TALANG PVC</t>
  </si>
  <si>
    <t>CAT AVIAN COKLAT 306</t>
  </si>
  <si>
    <t>TRIPLEK 6 MM</t>
  </si>
  <si>
    <t>PAKU 5 CM</t>
  </si>
  <si>
    <t>BTP0425-00024</t>
  </si>
  <si>
    <t>OP0425-00027</t>
  </si>
  <si>
    <t>GANTUNGAN TALANG PVC</t>
  </si>
  <si>
    <t>KASO 5 X 5</t>
  </si>
  <si>
    <t>BTP0425-00025</t>
  </si>
  <si>
    <t>BTP0425-00026</t>
  </si>
  <si>
    <t>OP0425-00032</t>
  </si>
  <si>
    <t>BTP0425-00027</t>
  </si>
  <si>
    <t>OP0425-00005</t>
  </si>
  <si>
    <t>WD 40</t>
  </si>
  <si>
    <t>BTP0425-00028</t>
  </si>
  <si>
    <t>OP0425-00023</t>
  </si>
  <si>
    <t>BTP0425-00029</t>
  </si>
  <si>
    <t>OP0425-00024</t>
  </si>
  <si>
    <t>BTP0425-00030</t>
  </si>
  <si>
    <t>OP0425-00010</t>
  </si>
  <si>
    <t>BTP0425-00031</t>
  </si>
  <si>
    <t>OP0325-00052</t>
  </si>
  <si>
    <t>BTP0425-00035</t>
  </si>
  <si>
    <t>OP0425-00019</t>
  </si>
  <si>
    <t>FLOW METER 4"</t>
  </si>
  <si>
    <t>BTP0425-00036</t>
  </si>
  <si>
    <t>OP0425-00020</t>
  </si>
  <si>
    <t>BTP0425-00037</t>
  </si>
  <si>
    <t>OP0425-00028</t>
  </si>
  <si>
    <t>BTP0425-00038</t>
  </si>
  <si>
    <t>OP0425-00029</t>
  </si>
  <si>
    <t>BTP0425-00039</t>
  </si>
  <si>
    <t>OP0425-00030</t>
  </si>
  <si>
    <t>BTP0425-00040</t>
  </si>
  <si>
    <t>OP0425-00031</t>
  </si>
  <si>
    <t>SARICHEM POLYWARNA, PT</t>
  </si>
  <si>
    <t>DISPERSE VIOLET S3R (ATLACRON)</t>
  </si>
  <si>
    <t>BTP0425-00041</t>
  </si>
  <si>
    <t>OP0425-00033</t>
  </si>
  <si>
    <t>LAPORAN PACKING</t>
  </si>
  <si>
    <t>RIM</t>
  </si>
  <si>
    <t>BTP0425-00042</t>
  </si>
  <si>
    <t>OP0425-00035</t>
  </si>
  <si>
    <t>BTP0425-00043</t>
  </si>
  <si>
    <t>OP0425-00034</t>
  </si>
  <si>
    <t>BTP0425-00046</t>
  </si>
  <si>
    <t>PL0325-00001</t>
  </si>
  <si>
    <t>ADI RAYA MANDIRI, PT</t>
  </si>
  <si>
    <t>SERVOPACK YASKAWA SGDV-200A01A002000</t>
  </si>
  <si>
    <t>04002500099728197</t>
  </si>
  <si>
    <t>SIDR255</t>
  </si>
  <si>
    <t>SUSD046</t>
  </si>
  <si>
    <t>BTP0425-00048</t>
  </si>
  <si>
    <t>BTP0425-00049</t>
  </si>
  <si>
    <t>OP0425-00051</t>
  </si>
  <si>
    <t>CAT AVIAN BIRU 733</t>
  </si>
  <si>
    <t>BTP0425-00050</t>
  </si>
  <si>
    <t>OP0425-00052</t>
  </si>
  <si>
    <t>KOAS 1"</t>
  </si>
  <si>
    <t>KOAS 2"</t>
  </si>
  <si>
    <t>STOP CONTACT 2 LUBANG</t>
  </si>
  <si>
    <t>BTP0425-00051</t>
  </si>
  <si>
    <t>OP0425-00053</t>
  </si>
  <si>
    <t>BAUD MUR STAINLESS 10 X 40</t>
  </si>
  <si>
    <t>BAUD MUR STAINLESS 5/8 X 3</t>
  </si>
  <si>
    <t>HAND TAP 10 MM</t>
  </si>
  <si>
    <t>BAUD MUR STAINLESS 5/8 X 2 1/2"</t>
  </si>
  <si>
    <t>BTP0425-00052</t>
  </si>
  <si>
    <t>OP0425-00054</t>
  </si>
  <si>
    <t>COUPLING FCL 160</t>
  </si>
  <si>
    <t>BTP0425-00053</t>
  </si>
  <si>
    <t>OP0425-00055</t>
  </si>
  <si>
    <t>BTP0425-00054</t>
  </si>
  <si>
    <t>OP0425-00021</t>
  </si>
  <si>
    <t>MCB 6A 1 PHASE</t>
  </si>
  <si>
    <t>BTP0425-00055</t>
  </si>
  <si>
    <t>OP0425-00022</t>
  </si>
  <si>
    <t>KABEL TIES 150 MM</t>
  </si>
  <si>
    <t>BTP0425-00056</t>
  </si>
  <si>
    <t>BTP0425-00057</t>
  </si>
  <si>
    <t>OP0425-00041</t>
  </si>
  <si>
    <t>BTP0425-00058</t>
  </si>
  <si>
    <t>BTP0425-00059</t>
  </si>
  <si>
    <t>BTP0425-00060</t>
  </si>
  <si>
    <t>BTP0425-00061</t>
  </si>
  <si>
    <t>OP0425-00058</t>
  </si>
  <si>
    <t>DYAPOL N - 10 ( SABUN )</t>
  </si>
  <si>
    <t>BTP0425-00062</t>
  </si>
  <si>
    <t>OP0425-00057</t>
  </si>
  <si>
    <t>BTP0425-00063</t>
  </si>
  <si>
    <t>BTP0425-00064</t>
  </si>
  <si>
    <t>OP0425-00037</t>
  </si>
  <si>
    <t>ANUGERAH PRATAMA KEMILAU, PT</t>
  </si>
  <si>
    <t>KARISIL 803 N</t>
  </si>
  <si>
    <t>BTP0425-00065</t>
  </si>
  <si>
    <t>BTP0425-00066</t>
  </si>
  <si>
    <t>BTP0425-00067</t>
  </si>
  <si>
    <t>OP0425-00036</t>
  </si>
  <si>
    <t>BTP0425-00068</t>
  </si>
  <si>
    <t>OP0425-00039</t>
  </si>
  <si>
    <t>BTP0425-00069</t>
  </si>
  <si>
    <t>OP0425-00048</t>
  </si>
  <si>
    <t>PVAC 503</t>
  </si>
  <si>
    <t>BTP0425-00070</t>
  </si>
  <si>
    <t>BTP0425-00071</t>
  </si>
  <si>
    <t>BTP0425-00072</t>
  </si>
  <si>
    <t>BTP0425-00073</t>
  </si>
  <si>
    <t>OP0425-00042</t>
  </si>
  <si>
    <t>BEARING UC 210</t>
  </si>
  <si>
    <t>BEARING UC 211</t>
  </si>
  <si>
    <t>BTP0425-00074</t>
  </si>
  <si>
    <t>OP0425-00043</t>
  </si>
  <si>
    <t>THERMO COUPLE CA 0 X 700 - KNE - K</t>
  </si>
  <si>
    <t>BTP0425-00075</t>
  </si>
  <si>
    <t>OP0425-00044</t>
  </si>
  <si>
    <t>KOPO MAS PRESISI</t>
  </si>
  <si>
    <t>SERVICE TIMBANGAN ELECTRONIC 300 GR X 0.01 GR</t>
  </si>
  <si>
    <t>IC 7350</t>
  </si>
  <si>
    <t>BATRE 6 VOLT</t>
  </si>
  <si>
    <t>BTP0425-00076</t>
  </si>
  <si>
    <t>OP0425-00045</t>
  </si>
  <si>
    <t>SERVICE TIMBANGAN ELECTRONIC 15 KG X 1 GR</t>
  </si>
  <si>
    <t>ADAPTOR 9 VOLT</t>
  </si>
  <si>
    <t>IC 358</t>
  </si>
  <si>
    <t>BATRE 4V</t>
  </si>
  <si>
    <t>BTP0425-00077</t>
  </si>
  <si>
    <t>OP0425-00047</t>
  </si>
  <si>
    <t>BTP0425-00078</t>
  </si>
  <si>
    <t>OP0425-00050</t>
  </si>
  <si>
    <t>ENDRING REMOVER</t>
  </si>
  <si>
    <t>BTP0425-00079</t>
  </si>
  <si>
    <t>OP0425-00040</t>
  </si>
  <si>
    <t>FITTING LAMPU TL</t>
  </si>
  <si>
    <t>KABEL NYYHY 2 X 0.75</t>
  </si>
  <si>
    <t>BTP0425-00080</t>
  </si>
  <si>
    <t>OP0425-00059</t>
  </si>
  <si>
    <t>BTP0425-00081</t>
  </si>
  <si>
    <t>OP0425-00065</t>
  </si>
  <si>
    <t>INVERTER 15 KW - 30 A 380 / 480 V - 3 PHASE</t>
  </si>
  <si>
    <t>BTP0425-00082</t>
  </si>
  <si>
    <t>BTP0425-00083</t>
  </si>
  <si>
    <t>OP0425-00046</t>
  </si>
  <si>
    <t>HYDROTAMA</t>
  </si>
  <si>
    <t>SHAFT PUMP ETA N CEN 80 X 65 - 315.1</t>
  </si>
  <si>
    <t>SHAFT SLEEVE ETA N CEN 80 X 65 - 315.1</t>
  </si>
  <si>
    <t>BTP0425-00084</t>
  </si>
  <si>
    <t>OP0425-00056</t>
  </si>
  <si>
    <t>SHAFT PUMP ETA N CEN 80 X 65 - 200</t>
  </si>
  <si>
    <t>SHAFT SLEEVE ETA N CEN 80 X 65 - 200</t>
  </si>
  <si>
    <t>IMPELER ETA N CEN 80 X 65 - 200</t>
  </si>
  <si>
    <t>SUSD069</t>
  </si>
  <si>
    <t>SIDR040</t>
  </si>
  <si>
    <t>SIDR062</t>
  </si>
  <si>
    <t>04002500108809127</t>
  </si>
  <si>
    <t>04002500105619947</t>
  </si>
  <si>
    <t>04002500104721302</t>
  </si>
  <si>
    <t>04002500099537648</t>
  </si>
  <si>
    <t>04002500099537650</t>
  </si>
  <si>
    <t>04002500098743452</t>
  </si>
  <si>
    <t>04002500065044895</t>
  </si>
  <si>
    <t>04002500076237229</t>
  </si>
  <si>
    <t>04002500076237193</t>
  </si>
  <si>
    <t>04002500076235997</t>
  </si>
  <si>
    <t>04002500076235955</t>
  </si>
  <si>
    <t>04002500079974765</t>
  </si>
  <si>
    <t>04002500079970621</t>
  </si>
  <si>
    <t>04002500079970516</t>
  </si>
  <si>
    <t>04002500082136120</t>
  </si>
  <si>
    <t>04002500082742279</t>
  </si>
  <si>
    <t>04002500085091298</t>
  </si>
  <si>
    <t>04002500075846938</t>
  </si>
  <si>
    <t>04002500078215045</t>
  </si>
  <si>
    <t>04002500078215030</t>
  </si>
  <si>
    <t>04002500079466169</t>
  </si>
  <si>
    <t>04002500078759027</t>
  </si>
  <si>
    <t>04002500095747740</t>
  </si>
  <si>
    <t>04002500098675901</t>
  </si>
  <si>
    <t>04002500094785605</t>
  </si>
  <si>
    <t>04002500082741173</t>
  </si>
  <si>
    <t>04002500085094931</t>
  </si>
  <si>
    <t>0400012562378690</t>
  </si>
  <si>
    <t>04002500075446291</t>
  </si>
  <si>
    <t>04002500092681260</t>
  </si>
  <si>
    <t>04002500092681285</t>
  </si>
  <si>
    <t>04002500092681257</t>
  </si>
  <si>
    <t>04002500078579590</t>
  </si>
  <si>
    <t>04002500078579641</t>
  </si>
  <si>
    <t>04002500078579610</t>
  </si>
  <si>
    <t>04002500091880761</t>
  </si>
  <si>
    <t>04002500081378433</t>
  </si>
  <si>
    <t>04002500082098480</t>
  </si>
  <si>
    <t>04002500075684577</t>
  </si>
  <si>
    <t>04002500077987424</t>
  </si>
  <si>
    <t>04002500084137679</t>
  </si>
  <si>
    <t>04002500094948933</t>
  </si>
  <si>
    <t>'04002500079397161</t>
  </si>
  <si>
    <t>04002500060993955</t>
  </si>
  <si>
    <t>04002500086811414</t>
  </si>
  <si>
    <t>04002500058382959</t>
  </si>
  <si>
    <t>04002500064046500</t>
  </si>
  <si>
    <t>BTP0425-00088</t>
  </si>
  <si>
    <t>OP0425-00070</t>
  </si>
  <si>
    <t>BTP0425-00089</t>
  </si>
  <si>
    <t>OP0425-00060</t>
  </si>
  <si>
    <t>BTP0425-00090</t>
  </si>
  <si>
    <t>OP0425-00061</t>
  </si>
  <si>
    <t>BTP0425-00091</t>
  </si>
  <si>
    <t>OP0425-00071</t>
  </si>
  <si>
    <t>KUNCI RING PAS 17</t>
  </si>
  <si>
    <t>KUNCI RING PAS 19</t>
  </si>
  <si>
    <t>MUR STAINLESS M8</t>
  </si>
  <si>
    <t>BAUD SOCKET L 8 X 30</t>
  </si>
  <si>
    <t>BTP0425-00092</t>
  </si>
  <si>
    <t>OP0425-00072</t>
  </si>
  <si>
    <t>SOLENOID VALVE 4V210.06 220V/AC</t>
  </si>
  <si>
    <t>ASBES PITA 2"</t>
  </si>
  <si>
    <t>BTP0425-00093</t>
  </si>
  <si>
    <t>BTP0425-00094</t>
  </si>
  <si>
    <t>BTP0425-00095</t>
  </si>
  <si>
    <t>BTP0425-00096</t>
  </si>
  <si>
    <t>BTP0425-00097</t>
  </si>
  <si>
    <t>BTP0425-00098</t>
  </si>
  <si>
    <t>OP0425-00062</t>
  </si>
  <si>
    <t>LEM GML PK (LEM BLANKET)</t>
  </si>
  <si>
    <t>BTP0425-00099</t>
  </si>
  <si>
    <t>OP0425-00063</t>
  </si>
  <si>
    <t>BTP0425-00100</t>
  </si>
  <si>
    <t>OP0425-00068</t>
  </si>
  <si>
    <t>BTP0425-00101</t>
  </si>
  <si>
    <t>OP0425-00069</t>
  </si>
  <si>
    <t>BTP0425-00102</t>
  </si>
  <si>
    <t>OP0425-00073</t>
  </si>
  <si>
    <t>BTP0425-00105</t>
  </si>
  <si>
    <t>OP0425-00074</t>
  </si>
  <si>
    <t>V - SOCK PVC 4 X 3</t>
  </si>
  <si>
    <t>BTP0425-00106</t>
  </si>
  <si>
    <t>OP0425-00076</t>
  </si>
  <si>
    <t>BTP0425-00110</t>
  </si>
  <si>
    <t>BTP0425-00111</t>
  </si>
  <si>
    <t>BTP0425-00112</t>
  </si>
  <si>
    <t>BTP0425-00113</t>
  </si>
  <si>
    <t>BTP0425-00114</t>
  </si>
  <si>
    <t>OP0425-00078</t>
  </si>
  <si>
    <t>BTP0425-00115</t>
  </si>
  <si>
    <t>OP0425-00038</t>
  </si>
  <si>
    <t>DISPERSE BLACK S4BL</t>
  </si>
  <si>
    <t>BTP0425-00116</t>
  </si>
  <si>
    <t>OP0425-00082</t>
  </si>
  <si>
    <t>DP 40% ANALISIS DAMPAK LINGKUNGAN (ANDALALIN)</t>
  </si>
  <si>
    <t>PL0425-00011</t>
  </si>
  <si>
    <t>DP 40% PERSETUJUAN TEKNIS EMISI (PERTEK EMISI)</t>
  </si>
  <si>
    <t>DP 40% PKPLH UPDATE</t>
  </si>
  <si>
    <t>DP 40% RINTEK PENYIMPANAN B3 (TPS B3)</t>
  </si>
  <si>
    <t>SIDR256</t>
  </si>
  <si>
    <t>6111102</t>
  </si>
  <si>
    <t>BIAYA PENGURUSAN DKUMEN</t>
  </si>
  <si>
    <t>ANUGRAH JAYA INTERNATIONAL, PT</t>
  </si>
  <si>
    <t>0056871</t>
  </si>
  <si>
    <t>0042951</t>
  </si>
  <si>
    <t>0055386</t>
  </si>
  <si>
    <t>0056825</t>
  </si>
  <si>
    <t>0057121</t>
  </si>
  <si>
    <t>0057329</t>
  </si>
  <si>
    <t>0057044</t>
  </si>
  <si>
    <t>0057293</t>
  </si>
  <si>
    <t>0057395</t>
  </si>
  <si>
    <t>0055385</t>
  </si>
  <si>
    <t>0057368</t>
  </si>
  <si>
    <t>0057294</t>
  </si>
  <si>
    <t>04002500115667276</t>
  </si>
  <si>
    <t>04002500106742381</t>
  </si>
  <si>
    <t>04002500106743520</t>
  </si>
  <si>
    <t>04002500107831376</t>
  </si>
  <si>
    <t>04002500108649259</t>
  </si>
  <si>
    <t>04002500104414242</t>
  </si>
  <si>
    <t>04002500109012518</t>
  </si>
  <si>
    <t>04002500109186704</t>
  </si>
  <si>
    <t>04012500106561603</t>
  </si>
  <si>
    <t>04002500112770473</t>
  </si>
  <si>
    <t>04002500112775264</t>
  </si>
  <si>
    <t>04002500112838028</t>
  </si>
  <si>
    <t>04012500110899207</t>
  </si>
  <si>
    <t>04002500110583315</t>
  </si>
  <si>
    <t>04002500114486609</t>
  </si>
  <si>
    <t>04002500111863739</t>
  </si>
  <si>
    <t>04002500111863741</t>
  </si>
  <si>
    <t>04002500109747674</t>
  </si>
  <si>
    <t>04002500110447797</t>
  </si>
  <si>
    <t>04002500105774602</t>
  </si>
  <si>
    <t>04002500111112692</t>
  </si>
  <si>
    <t>04002500113579202</t>
  </si>
  <si>
    <t>04002500102516367</t>
  </si>
  <si>
    <t>04002500116273316</t>
  </si>
  <si>
    <t>04002500113036167</t>
  </si>
  <si>
    <t>04002500115302258</t>
  </si>
  <si>
    <t>04002500117928629</t>
  </si>
  <si>
    <t>04002500118838755</t>
  </si>
  <si>
    <t>04002500116201339</t>
  </si>
  <si>
    <t>0400250011628066</t>
  </si>
  <si>
    <t>04002500113756392</t>
  </si>
  <si>
    <t>04002500116375693</t>
  </si>
  <si>
    <t>01-03-2025 s/d 31-03-2025</t>
  </si>
  <si>
    <t>01-04-2025 s/d 30-04-2025</t>
  </si>
  <si>
    <t>BTP0525-00015</t>
  </si>
  <si>
    <t>BTP0525-00016</t>
  </si>
  <si>
    <t>OP0525-00001</t>
  </si>
  <si>
    <t>BTP0525-00003</t>
  </si>
  <si>
    <t>OP0425-00093</t>
  </si>
  <si>
    <t>BTP0525-00004</t>
  </si>
  <si>
    <t>OP0425-00095</t>
  </si>
  <si>
    <t>MUR M 10</t>
  </si>
  <si>
    <t>BAUD JF 4 X 15  + MUR</t>
  </si>
  <si>
    <t>BTP0525-00005</t>
  </si>
  <si>
    <t>OP0425-00096</t>
  </si>
  <si>
    <t>PACKING KARET 3 MM</t>
  </si>
  <si>
    <t>PACKING KARET 5 MM</t>
  </si>
  <si>
    <t>MECHANICAL SEAL EA 560 - 3/4</t>
  </si>
  <si>
    <t>BTP0525-00006</t>
  </si>
  <si>
    <t>OP0425-00097</t>
  </si>
  <si>
    <t>BTP0525-00007</t>
  </si>
  <si>
    <t>OP0425-00077</t>
  </si>
  <si>
    <t>BTP0525-00008</t>
  </si>
  <si>
    <t>OP0425-00080</t>
  </si>
  <si>
    <t>BTP0525-00009</t>
  </si>
  <si>
    <t>OP0425-00081</t>
  </si>
  <si>
    <t>BTP0525-00010</t>
  </si>
  <si>
    <t>OP0425-00083</t>
  </si>
  <si>
    <t>BTP0525-00011</t>
  </si>
  <si>
    <t>OP0425-00084</t>
  </si>
  <si>
    <t>BTP0525-00012</t>
  </si>
  <si>
    <t>BTP0525-00013</t>
  </si>
  <si>
    <t>BTP0525-00014</t>
  </si>
  <si>
    <t>OP0425-00064</t>
  </si>
  <si>
    <t>BTP0525-00017</t>
  </si>
  <si>
    <t>PL0425-00022</t>
  </si>
  <si>
    <t>BAN BRIDGE STONE 185 R - 14 99/97 R 8 PR</t>
  </si>
  <si>
    <t>BTP0525-00022</t>
  </si>
  <si>
    <t>OP0425-00090</t>
  </si>
  <si>
    <t>BTP0525-00023</t>
  </si>
  <si>
    <t>OP0525-00002</t>
  </si>
  <si>
    <t>BTP0525-00024</t>
  </si>
  <si>
    <t>OP0425-00079</t>
  </si>
  <si>
    <t>DISPERSE RED 3B ( RED 60 )</t>
  </si>
  <si>
    <t>BTP0525-00025</t>
  </si>
  <si>
    <t>OP0425-00085</t>
  </si>
  <si>
    <t>BTP0525-00026</t>
  </si>
  <si>
    <t>OP0425-00091</t>
  </si>
  <si>
    <t>VANBELT B 65</t>
  </si>
  <si>
    <t>BEARING 6303</t>
  </si>
  <si>
    <t>BTP0525-00027</t>
  </si>
  <si>
    <t>OP0425-00092</t>
  </si>
  <si>
    <t>LAMPU LED 45 WATT</t>
  </si>
  <si>
    <t>LAMPU TL UV 20 WATT</t>
  </si>
  <si>
    <t>BTP0525-00028</t>
  </si>
  <si>
    <t>BTP0525-00029</t>
  </si>
  <si>
    <t>OP0525-00003</t>
  </si>
  <si>
    <t>BTP0525-00030</t>
  </si>
  <si>
    <t>OP0425-00086</t>
  </si>
  <si>
    <t>BTP0525-00031</t>
  </si>
  <si>
    <t>BTP0525-00032</t>
  </si>
  <si>
    <t>BTP0525-00033</t>
  </si>
  <si>
    <t>OP0425-00094</t>
  </si>
  <si>
    <t>BTP0525-00034</t>
  </si>
  <si>
    <t>OP0525-00004</t>
  </si>
  <si>
    <t>BTP0525-00036</t>
  </si>
  <si>
    <t>BTP0525-00037</t>
  </si>
  <si>
    <t>OP0525-00007</t>
  </si>
  <si>
    <t>BTP0525-00038</t>
  </si>
  <si>
    <t>OP0425-00089</t>
  </si>
  <si>
    <t>BTP0525-00040</t>
  </si>
  <si>
    <t>OP0425-00088</t>
  </si>
  <si>
    <t>04002500111147163</t>
  </si>
  <si>
    <t>04002500105848881</t>
  </si>
  <si>
    <t>04002500119347279</t>
  </si>
  <si>
    <t>04002500114191340</t>
  </si>
  <si>
    <t>04002500114188127</t>
  </si>
  <si>
    <t>04002500112825040</t>
  </si>
  <si>
    <t>04002500114798309</t>
  </si>
  <si>
    <t>04002500114810071</t>
  </si>
  <si>
    <t>04002500115010347</t>
  </si>
  <si>
    <t>04002500115010350</t>
  </si>
  <si>
    <t>04002500115010373</t>
  </si>
  <si>
    <t>04002500110693684</t>
  </si>
  <si>
    <t>04002500119288520</t>
  </si>
  <si>
    <t>04002500118168472</t>
  </si>
  <si>
    <t>04002500118168470</t>
  </si>
  <si>
    <t>04002500118168469</t>
  </si>
  <si>
    <t>04002500118168467</t>
  </si>
  <si>
    <t>RP0425-00001</t>
  </si>
  <si>
    <t>RP0425-00002</t>
  </si>
  <si>
    <t>04002500107787285</t>
  </si>
  <si>
    <t>04002500107787154</t>
  </si>
  <si>
    <t>04002500111502400</t>
  </si>
  <si>
    <t>04002500111502864</t>
  </si>
  <si>
    <t>04002500111502862</t>
  </si>
  <si>
    <t>04002500119972127</t>
  </si>
  <si>
    <t>04002500119972046</t>
  </si>
  <si>
    <t>04002500119971777</t>
  </si>
  <si>
    <t>04002500119971762</t>
  </si>
  <si>
    <t>04002500119976494</t>
  </si>
  <si>
    <t>04002500109526648</t>
  </si>
  <si>
    <t>04002500109571598</t>
  </si>
  <si>
    <t>04002500106510069</t>
  </si>
  <si>
    <t>04002500115851754</t>
  </si>
  <si>
    <t>04002500111877790</t>
  </si>
  <si>
    <t>04002500111877788</t>
  </si>
  <si>
    <t>04002500119619407</t>
  </si>
  <si>
    <t>04002500121671967</t>
  </si>
  <si>
    <t>04002500121671957</t>
  </si>
  <si>
    <t>04002500115369022</t>
  </si>
  <si>
    <t>BTP0525-00041</t>
  </si>
  <si>
    <t>OP0425-00067</t>
  </si>
  <si>
    <t>PENGUNCI RAKEL</t>
  </si>
  <si>
    <t>BTP0525-00042</t>
  </si>
  <si>
    <t>OP0525-00011</t>
  </si>
  <si>
    <t>BAUD MUR STAINLESS M 10 X 50</t>
  </si>
  <si>
    <t>BTP0525-00043</t>
  </si>
  <si>
    <t>OP0525-00012</t>
  </si>
  <si>
    <t>RANTAI RS 40 - 1</t>
  </si>
  <si>
    <t>BTP0525-00044</t>
  </si>
  <si>
    <t>OP0525-00013</t>
  </si>
  <si>
    <t>BUKTI PERMINTAAN BAHAN</t>
  </si>
  <si>
    <t>BK</t>
  </si>
  <si>
    <t>BTP0525-00045</t>
  </si>
  <si>
    <t>OP0525-00014</t>
  </si>
  <si>
    <t>HAMPELAS DUCCO NO. 120</t>
  </si>
  <si>
    <t>BTP0525-00046</t>
  </si>
  <si>
    <t>OP0525-00015</t>
  </si>
  <si>
    <t>BTP0525-00050</t>
  </si>
  <si>
    <t>OP0425-00049</t>
  </si>
  <si>
    <t>BTP0525-00051</t>
  </si>
  <si>
    <t>BTP0525-00052</t>
  </si>
  <si>
    <t>BTP0525-00053</t>
  </si>
  <si>
    <t>LAKBAN AIR 2" ( LAKBAN CK)</t>
  </si>
  <si>
    <t>BTP0525-00054</t>
  </si>
  <si>
    <t>OP0525-00010</t>
  </si>
  <si>
    <t>BTP0525-00055</t>
  </si>
  <si>
    <t>BTP0525-00056</t>
  </si>
  <si>
    <t>OP0525-00006</t>
  </si>
  <si>
    <t>BTP0525-00058</t>
  </si>
  <si>
    <t>kb 013562</t>
  </si>
  <si>
    <t>JASA KEAMANAN 15 APRIL 2025 SD 14 MEI 2025</t>
  </si>
  <si>
    <t>0057546</t>
  </si>
  <si>
    <t>0057599</t>
  </si>
  <si>
    <t>0057418</t>
  </si>
  <si>
    <t>0057632</t>
  </si>
  <si>
    <t>0057480</t>
  </si>
  <si>
    <t>0057505</t>
  </si>
  <si>
    <t>0057491</t>
  </si>
  <si>
    <t>0057593</t>
  </si>
  <si>
    <t>0055484</t>
  </si>
  <si>
    <t>PEMAKAIAN AIR  MARET 2025  4708 M3 X Rp 8.500</t>
  </si>
  <si>
    <t>KB13506</t>
  </si>
  <si>
    <t>KB013602</t>
  </si>
  <si>
    <t>PEMAKAIAN AIR  APRIL 2025  525 M3 X Rp 8.500</t>
  </si>
  <si>
    <t>04002500117337343</t>
  </si>
  <si>
    <t>04002500121190010</t>
  </si>
  <si>
    <t>04002500122784031</t>
  </si>
  <si>
    <t>04002500119379444</t>
  </si>
  <si>
    <t>04002500119204778</t>
  </si>
  <si>
    <t>04002500119195310</t>
  </si>
  <si>
    <t>04002500124977935</t>
  </si>
  <si>
    <t>04002500128016752</t>
  </si>
  <si>
    <t>BTP0525-00059</t>
  </si>
  <si>
    <t>OP0525-00005</t>
  </si>
  <si>
    <t>BTP0525-00060</t>
  </si>
  <si>
    <t>BTP0525-00061</t>
  </si>
  <si>
    <t>BTP0525-00063</t>
  </si>
  <si>
    <t>BTP0525-00064</t>
  </si>
  <si>
    <t>BTP0525-00065</t>
  </si>
  <si>
    <t>OP0425-00087</t>
  </si>
  <si>
    <t>BTP0525-00067</t>
  </si>
  <si>
    <t>OP0525-00022</t>
  </si>
  <si>
    <t>BTP0525-00068</t>
  </si>
  <si>
    <t>BTP0525-00069</t>
  </si>
  <si>
    <t>BTP0525-00070</t>
  </si>
  <si>
    <t>OP0525-00009</t>
  </si>
  <si>
    <t>CAHAYA BINTANG MAKMUR, CV</t>
  </si>
  <si>
    <t>CONVEYOR BELT POLOS UK 4PLYX600X16.000 ENDLESS</t>
  </si>
  <si>
    <t>BTP0525-00071</t>
  </si>
  <si>
    <t>OP0525-00019</t>
  </si>
  <si>
    <t>PIGMENT EUROM NAVY BLUE RL</t>
  </si>
  <si>
    <t>PIGMENT RED KGRC</t>
  </si>
  <si>
    <t>BTP0525-00072</t>
  </si>
  <si>
    <t>BTP0525-00073</t>
  </si>
  <si>
    <t>BTP0525-00074</t>
  </si>
  <si>
    <t>OP0525-00018</t>
  </si>
  <si>
    <t>BTP0525-00075</t>
  </si>
  <si>
    <t>OP0525-00020</t>
  </si>
  <si>
    <t>BTP0525-00077</t>
  </si>
  <si>
    <t>BTP0525-00078</t>
  </si>
  <si>
    <t>BTP0525-00081</t>
  </si>
  <si>
    <t>OP0525-00027</t>
  </si>
  <si>
    <t>BTP0525-00082</t>
  </si>
  <si>
    <t>OP0525-00028</t>
  </si>
  <si>
    <t>BAUD COUPLING NBK 40</t>
  </si>
  <si>
    <t>SIDR236</t>
  </si>
  <si>
    <t>04002500136342143</t>
  </si>
  <si>
    <t>04002500119619410</t>
  </si>
  <si>
    <t>04002500122238700</t>
  </si>
  <si>
    <t>04002500127753835</t>
  </si>
  <si>
    <t>04002500140970864</t>
  </si>
  <si>
    <t>04002500140966205</t>
  </si>
  <si>
    <t>04002500122163239</t>
  </si>
  <si>
    <t>04002500122163238</t>
  </si>
  <si>
    <t>04002500126849716</t>
  </si>
  <si>
    <t>04002500136479622</t>
  </si>
  <si>
    <t>04002500124792201</t>
  </si>
  <si>
    <t>01-05-2025 s/d 31-05-2025</t>
  </si>
  <si>
    <t>BTP0525-00084</t>
  </si>
  <si>
    <t>BTP0525-00085</t>
  </si>
  <si>
    <t>OP0525-00016</t>
  </si>
  <si>
    <t>BTP0525-00086</t>
  </si>
  <si>
    <t>OP0525-00017</t>
  </si>
  <si>
    <t>BTP0525-00087</t>
  </si>
  <si>
    <t>OP0425-00066</t>
  </si>
  <si>
    <t>SERVICE ELECTROMOTOR 10 HP</t>
  </si>
  <si>
    <t>BTP0525-00088</t>
  </si>
  <si>
    <t>BTP0525-00089</t>
  </si>
  <si>
    <t>BTP0525-00090</t>
  </si>
  <si>
    <t>BTP0525-00091</t>
  </si>
  <si>
    <t>BTP0525-00092</t>
  </si>
  <si>
    <t>OP0525-00024</t>
  </si>
  <si>
    <t>BTP0525-00093</t>
  </si>
  <si>
    <t>OP0525-00026</t>
  </si>
  <si>
    <t>BTP0525-00094</t>
  </si>
  <si>
    <t>BTP0525-00095</t>
  </si>
  <si>
    <t>BTP0525-00096</t>
  </si>
  <si>
    <t>OP0525-00037</t>
  </si>
  <si>
    <t>BTP0525-00097</t>
  </si>
  <si>
    <t>OP0525-00029</t>
  </si>
  <si>
    <t>BEARING MN 2090 ZZ</t>
  </si>
  <si>
    <t>BTP0525-00098</t>
  </si>
  <si>
    <t>OP0525-00023</t>
  </si>
  <si>
    <t>BTP0525-00099</t>
  </si>
  <si>
    <t>OP0525-00033</t>
  </si>
  <si>
    <t>BLANCOR GL</t>
  </si>
  <si>
    <t>BTP0525-00100</t>
  </si>
  <si>
    <t>BTP0525-00101</t>
  </si>
  <si>
    <t>BTP0525-00106</t>
  </si>
  <si>
    <t>BTP0525-00107</t>
  </si>
  <si>
    <t>OP0525-00030</t>
  </si>
  <si>
    <t>BTP0525-00108</t>
  </si>
  <si>
    <t>OP0525-00032</t>
  </si>
  <si>
    <t>BTP0525-00109</t>
  </si>
  <si>
    <t>OP0525-00034</t>
  </si>
  <si>
    <t>BTP0525-00110</t>
  </si>
  <si>
    <t>OP0525-00035</t>
  </si>
  <si>
    <t>BEARING UC 206</t>
  </si>
  <si>
    <t>VANBELT B 60</t>
  </si>
  <si>
    <t>BTP0525-00111</t>
  </si>
  <si>
    <t>OP0525-00036</t>
  </si>
  <si>
    <t>KAWAT LAS LB 52 U ( 3,2 MM )</t>
  </si>
  <si>
    <t>RING PLAT M 8</t>
  </si>
  <si>
    <t>BTP0525-00112</t>
  </si>
  <si>
    <t>OP0525-00040</t>
  </si>
  <si>
    <t>BTP0525-00113</t>
  </si>
  <si>
    <t>OP0525-00042</t>
  </si>
  <si>
    <t>DISPERSE GREEN C6B</t>
  </si>
  <si>
    <t>BTP0525-00114</t>
  </si>
  <si>
    <t>OP0525-00044</t>
  </si>
  <si>
    <t>BTP0525-00115</t>
  </si>
  <si>
    <t>OP0525-00046</t>
  </si>
  <si>
    <t>BTP0525-00116</t>
  </si>
  <si>
    <t>OP0525-00047</t>
  </si>
  <si>
    <t>BTP0525-00117</t>
  </si>
  <si>
    <t>OP0525-00056</t>
  </si>
  <si>
    <t>BTP0525-00118</t>
  </si>
  <si>
    <t>OP0525-00057</t>
  </si>
  <si>
    <t>SERVICE JARUM STENTER</t>
  </si>
  <si>
    <t>BTP0525-00119</t>
  </si>
  <si>
    <t>OP0525-00058</t>
  </si>
  <si>
    <t>SPEE KOTAK UK 10 X 10</t>
  </si>
  <si>
    <t>SPEE KOTAK UK 8 X 8 MM</t>
  </si>
  <si>
    <t>BTP0525-00120</t>
  </si>
  <si>
    <t>BTP0525-00121</t>
  </si>
  <si>
    <t>OP0525-00060</t>
  </si>
  <si>
    <t>BTP0525-00122</t>
  </si>
  <si>
    <t>BTP0525-00123</t>
  </si>
  <si>
    <t>BTP0525-00124</t>
  </si>
  <si>
    <t>OP0525-00031</t>
  </si>
  <si>
    <t>SUNPERSE TS 37</t>
  </si>
  <si>
    <t>BTP0525-00125</t>
  </si>
  <si>
    <t>OP0525-00039</t>
  </si>
  <si>
    <t>BTP0525-00126</t>
  </si>
  <si>
    <t>OP0525-00041</t>
  </si>
  <si>
    <t>DISPERSE RED F3BS 150%</t>
  </si>
  <si>
    <t>BTP0525-00127</t>
  </si>
  <si>
    <t>OP0525-00048</t>
  </si>
  <si>
    <t>BTP0525-00128</t>
  </si>
  <si>
    <t>OP0525-00049</t>
  </si>
  <si>
    <t>BTP0525-00129</t>
  </si>
  <si>
    <t>OP0525-00050</t>
  </si>
  <si>
    <t>PANDULIMA JAYA ABADI, PT</t>
  </si>
  <si>
    <t>SELANG POLYURETHAN 10 MM</t>
  </si>
  <si>
    <t>BTP0525-00130</t>
  </si>
  <si>
    <t>OP0525-00055</t>
  </si>
  <si>
    <t>BTP0525-00131</t>
  </si>
  <si>
    <t>OP0525-00059</t>
  </si>
  <si>
    <t>SENTER BESAR</t>
  </si>
  <si>
    <t>BTP0525-00132</t>
  </si>
  <si>
    <t>OP0525-00021</t>
  </si>
  <si>
    <t>BTP0525-00133</t>
  </si>
  <si>
    <t>OP0525-00043</t>
  </si>
  <si>
    <t>SIDR170</t>
  </si>
  <si>
    <t>0057360</t>
  </si>
  <si>
    <t>0057737</t>
  </si>
  <si>
    <t>0057756</t>
  </si>
  <si>
    <t>0057730</t>
  </si>
  <si>
    <t>0057894</t>
  </si>
  <si>
    <t>PERUMDA TIRTAWENING</t>
  </si>
  <si>
    <t>PENGUJIAN SLUDGE</t>
  </si>
  <si>
    <t>BIAYA AKOMODASI SAMPLING</t>
  </si>
  <si>
    <t>04002500144494269</t>
  </si>
  <si>
    <t>BIAYA PERCEPATAN</t>
  </si>
  <si>
    <t>BIAYA PENGUJIAN AIR LIMBAH</t>
  </si>
  <si>
    <t>04002500147307510</t>
  </si>
  <si>
    <t>BTP0525-00134</t>
  </si>
  <si>
    <t>OP0525-00008</t>
  </si>
  <si>
    <t>RANTAI BOILER 14 MM + U BOLT</t>
  </si>
  <si>
    <t>04002500128371912</t>
  </si>
  <si>
    <t>04002500123170291</t>
  </si>
  <si>
    <t>04002500128909746</t>
  </si>
  <si>
    <t>04002500121067095</t>
  </si>
  <si>
    <t>04002500141804443</t>
  </si>
  <si>
    <t>04002500141804441</t>
  </si>
  <si>
    <t>04002500141804425</t>
  </si>
  <si>
    <t>04002500142680602</t>
  </si>
  <si>
    <t>04002500143565821</t>
  </si>
  <si>
    <t>04002500143565804</t>
  </si>
  <si>
    <t>04002500144389699</t>
  </si>
  <si>
    <t>04002500139424614</t>
  </si>
  <si>
    <t>04002500140781675</t>
  </si>
  <si>
    <t>04002500142435125</t>
  </si>
  <si>
    <t>04002500145420912</t>
  </si>
  <si>
    <t>04002500144326940</t>
  </si>
  <si>
    <t>04002500148022690</t>
  </si>
  <si>
    <t>04002500133929570</t>
  </si>
  <si>
    <t>04002500141478325</t>
  </si>
  <si>
    <t>04002500125226989</t>
  </si>
  <si>
    <t>04002500125227047</t>
  </si>
  <si>
    <t>04002500143504393</t>
  </si>
  <si>
    <t>04002500144907957</t>
  </si>
  <si>
    <t>04002500143221069</t>
  </si>
  <si>
    <t>04002500145890395</t>
  </si>
  <si>
    <t>04002500147620742</t>
  </si>
  <si>
    <t>04002500147623159</t>
  </si>
  <si>
    <t>04002500147226464</t>
  </si>
  <si>
    <t>04002500148849027</t>
  </si>
  <si>
    <t>04002500145667278</t>
  </si>
  <si>
    <t>04002500141627812</t>
  </si>
  <si>
    <t>04002500140133689</t>
  </si>
  <si>
    <t>04002500147175252</t>
  </si>
  <si>
    <t>04002500145227124</t>
  </si>
  <si>
    <t>04002500145227123</t>
  </si>
  <si>
    <t>04002500146164021</t>
  </si>
  <si>
    <t>BTP0525-00135</t>
  </si>
  <si>
    <t>BTP0525-00136</t>
  </si>
  <si>
    <t>BTP0525-00137</t>
  </si>
  <si>
    <t>OP0525-00045</t>
  </si>
  <si>
    <t>BTP0525-00138</t>
  </si>
  <si>
    <t>OP0525-00051</t>
  </si>
  <si>
    <t>BALLAST EB - C 136 TL - D 220 - 240 EP</t>
  </si>
  <si>
    <t>BTP0525-00139</t>
  </si>
  <si>
    <t>OP0525-00053</t>
  </si>
  <si>
    <t>RUDOLF POLYMERS INDONESIA</t>
  </si>
  <si>
    <t>RUCO BINDER 1880</t>
  </si>
  <si>
    <t>BTP0525-00140</t>
  </si>
  <si>
    <t>OP0525-00054</t>
  </si>
  <si>
    <t>ACETIC ACID</t>
  </si>
  <si>
    <t>BTP0525-00141</t>
  </si>
  <si>
    <t>OP0525-00052</t>
  </si>
  <si>
    <t>BEARING 22211 E1 - XL</t>
  </si>
  <si>
    <t>BTP0525-00142</t>
  </si>
  <si>
    <t>OP0525-00061</t>
  </si>
  <si>
    <t>SERVICE PADDER WASHING SIZE 210 X 2200MM</t>
  </si>
  <si>
    <t>BTP0525-00145</t>
  </si>
  <si>
    <t>BTP0525-00146</t>
  </si>
  <si>
    <t>BTP0525-00147</t>
  </si>
  <si>
    <t>BTP0525-00152</t>
  </si>
  <si>
    <t>BTP0525-00153</t>
  </si>
  <si>
    <t>OP0525-00069</t>
  </si>
  <si>
    <t>BTP0525-00154</t>
  </si>
  <si>
    <t>OP0525-00068</t>
  </si>
  <si>
    <t>LONG FFC</t>
  </si>
  <si>
    <t>BTP0525-00155</t>
  </si>
  <si>
    <t>OP0525-00066</t>
  </si>
  <si>
    <t>BTP0525-00156</t>
  </si>
  <si>
    <t>OP0525-00067</t>
  </si>
  <si>
    <t>SEAL TAPE ONDA</t>
  </si>
  <si>
    <t>BTP0525-00157</t>
  </si>
  <si>
    <t>OP0525-00070</t>
  </si>
  <si>
    <t>MATA BOR 10 MM NACHI</t>
  </si>
  <si>
    <t>KACA LAS HITAM</t>
  </si>
  <si>
    <t>MATA BOR 5 MM NACHI</t>
  </si>
  <si>
    <t>BAUD SOCKET STAINLESS M 6 X 30</t>
  </si>
  <si>
    <t>JASA KEAMANAN 15 MEI 2025 SD 14 JUNI 2025</t>
  </si>
  <si>
    <t>KB013644</t>
  </si>
  <si>
    <t>04002500144954786</t>
  </si>
  <si>
    <t>JASA PENGOSONGAN DAN PEMBERSIHAN TANGKI SEPTIK</t>
  </si>
  <si>
    <t>04002500153577030</t>
  </si>
  <si>
    <t>04002500150645247</t>
  </si>
  <si>
    <t>KB013654</t>
  </si>
  <si>
    <t>SIDR257</t>
  </si>
  <si>
    <t>04002500157472108</t>
  </si>
  <si>
    <t>04002500157472107</t>
  </si>
  <si>
    <t>04002500157472345</t>
  </si>
  <si>
    <t>04002500157472105</t>
  </si>
  <si>
    <t>04002500157472104</t>
  </si>
  <si>
    <t>04002500157472103</t>
  </si>
  <si>
    <t>BTP0625-00001</t>
  </si>
  <si>
    <t>OP0525-00080</t>
  </si>
  <si>
    <t>BTP0625-00002</t>
  </si>
  <si>
    <t>OP0525-00025</t>
  </si>
  <si>
    <t>BTP0625-00003</t>
  </si>
  <si>
    <t>OP0525-00065</t>
  </si>
  <si>
    <t>BEARING UC 208</t>
  </si>
  <si>
    <t>BTP0625-00004</t>
  </si>
  <si>
    <t>OP0525-00081</t>
  </si>
  <si>
    <t>BTP0625-00005</t>
  </si>
  <si>
    <t>OP0525-00082</t>
  </si>
  <si>
    <t>BTP0625-00006</t>
  </si>
  <si>
    <t>OP0525-00038</t>
  </si>
  <si>
    <t>AIR BLOW GUN</t>
  </si>
  <si>
    <t>BTP0625-00018</t>
  </si>
  <si>
    <t>OP0625-00001</t>
  </si>
  <si>
    <t>BTP0625-00019</t>
  </si>
  <si>
    <t>OP0625-00002</t>
  </si>
  <si>
    <t>BTP0625-00021</t>
  </si>
  <si>
    <t>OP0625-00004</t>
  </si>
  <si>
    <t>BTP0625-00007</t>
  </si>
  <si>
    <t>OP0525-00071</t>
  </si>
  <si>
    <t>BTP0625-00008</t>
  </si>
  <si>
    <t>OP0525-00078</t>
  </si>
  <si>
    <t>BTP0625-00009</t>
  </si>
  <si>
    <t>OP0525-00079</t>
  </si>
  <si>
    <t>SINAR TIMUR ANGKASA RAYA, PT</t>
  </si>
  <si>
    <t>PERRUSTOL MMU - ID</t>
  </si>
  <si>
    <t>BTP0625-00010</t>
  </si>
  <si>
    <t>OP0625-00007</t>
  </si>
  <si>
    <t>BTP0625-00011</t>
  </si>
  <si>
    <t>OP0625-00008</t>
  </si>
  <si>
    <t>BTP0625-00014</t>
  </si>
  <si>
    <t>OP0525-00062</t>
  </si>
  <si>
    <t>BTP0625-00015</t>
  </si>
  <si>
    <t>OP0525-00074</t>
  </si>
  <si>
    <t>BTP0625-00016</t>
  </si>
  <si>
    <t>OP0525-00077</t>
  </si>
  <si>
    <t>BTP0625-00017</t>
  </si>
  <si>
    <t>OP0625-00005</t>
  </si>
  <si>
    <t>BTP0625-00020</t>
  </si>
  <si>
    <t>OP0625-00003</t>
  </si>
  <si>
    <t>BTP0625-00022</t>
  </si>
  <si>
    <t>OP0625-00006</t>
  </si>
  <si>
    <t>CIPTA GUNA SUMESCO</t>
  </si>
  <si>
    <t>REDUCON RC - 02</t>
  </si>
  <si>
    <t>BTP0625-00023</t>
  </si>
  <si>
    <t>OP0525-00075</t>
  </si>
  <si>
    <t>SIDR024</t>
  </si>
  <si>
    <t>SUSD062</t>
  </si>
  <si>
    <t>04002500155411277</t>
  </si>
  <si>
    <t>0057935</t>
  </si>
  <si>
    <t>0057865</t>
  </si>
  <si>
    <t>0057511</t>
  </si>
  <si>
    <t>04002500152578363</t>
  </si>
  <si>
    <t>04002500149845521</t>
  </si>
  <si>
    <t>04002500153774506</t>
  </si>
  <si>
    <t>04002500152984115</t>
  </si>
  <si>
    <t>04002500127395121</t>
  </si>
  <si>
    <t>04002500133808429</t>
  </si>
  <si>
    <t>04002500152069679</t>
  </si>
  <si>
    <t>04002500143545640</t>
  </si>
  <si>
    <t>04002500150949966</t>
  </si>
  <si>
    <t>04002500149375811</t>
  </si>
  <si>
    <t>04002500149375716</t>
  </si>
  <si>
    <t>04002500149207109</t>
  </si>
  <si>
    <t>04002500125754538</t>
  </si>
  <si>
    <t>04002500144800825</t>
  </si>
  <si>
    <t>04002500141094209</t>
  </si>
  <si>
    <t>04002500148752134</t>
  </si>
  <si>
    <t>04012500156342194</t>
  </si>
  <si>
    <t>MC. FLAT / ROTARY</t>
  </si>
  <si>
    <t>BTP0625-00024</t>
  </si>
  <si>
    <t>BTP0625-00025</t>
  </si>
  <si>
    <t>OP0625-00013</t>
  </si>
  <si>
    <t>BTP0625-00026</t>
  </si>
  <si>
    <t>OP0525-00076</t>
  </si>
  <si>
    <t>BIOSTAR INDOMAKMUR ABADI, PT</t>
  </si>
  <si>
    <t>BTP0625-00027</t>
  </si>
  <si>
    <t>OP0625-00009</t>
  </si>
  <si>
    <t>BTP0625-00028</t>
  </si>
  <si>
    <t>OP0625-00010</t>
  </si>
  <si>
    <t>BTP0625-00029</t>
  </si>
  <si>
    <t>BTP0625-00030</t>
  </si>
  <si>
    <t>BTP0625-00031</t>
  </si>
  <si>
    <t>OP0625-00014</t>
  </si>
  <si>
    <t>BTP0625-00032</t>
  </si>
  <si>
    <t>OP0525-00063</t>
  </si>
  <si>
    <t>BTP0625-00035</t>
  </si>
  <si>
    <t>OP0625-00015</t>
  </si>
  <si>
    <t>BEARING 22318</t>
  </si>
  <si>
    <t>BTP0625-00036</t>
  </si>
  <si>
    <t>OP0525-00083</t>
  </si>
  <si>
    <t>INTI LAUT</t>
  </si>
  <si>
    <t>GARAM KROGUS</t>
  </si>
  <si>
    <t>BTP0625-00037</t>
  </si>
  <si>
    <t>OP0525-00072</t>
  </si>
  <si>
    <t>BTP0625-00038</t>
  </si>
  <si>
    <t>OP0625-00012</t>
  </si>
  <si>
    <t>BTP0625-00039</t>
  </si>
  <si>
    <t>OP0625-00011</t>
  </si>
  <si>
    <t>BTP0625-00040</t>
  </si>
  <si>
    <t>OP0625-00025</t>
  </si>
  <si>
    <t>PASIR COR</t>
  </si>
  <si>
    <t>COLT</t>
  </si>
  <si>
    <t>BTP0625-00041</t>
  </si>
  <si>
    <t>OP0625-00026</t>
  </si>
  <si>
    <t>BTP0625-00045</t>
  </si>
  <si>
    <t>OP0625-00027</t>
  </si>
  <si>
    <t>KUNCI PIPA 12"</t>
  </si>
  <si>
    <t>RING PLAT 5/8</t>
  </si>
  <si>
    <t>KAWAT LAS STAINLESS 3.2 MM</t>
  </si>
  <si>
    <t>MATA GERGAJI ( SANDVICK )</t>
  </si>
  <si>
    <t>RING PER M 10</t>
  </si>
  <si>
    <t>PAKU BETON 2"</t>
  </si>
  <si>
    <t>KAWAT LAS STAINLESS 2.6 MM</t>
  </si>
  <si>
    <t>BTP0625-00046</t>
  </si>
  <si>
    <t>OP0625-00028</t>
  </si>
  <si>
    <t>SAMBUNGAN RANTAI RS 100 X2 ( DOUBLE )</t>
  </si>
  <si>
    <t>FITTING QST 1/4 - 8</t>
  </si>
  <si>
    <t>BTP0625-00047</t>
  </si>
  <si>
    <t>OP0625-00029</t>
  </si>
  <si>
    <t>BALL VALVE STAINLESS 1 1/2"</t>
  </si>
  <si>
    <t>BTP0625-00048</t>
  </si>
  <si>
    <t>OP0625-00023</t>
  </si>
  <si>
    <t>BTP0625-00049</t>
  </si>
  <si>
    <t>BTP0625-00050</t>
  </si>
  <si>
    <t>OP0625-00030</t>
  </si>
  <si>
    <t>BTP0625-00051</t>
  </si>
  <si>
    <t>OP0625-00031</t>
  </si>
  <si>
    <t>BTP0625-00052</t>
  </si>
  <si>
    <t>OP0625-00024</t>
  </si>
  <si>
    <t>CONTACTOR ST 50 - 220 VOLT</t>
  </si>
  <si>
    <t>CONTACTOR ST 35 220 VOLT</t>
  </si>
  <si>
    <t>BTP0625-00053</t>
  </si>
  <si>
    <t>OP0625-00022</t>
  </si>
  <si>
    <t>BTP0625-00054</t>
  </si>
  <si>
    <t>OP0625-00021</t>
  </si>
  <si>
    <t>BTP0625-00055</t>
  </si>
  <si>
    <t>SIDR180</t>
  </si>
  <si>
    <t>SIDR047</t>
  </si>
  <si>
    <t>ENGGRAVING</t>
  </si>
  <si>
    <t>ANTI UV - RUCO SHIELD RAY 500</t>
  </si>
  <si>
    <t>ANTISTATIK SZ - 52</t>
  </si>
  <si>
    <t>APOSIL HSS - 6</t>
  </si>
  <si>
    <t>BICARE PVN NEW ( REDUCTION PILLING)</t>
  </si>
  <si>
    <t>BINDER FN (HARD BINDER)</t>
  </si>
  <si>
    <t>BINDER SOFT TF - T 320 S</t>
  </si>
  <si>
    <t>DAMUSOFT (SOFTENER)</t>
  </si>
  <si>
    <t>DISPERSE BLACK RLS ( CORALENE)</t>
  </si>
  <si>
    <t>DISPERSE BORDEAUX DE (CALCRON) (VIOLET)</t>
  </si>
  <si>
    <t>DISPERSE BRILL BLUE SR 300%</t>
  </si>
  <si>
    <t>DISPERSE NAVY BLUE S - 3BG 200%</t>
  </si>
  <si>
    <t>DISPERSE RED BEL (PINK)</t>
  </si>
  <si>
    <t>DISPERSE RED EFS (ALILON)</t>
  </si>
  <si>
    <t>DISPERSE RED FFG</t>
  </si>
  <si>
    <t>FOTO EMULSION FLAT LAZER SX</t>
  </si>
  <si>
    <t>GLISERIN EX ECOCEROL</t>
  </si>
  <si>
    <t>HCL ( ASAM CHLORIDA )</t>
  </si>
  <si>
    <t>KHANECID DCA</t>
  </si>
  <si>
    <t>PIGMENT EUROM YELLOW EXP 15</t>
  </si>
  <si>
    <t>PIGMENT GREEN YN</t>
  </si>
  <si>
    <t>PIGMENT KIWADYE BLUE SV - 18</t>
  </si>
  <si>
    <t>PIGMENT ORANGE EXF - 14</t>
  </si>
  <si>
    <t>PIGMENT PINK EXF 17</t>
  </si>
  <si>
    <t>PIGMENT PINK FBL CONS</t>
  </si>
  <si>
    <t>PIGMENT RED YNN</t>
  </si>
  <si>
    <t>PIGMENT VIOLET F4B</t>
  </si>
  <si>
    <t>PRINSOFT WKP</t>
  </si>
  <si>
    <t>STARSIN M80 ( FIXING AGENT )</t>
  </si>
  <si>
    <t>SUPER PRINT RT -  88</t>
  </si>
  <si>
    <t>SUPEROL DI</t>
  </si>
  <si>
    <t>DEFOAMER ZS 50</t>
  </si>
  <si>
    <t xml:space="preserve">CATALIST HX </t>
  </si>
  <si>
    <t>DISPERSE BRILL BLUE SRP (CEMALON)</t>
  </si>
  <si>
    <t>DISPERSE NAVY BLUE 3G H7 C (KISPERSE)</t>
  </si>
  <si>
    <t>DISPERSE RED F3BS (SEMARON)</t>
  </si>
  <si>
    <t>DISPERSE RED S3BS (343)</t>
  </si>
  <si>
    <t>DISPERSE RUBINE S -2G 200% (DISPALON)</t>
  </si>
  <si>
    <t>DISPERSE VIOLET FBL ( VIOLET 26)</t>
  </si>
  <si>
    <t>DISPERSE YELLOW 10 G (184)</t>
  </si>
  <si>
    <t>DISPERSE YELLOW 10 GN 400%</t>
  </si>
  <si>
    <t>DIPSERSE RUBINE S2G ( RED 167)</t>
  </si>
  <si>
    <t>FX - 200 ( FIXER )</t>
  </si>
  <si>
    <t>HLS 104 NE ( OBAT GARUK ) [barang sudah tidak bisa digunakan]</t>
  </si>
  <si>
    <t>KAPORIT [barang sudah tidak bisa digunakan]</t>
  </si>
  <si>
    <t>LEM PVA [barang sudah tidak bisa digunakan]</t>
  </si>
  <si>
    <t>RESIN M 75</t>
  </si>
  <si>
    <t>RUCOSTER EEE6 - ID</t>
  </si>
  <si>
    <t>STABILIZER H2O2 SB 1000</t>
  </si>
  <si>
    <t>ULTRA Z [barang sudah tidak bisa digunakan]</t>
  </si>
  <si>
    <t>WPA 5206 (POLYMER ANIONIC) [barang sudah tidak bisa digunakan]</t>
  </si>
  <si>
    <t>WPC 2968 (POLYMER CATHIONIC) [barang sudah tidak bisa digunakan]</t>
  </si>
  <si>
    <t>KB013685</t>
  </si>
  <si>
    <t>PEMAKAIAN AIR  MEI 2025  2.640 M3 X Rp 8.500</t>
  </si>
  <si>
    <t>04002500147524810</t>
  </si>
  <si>
    <t>04002500148342858</t>
  </si>
  <si>
    <t>04002500148342795</t>
  </si>
  <si>
    <t>04002500148342769</t>
  </si>
  <si>
    <t>04002500148342737</t>
  </si>
  <si>
    <t>04002500153405095</t>
  </si>
  <si>
    <t>04002500153361925</t>
  </si>
  <si>
    <t>04002500156263042</t>
  </si>
  <si>
    <t>04002500156263039</t>
  </si>
  <si>
    <t>04002500156263056</t>
  </si>
  <si>
    <t>04002500154765507</t>
  </si>
  <si>
    <t>04002500144189509</t>
  </si>
  <si>
    <t>04002500147286488</t>
  </si>
  <si>
    <t>04002500155033837</t>
  </si>
  <si>
    <t>04002500141368462</t>
  </si>
  <si>
    <t>04002500141368463</t>
  </si>
  <si>
    <t>04002500141368431</t>
  </si>
  <si>
    <t>04002500141368371</t>
  </si>
  <si>
    <t>04002500141368372</t>
  </si>
  <si>
    <t>04002500141368453</t>
  </si>
  <si>
    <t>04002500144791054</t>
  </si>
  <si>
    <t>04002500144791043</t>
  </si>
  <si>
    <t>04002500149101061</t>
  </si>
  <si>
    <t>04002500149100910</t>
  </si>
  <si>
    <t>04002500149100895</t>
  </si>
  <si>
    <t>04002500150219351</t>
  </si>
  <si>
    <t>04002500150446296</t>
  </si>
  <si>
    <t>04002500154933455</t>
  </si>
  <si>
    <t>04002500154933325</t>
  </si>
  <si>
    <t>04002500156325081</t>
  </si>
  <si>
    <t>04002500167483423</t>
  </si>
  <si>
    <t>04002500155488461</t>
  </si>
  <si>
    <t>04002500155073837</t>
  </si>
  <si>
    <t>04002500155243007</t>
  </si>
  <si>
    <t>BTP0525-00159</t>
  </si>
  <si>
    <t>OP0525-00073</t>
  </si>
  <si>
    <t>JET CLEANER</t>
  </si>
  <si>
    <t>04002500162894033</t>
  </si>
  <si>
    <t>04002500166995244</t>
  </si>
  <si>
    <t>04002500153573005</t>
  </si>
  <si>
    <t>(inv april, fp baru dibuat)</t>
  </si>
  <si>
    <t>(fp masuk juni)</t>
  </si>
  <si>
    <t>04002500156855289</t>
  </si>
  <si>
    <t>04002500163982206</t>
  </si>
  <si>
    <t>04002500161869686</t>
  </si>
  <si>
    <t>04002500168016584</t>
  </si>
  <si>
    <t>04002500165441634</t>
  </si>
  <si>
    <t>04002500165441612</t>
  </si>
  <si>
    <t>04002500165441322</t>
  </si>
  <si>
    <t>04002500167453082</t>
  </si>
  <si>
    <t>04002500175497294</t>
  </si>
  <si>
    <t>01-06-2025 s/d 30-06-2025</t>
  </si>
  <si>
    <t>CHEMICAL PRINTING</t>
  </si>
  <si>
    <t>BTP0625-00056</t>
  </si>
  <si>
    <t>OP0625-00034</t>
  </si>
  <si>
    <t>BTP0625-00058</t>
  </si>
  <si>
    <t>BTP0625-00059</t>
  </si>
  <si>
    <t>OP0625-00016</t>
  </si>
  <si>
    <t>BTP0625-00060</t>
  </si>
  <si>
    <t>OP0625-00019</t>
  </si>
  <si>
    <t>BTP0625-00061</t>
  </si>
  <si>
    <t>BTP0625-00062</t>
  </si>
  <si>
    <t>OP0625-00043</t>
  </si>
  <si>
    <t>MATA BOR 4 MM</t>
  </si>
  <si>
    <t>BTP0625-00063</t>
  </si>
  <si>
    <t>OP0625-00032</t>
  </si>
  <si>
    <t>BTP0625-00064</t>
  </si>
  <si>
    <t>OP0625-00020</t>
  </si>
  <si>
    <t>BTP0625-00065</t>
  </si>
  <si>
    <t>OP0625-00035</t>
  </si>
  <si>
    <t>PIPA STAINLESS 3/4"</t>
  </si>
  <si>
    <t>BTP0625-00066</t>
  </si>
  <si>
    <t>OP0625-00036</t>
  </si>
  <si>
    <t>BTP0625-00067</t>
  </si>
  <si>
    <t>BTP0625-00068</t>
  </si>
  <si>
    <t>OP0625-00044</t>
  </si>
  <si>
    <t>BTP0625-00069</t>
  </si>
  <si>
    <t>BTP0625-00070</t>
  </si>
  <si>
    <t>OP0625-00037</t>
  </si>
  <si>
    <t>BEARING UCP 208</t>
  </si>
  <si>
    <t>BTP0625-00071</t>
  </si>
  <si>
    <t>OP0625-00039</t>
  </si>
  <si>
    <t>BTP0625-00072</t>
  </si>
  <si>
    <t>OP0625-00041</t>
  </si>
  <si>
    <t>04002500160805159</t>
  </si>
  <si>
    <t>04002500174753667</t>
  </si>
  <si>
    <t>04002500174753585</t>
  </si>
  <si>
    <t>0057994</t>
  </si>
  <si>
    <t>0058034</t>
  </si>
  <si>
    <t>0057797</t>
  </si>
  <si>
    <t>0058043</t>
  </si>
  <si>
    <t>0057960</t>
  </si>
  <si>
    <t>0057958</t>
  </si>
  <si>
    <t>0058233</t>
  </si>
  <si>
    <t>0058232</t>
  </si>
  <si>
    <t>0058231</t>
  </si>
  <si>
    <t>0058198</t>
  </si>
  <si>
    <t>0058224</t>
  </si>
  <si>
    <t>0058294</t>
  </si>
  <si>
    <t xml:space="preserve">TGL 21/6 HARGA ASLI 60JT </t>
  </si>
  <si>
    <t>BTP0625-00073</t>
  </si>
  <si>
    <t>OP0625-00048</t>
  </si>
  <si>
    <t>BTP0625-00074</t>
  </si>
  <si>
    <t>BTP0625-00075</t>
  </si>
  <si>
    <t>OP0625-00033</t>
  </si>
  <si>
    <t>BOX LAMPU TL 40 WATT</t>
  </si>
  <si>
    <t>BTP0625-00076</t>
  </si>
  <si>
    <t>OP0625-00040</t>
  </si>
  <si>
    <t>BTP0625-00077</t>
  </si>
  <si>
    <t>BTP0625-00080</t>
  </si>
  <si>
    <t>OP0625-00049</t>
  </si>
  <si>
    <t>SELANG AIR 1 1/2" BENANG</t>
  </si>
  <si>
    <t>BTP0625-00081</t>
  </si>
  <si>
    <t>OP0625-00050</t>
  </si>
  <si>
    <t>STANG LAS 800A</t>
  </si>
  <si>
    <t>BTP0625-00082</t>
  </si>
  <si>
    <t>OP0625-00051</t>
  </si>
  <si>
    <t>BTP0625-00083</t>
  </si>
  <si>
    <t>OP0625-00042</t>
  </si>
  <si>
    <t>BTP0625-00084</t>
  </si>
  <si>
    <t>OP0625-00047</t>
  </si>
  <si>
    <t>BTP0625-00085</t>
  </si>
  <si>
    <t>BTP0625-00088</t>
  </si>
  <si>
    <t>BTP0625-00090</t>
  </si>
  <si>
    <t>OP0625-00038</t>
  </si>
  <si>
    <t>BTP0625-00089</t>
  </si>
  <si>
    <t>OP0625-00055</t>
  </si>
  <si>
    <t>USBD DATA BOARD REV 1.2</t>
  </si>
  <si>
    <t>BTP0625-00091</t>
  </si>
  <si>
    <t>OP0625-00045</t>
  </si>
  <si>
    <t>BTP0625-00092</t>
  </si>
  <si>
    <t>04002500170682671</t>
  </si>
  <si>
    <t>04002500179793576</t>
  </si>
  <si>
    <t>04002500181521360</t>
  </si>
  <si>
    <t>04002500180345603</t>
  </si>
  <si>
    <t>04002500177038367</t>
  </si>
  <si>
    <t>0058370</t>
  </si>
  <si>
    <t>0058407</t>
  </si>
  <si>
    <t>04002500180445109</t>
  </si>
  <si>
    <t>04002500176295913</t>
  </si>
  <si>
    <t>04002500176517899</t>
  </si>
  <si>
    <t>04002500176518002</t>
  </si>
  <si>
    <t>04002500176731253</t>
  </si>
  <si>
    <t>04002500176738054</t>
  </si>
  <si>
    <t>04002500178090069</t>
  </si>
  <si>
    <t>04002500182784072</t>
  </si>
  <si>
    <t>04002500160514539</t>
  </si>
  <si>
    <t>04002500176743749</t>
  </si>
  <si>
    <t>0058219</t>
  </si>
  <si>
    <t>BTP0625-00095</t>
  </si>
  <si>
    <t>BTP0625-00096</t>
  </si>
  <si>
    <t>BTP0625-00097</t>
  </si>
  <si>
    <t>BTP0625-00098</t>
  </si>
  <si>
    <t>OP0625-00046</t>
  </si>
  <si>
    <t>BTP0625-00099</t>
  </si>
  <si>
    <t>OP0625-00053</t>
  </si>
  <si>
    <t>TIMING BELT PRINTING UNIT</t>
  </si>
  <si>
    <t>BTP0625-00100</t>
  </si>
  <si>
    <t>OP0625-00056</t>
  </si>
  <si>
    <t>STICKER BARCODE</t>
  </si>
  <si>
    <t>LIST FAKTUR</t>
  </si>
  <si>
    <t>LIST PEMARTAIAN</t>
  </si>
  <si>
    <t>LAPORAN AREA PRINTING</t>
  </si>
  <si>
    <t>BTP0625-00101</t>
  </si>
  <si>
    <t>OP0625-00058</t>
  </si>
  <si>
    <t>BTP0625-00102</t>
  </si>
  <si>
    <t>OP0625-00017</t>
  </si>
  <si>
    <t>BTP0625-00103</t>
  </si>
  <si>
    <t>OP0625-00018</t>
  </si>
  <si>
    <t>BTP0625-00105</t>
  </si>
  <si>
    <t>OP0625-00054</t>
  </si>
  <si>
    <t>BTP0625-00106</t>
  </si>
  <si>
    <t>BTP0625-00107</t>
  </si>
  <si>
    <t>BTP0625-00108</t>
  </si>
  <si>
    <t>04002500182631170</t>
  </si>
  <si>
    <t>KB013724</t>
  </si>
  <si>
    <t>0058390</t>
  </si>
  <si>
    <t>0058389</t>
  </si>
  <si>
    <t>0058317</t>
  </si>
  <si>
    <t>BTP0625-00109</t>
  </si>
  <si>
    <t>OP0625-00063</t>
  </si>
  <si>
    <t>BTP0625-00110</t>
  </si>
  <si>
    <t>OP0625-00072</t>
  </si>
  <si>
    <t>BTP0625-00112</t>
  </si>
  <si>
    <t>OP0625-00062</t>
  </si>
  <si>
    <t>BTP0625-00113</t>
  </si>
  <si>
    <t>BTP0625-00114</t>
  </si>
  <si>
    <t>OP0625-00065</t>
  </si>
  <si>
    <t>BTP0625-00117</t>
  </si>
  <si>
    <t>OP0625-00075</t>
  </si>
  <si>
    <t>OLI SEAL APA 80 X 63 X 6</t>
  </si>
  <si>
    <t>BTP0625-00118</t>
  </si>
  <si>
    <t>OP0625-00076</t>
  </si>
  <si>
    <t>BTP0625-00119</t>
  </si>
  <si>
    <t>BTP0625-00120</t>
  </si>
  <si>
    <t>OP0625-00061</t>
  </si>
  <si>
    <t>BTP0625-00121</t>
  </si>
  <si>
    <t>OP0625-00073</t>
  </si>
  <si>
    <t>JASA KEAMANAN 15 JUNI 2025 SD 14 JULI 2025</t>
  </si>
  <si>
    <t>04002500181706008</t>
  </si>
  <si>
    <t>04002500186610259</t>
  </si>
  <si>
    <t>KB13732</t>
  </si>
  <si>
    <t>0001181</t>
  </si>
  <si>
    <t>ADHIKARI ENERGI SOLUSI, PT</t>
  </si>
  <si>
    <t>0001182</t>
  </si>
  <si>
    <t>LIMBAH MAJUN</t>
  </si>
  <si>
    <t>LIMBAH KEMASAN B3</t>
  </si>
  <si>
    <t>0001183</t>
  </si>
  <si>
    <t>LIMBAH LAMPU TL</t>
  </si>
  <si>
    <t>DRUM</t>
  </si>
  <si>
    <t>SLMP005</t>
  </si>
  <si>
    <t>04002500181701322</t>
  </si>
  <si>
    <t>04002500177470620</t>
  </si>
  <si>
    <t>TRANSPORTASI</t>
  </si>
  <si>
    <t>04002500193149608</t>
  </si>
  <si>
    <t>04002500191693455</t>
  </si>
  <si>
    <t>04002500191693451</t>
  </si>
  <si>
    <t>04002500191693450</t>
  </si>
  <si>
    <t>04002500191693449</t>
  </si>
  <si>
    <t>04002500178814541</t>
  </si>
  <si>
    <t>04002500182378638</t>
  </si>
  <si>
    <t>04002500187642096</t>
  </si>
  <si>
    <t>04002500176392026</t>
  </si>
  <si>
    <t>04002500176392027</t>
  </si>
  <si>
    <t>04002500180657785</t>
  </si>
  <si>
    <t>04002500186519020</t>
  </si>
  <si>
    <t>04002500183542363</t>
  </si>
  <si>
    <t>04002500182188593</t>
  </si>
  <si>
    <t>04002500157588273</t>
  </si>
  <si>
    <t>04002500166026458</t>
  </si>
  <si>
    <t>04002500179024273</t>
  </si>
  <si>
    <t>04002500174407059</t>
  </si>
  <si>
    <t>04002500184934075</t>
  </si>
  <si>
    <t>04002500184933506</t>
  </si>
  <si>
    <t>04002500177546151</t>
  </si>
  <si>
    <t>04002500182819331</t>
  </si>
  <si>
    <t>04002500188714720</t>
  </si>
  <si>
    <t>04002500173395092</t>
  </si>
  <si>
    <t>BTP0725-00002</t>
  </si>
  <si>
    <t>OP0725-00001</t>
  </si>
  <si>
    <t>LABEL KAIN JADI</t>
  </si>
  <si>
    <t>BTP0725-00003</t>
  </si>
  <si>
    <t>BTP0725-00004</t>
  </si>
  <si>
    <t>OP0625-00060</t>
  </si>
  <si>
    <t>BTP0725-00005</t>
  </si>
  <si>
    <t>OP0625-00069</t>
  </si>
  <si>
    <t>BEARING UCP 207</t>
  </si>
  <si>
    <t>BTP0725-00006</t>
  </si>
  <si>
    <t>OP0625-00074</t>
  </si>
  <si>
    <t>BTP0725-00007</t>
  </si>
  <si>
    <t>OP0625-00071</t>
  </si>
  <si>
    <t>BTP0725-00008</t>
  </si>
  <si>
    <t>OP0725-00014</t>
  </si>
  <si>
    <t>BTP0725-00009</t>
  </si>
  <si>
    <t>OP0725-00013</t>
  </si>
  <si>
    <t>BTP0725-00010</t>
  </si>
  <si>
    <t>BTP0725-00011</t>
  </si>
  <si>
    <t>OP0625-00067</t>
  </si>
  <si>
    <t>BTP0725-00012</t>
  </si>
  <si>
    <t>OP0725-00010</t>
  </si>
  <si>
    <t>BAUD MUR STAINLESS 8 X 40 + RING</t>
  </si>
  <si>
    <t>BAUD MUR STAINLESS STEEL M 6 X 30</t>
  </si>
  <si>
    <t>BTP0725-00013</t>
  </si>
  <si>
    <t>OP0725-00011</t>
  </si>
  <si>
    <t>TANG SNAP RING</t>
  </si>
  <si>
    <t>KLEM SLANG 2"</t>
  </si>
  <si>
    <t>KLEM SLANG 2 1/2"</t>
  </si>
  <si>
    <t>BTP0725-00014</t>
  </si>
  <si>
    <t>OP0725-00012</t>
  </si>
  <si>
    <t>VANBELT 3VX - 710</t>
  </si>
  <si>
    <t>BTP0725-00016</t>
  </si>
  <si>
    <t>PL0725-00003</t>
  </si>
  <si>
    <t>VALVE APAR</t>
  </si>
  <si>
    <t>REFIL APK POWDER 9  KG</t>
  </si>
  <si>
    <t>VALVE + TUBE</t>
  </si>
  <si>
    <t>PCCS</t>
  </si>
  <si>
    <t>REFILL APK POWDER 50 KG</t>
  </si>
  <si>
    <t>UNT</t>
  </si>
  <si>
    <t>BTP0725-00017</t>
  </si>
  <si>
    <t>OP0625-00057</t>
  </si>
  <si>
    <t>PROXIMITY SWITCH TL - W5E1 OMRON</t>
  </si>
  <si>
    <t>BTP0725-00018</t>
  </si>
  <si>
    <t>OP0625-00070</t>
  </si>
  <si>
    <t>BTP0725-00019</t>
  </si>
  <si>
    <t>OP0625-00077</t>
  </si>
  <si>
    <t>MANIFOLD 3 STATION</t>
  </si>
  <si>
    <t>BTP0725-00020</t>
  </si>
  <si>
    <t>OP0725-00009</t>
  </si>
  <si>
    <t>BTP0725-00022</t>
  </si>
  <si>
    <t>OP0725-00007</t>
  </si>
  <si>
    <t>BTP0725-00023</t>
  </si>
  <si>
    <t>OP0625-00066</t>
  </si>
  <si>
    <t>BTP0725-00029</t>
  </si>
  <si>
    <t>OP0725-00003</t>
  </si>
  <si>
    <t>BTP0725-00030</t>
  </si>
  <si>
    <t>OP0725-00002</t>
  </si>
  <si>
    <t>SOLENOID VALVE 4V210 - 08 DC 24V</t>
  </si>
  <si>
    <t>BTP0725-00024</t>
  </si>
  <si>
    <t>OP0725-00004</t>
  </si>
  <si>
    <t>BTP0725-00025</t>
  </si>
  <si>
    <t>OP0725-00017</t>
  </si>
  <si>
    <t>FITTING QS V0 - 08</t>
  </si>
  <si>
    <t>FITTING QS V0 08 - 10</t>
  </si>
  <si>
    <t>FITTING QS V0 06 - 08</t>
  </si>
  <si>
    <t>FITTING QST V0 - 08</t>
  </si>
  <si>
    <t>BTP0725-00026</t>
  </si>
  <si>
    <t>OP0725-00016</t>
  </si>
  <si>
    <t>BTP0725-00027</t>
  </si>
  <si>
    <t>OP0725-00018</t>
  </si>
  <si>
    <t>BTP0725-00028</t>
  </si>
  <si>
    <t>OP0625-00078</t>
  </si>
  <si>
    <t>BTP0725-00031</t>
  </si>
  <si>
    <t>BTP0725-00032</t>
  </si>
  <si>
    <t>BTP0725-00033</t>
  </si>
  <si>
    <t>OP0725-00019</t>
  </si>
  <si>
    <t>WORM GEARBOX NIS SMRV 050 71 B5 RATIO 10</t>
  </si>
  <si>
    <t>SATYA BINTANG ABADI, CV</t>
  </si>
  <si>
    <t>04002500191493389</t>
  </si>
  <si>
    <t>04002500189807246</t>
  </si>
  <si>
    <t>04002500189939471</t>
  </si>
  <si>
    <t>04002500186076114</t>
  </si>
  <si>
    <t>SIDR258</t>
  </si>
  <si>
    <t>04002500175496872</t>
  </si>
  <si>
    <t>04002500175494515</t>
  </si>
  <si>
    <t>04002500175496854</t>
  </si>
  <si>
    <t>04002500175494555</t>
  </si>
  <si>
    <t>04002500183617964</t>
  </si>
  <si>
    <t>04002500183617944</t>
  </si>
  <si>
    <t>04002500183617978</t>
  </si>
  <si>
    <t>04002500183619061</t>
  </si>
  <si>
    <t>04002500183617953</t>
  </si>
  <si>
    <t>04002500187650596</t>
  </si>
  <si>
    <t>04002500187650483</t>
  </si>
  <si>
    <t>04002500187650401</t>
  </si>
  <si>
    <t>04002500187650616</t>
  </si>
  <si>
    <t>04002500190753837</t>
  </si>
  <si>
    <t>04002500190753818</t>
  </si>
  <si>
    <t>04002500190753796</t>
  </si>
  <si>
    <t>04002500195248096</t>
  </si>
  <si>
    <t>04002500193797833</t>
  </si>
  <si>
    <t>04002500196272115</t>
  </si>
  <si>
    <t>04002500196272109</t>
  </si>
  <si>
    <t>04002500199192301</t>
  </si>
  <si>
    <t>04002500192009576</t>
  </si>
  <si>
    <t>04002500192009553</t>
  </si>
  <si>
    <t>fp masuk juli</t>
  </si>
  <si>
    <t>04002500192315187</t>
  </si>
  <si>
    <t>04002500187727352</t>
  </si>
  <si>
    <t>04002500191772579</t>
  </si>
  <si>
    <t>04002500191772578</t>
  </si>
  <si>
    <t>04002500193454494</t>
  </si>
  <si>
    <t>04002500193454492</t>
  </si>
  <si>
    <t>04002500185538527</t>
  </si>
  <si>
    <t>KB013760</t>
  </si>
  <si>
    <t>PEMAKAIAN AIR  JUNI 2025  4.575 M3 X Rp 8.500</t>
  </si>
  <si>
    <t>BTP0725-00034</t>
  </si>
  <si>
    <t>BTP0725-00035</t>
  </si>
  <si>
    <t>OP0625-00064</t>
  </si>
  <si>
    <t>BEST SUN TECHNOLOGY INDONESIA, PT</t>
  </si>
  <si>
    <t>CHECK VALVE COMPRESOR</t>
  </si>
  <si>
    <t>BTP0725-00038</t>
  </si>
  <si>
    <t>BTP0725-00039</t>
  </si>
  <si>
    <t>OP0725-00015</t>
  </si>
  <si>
    <t>BTP0725-00040</t>
  </si>
  <si>
    <t>OP0725-00021</t>
  </si>
  <si>
    <t>BTP0725-00041</t>
  </si>
  <si>
    <t>OP0725-00022</t>
  </si>
  <si>
    <t>BTP0725-00042</t>
  </si>
  <si>
    <t>OP0725-00024</t>
  </si>
  <si>
    <t>LAKBAN BENING 2"</t>
  </si>
  <si>
    <t>BTP0725-00043</t>
  </si>
  <si>
    <t>OP0725-00020</t>
  </si>
  <si>
    <t>BTP0725-00044</t>
  </si>
  <si>
    <t>OP0725-00023</t>
  </si>
  <si>
    <t>BTP0725-00045</t>
  </si>
  <si>
    <t>OP0725-00008</t>
  </si>
  <si>
    <t>BTP0725-00049</t>
  </si>
  <si>
    <t>OP0725-00027</t>
  </si>
  <si>
    <t>KAPE 2.5"</t>
  </si>
  <si>
    <t>KUNCI L 5 PENDEK</t>
  </si>
  <si>
    <t>KUNCI L 5 MM</t>
  </si>
  <si>
    <t>TANG POTONG</t>
  </si>
  <si>
    <t>KUNCI L 6 PENDEK</t>
  </si>
  <si>
    <t>KUNCI L 6</t>
  </si>
  <si>
    <t>OBENG + / -</t>
  </si>
  <si>
    <t>KUNCI INGGRIS 8"</t>
  </si>
  <si>
    <t>BTP0725-00050</t>
  </si>
  <si>
    <t>OP0725-00028</t>
  </si>
  <si>
    <t>SOLENOID VALVE 4V210 - 6 24 VOLT DC</t>
  </si>
  <si>
    <t>SOLENOID VALVE EMC V 5232 - 10 AC / 220 V</t>
  </si>
  <si>
    <t>SIDR014</t>
  </si>
  <si>
    <t>BMJ MASUK JULI</t>
  </si>
  <si>
    <t>04002500198727004</t>
  </si>
  <si>
    <t>04002500202773085</t>
  </si>
  <si>
    <t>04002500199348999</t>
  </si>
  <si>
    <t>04002500190723662</t>
  </si>
  <si>
    <t>04002500207068819</t>
  </si>
  <si>
    <t>04002500199349016</t>
  </si>
  <si>
    <t>01-07-2025 s/d 31-07-2025</t>
  </si>
  <si>
    <t>vanguard logistics indonesia</t>
  </si>
  <si>
    <t>04002500198942004</t>
  </si>
  <si>
    <t>04002500200236423</t>
  </si>
  <si>
    <t>04002500191249157</t>
  </si>
  <si>
    <t>04002500191249155</t>
  </si>
  <si>
    <t>04002500204345072</t>
  </si>
  <si>
    <t>04002500185960320</t>
  </si>
  <si>
    <t>04012500189367846</t>
  </si>
  <si>
    <t>BTP0725-00051</t>
  </si>
  <si>
    <t>BTP0725-00052</t>
  </si>
  <si>
    <t>OP0725-00029</t>
  </si>
  <si>
    <t>BALL CHECK VALVE PVC 4"</t>
  </si>
  <si>
    <t>BTP0725-00053</t>
  </si>
  <si>
    <t>BTP0725-00054</t>
  </si>
  <si>
    <t>OP0725-00026</t>
  </si>
  <si>
    <t>BTP0725-00055</t>
  </si>
  <si>
    <t>OP0725-00032</t>
  </si>
  <si>
    <t>BTP0725-00056</t>
  </si>
  <si>
    <t>OP0725-00031</t>
  </si>
  <si>
    <t>BTP0725-00057</t>
  </si>
  <si>
    <t>OP0725-00035</t>
  </si>
  <si>
    <t>REKAP PEMAKAIAN OBAT</t>
  </si>
  <si>
    <t>BTP0725-00058</t>
  </si>
  <si>
    <t>BTP0725-00059</t>
  </si>
  <si>
    <t>OP0625-00068</t>
  </si>
  <si>
    <t>BTP0725-00061</t>
  </si>
  <si>
    <t>OP0725-00006</t>
  </si>
  <si>
    <t>BTP0725-00062</t>
  </si>
  <si>
    <t>OP0725-00030</t>
  </si>
  <si>
    <t>BTP0725-00063</t>
  </si>
  <si>
    <t>BTP0725-00064</t>
  </si>
  <si>
    <t>BTP0725-00065</t>
  </si>
  <si>
    <t>BTP0725-00066</t>
  </si>
  <si>
    <t>OP0725-00025</t>
  </si>
  <si>
    <t>04002500205036175</t>
  </si>
  <si>
    <t>04002500206064054</t>
  </si>
  <si>
    <t>04002500197788313</t>
  </si>
  <si>
    <t>04002500212014287</t>
  </si>
  <si>
    <t>04002500215915274</t>
  </si>
  <si>
    <t>BTP0725-00067</t>
  </si>
  <si>
    <t>OP0725-00048</t>
  </si>
  <si>
    <t>BTP0725-00071</t>
  </si>
  <si>
    <t>OP0725-00046</t>
  </si>
  <si>
    <t>KUNCI RING PAS 32</t>
  </si>
  <si>
    <t>MUR M 12</t>
  </si>
  <si>
    <t>BTP0725-00072</t>
  </si>
  <si>
    <t>OP0725-00047</t>
  </si>
  <si>
    <t>KUNCI RING PAS 28</t>
  </si>
  <si>
    <t>BTP0725-00073</t>
  </si>
  <si>
    <t>OP0725-00034</t>
  </si>
  <si>
    <t>BTP0725-00074</t>
  </si>
  <si>
    <t>OP0725-00036</t>
  </si>
  <si>
    <t>GENERASI OESAHA LANTJAR DJAJA, PT</t>
  </si>
  <si>
    <t>THAXAPRINT EPX 7277</t>
  </si>
  <si>
    <t>BTP0725-00075</t>
  </si>
  <si>
    <t>OP0725-00033</t>
  </si>
  <si>
    <t>RAM KAWAT STAINLESS 18 X 18X 0.3MM</t>
  </si>
  <si>
    <t>Mtr</t>
  </si>
  <si>
    <t>BTP0725-00076</t>
  </si>
  <si>
    <t>BTP0725-00077</t>
  </si>
  <si>
    <t>OP0725-00039</t>
  </si>
  <si>
    <t>BTP0725-00078</t>
  </si>
  <si>
    <t>OP0725-00040</t>
  </si>
  <si>
    <t>BTP0725-00079</t>
  </si>
  <si>
    <t>OP0725-00043</t>
  </si>
  <si>
    <t>BTP0725-00080</t>
  </si>
  <si>
    <t>OP0625-00052</t>
  </si>
  <si>
    <t>PNEUMATIC CYLINDER</t>
  </si>
  <si>
    <t>BTP0725-00082</t>
  </si>
  <si>
    <t>SUSD089</t>
  </si>
  <si>
    <t>SAMA DENGAN LEOPRINT</t>
  </si>
  <si>
    <t>04002500198756202</t>
  </si>
  <si>
    <t>04002500201447029</t>
  </si>
  <si>
    <t>04002500201447014</t>
  </si>
  <si>
    <t>04002500216720040</t>
  </si>
  <si>
    <t>04002500216799386</t>
  </si>
  <si>
    <t>04002500215119796</t>
  </si>
  <si>
    <t>BTP0725-00083</t>
  </si>
  <si>
    <t>BTP0725-00084</t>
  </si>
  <si>
    <t>OP0725-00051</t>
  </si>
  <si>
    <t>SERVICE ELECTROMOTOR 1 HP</t>
  </si>
  <si>
    <t>BTP0725-00085</t>
  </si>
  <si>
    <t>BTP0725-00086</t>
  </si>
  <si>
    <t>OP0725-00044</t>
  </si>
  <si>
    <t>LEOPHEN NS LIQUID ( SABUN SYNTETIC )</t>
  </si>
  <si>
    <t>BTP0725-00087</t>
  </si>
  <si>
    <t>OP0725-00049</t>
  </si>
  <si>
    <t>BTP0725-00088</t>
  </si>
  <si>
    <t>OP0725-00045</t>
  </si>
  <si>
    <t>BTP0725-00089</t>
  </si>
  <si>
    <t>OP0725-00038</t>
  </si>
  <si>
    <t>WARNA JAYA SENTOSA, PT</t>
  </si>
  <si>
    <t>BTP0725-00090</t>
  </si>
  <si>
    <t>OP0725-00037</t>
  </si>
  <si>
    <t>BTP0725-00091</t>
  </si>
  <si>
    <t>BTP0725-00093</t>
  </si>
  <si>
    <t>OP0725-00054</t>
  </si>
  <si>
    <t>BTP0725-00094</t>
  </si>
  <si>
    <t>OP0725-00042</t>
  </si>
  <si>
    <t>LUKITA JAYA PERKASA, PT</t>
  </si>
  <si>
    <t>PAC POWDER</t>
  </si>
  <si>
    <t>ANTIFOAM</t>
  </si>
  <si>
    <t>kg</t>
  </si>
  <si>
    <t>BTP0725-00095</t>
  </si>
  <si>
    <t>OP0725-00053</t>
  </si>
  <si>
    <t>BTP0725-00096</t>
  </si>
  <si>
    <t>SIDR079</t>
  </si>
  <si>
    <t>SUSD060</t>
  </si>
  <si>
    <t>SIDR259</t>
  </si>
  <si>
    <t>0001293</t>
  </si>
  <si>
    <t>0001294</t>
  </si>
  <si>
    <t>0001295</t>
  </si>
  <si>
    <t>0001193</t>
  </si>
  <si>
    <t>LIMBAH OLI</t>
  </si>
  <si>
    <t>BTP0725-00097</t>
  </si>
  <si>
    <t>OP0725-00052</t>
  </si>
  <si>
    <t>BTP0725-00098</t>
  </si>
  <si>
    <t>BTP0725-00099</t>
  </si>
  <si>
    <t>OP0725-00055</t>
  </si>
  <si>
    <t>BAUD SOCKET L 8 X 15</t>
  </si>
  <si>
    <t>BAUD MUR M 5/8" X 2 1/2"</t>
  </si>
  <si>
    <t>BTP0725-00100</t>
  </si>
  <si>
    <t>OP0725-00056</t>
  </si>
  <si>
    <t>BTP0725-00101</t>
  </si>
  <si>
    <t>OP0725-00057</t>
  </si>
  <si>
    <t>BTP0725-00102</t>
  </si>
  <si>
    <t>OP0725-00058</t>
  </si>
  <si>
    <t>RADAR OTOMATIS TORN</t>
  </si>
  <si>
    <t>BTP0725-00103</t>
  </si>
  <si>
    <t>OP0725-00059</t>
  </si>
  <si>
    <t>BTP0725-00104</t>
  </si>
  <si>
    <t>OP0725-00061</t>
  </si>
  <si>
    <t>BTP0725-00105</t>
  </si>
  <si>
    <t>BTP0725-00106</t>
  </si>
  <si>
    <t>BTP0725-00107</t>
  </si>
  <si>
    <t>OP0725-00062</t>
  </si>
  <si>
    <t>INDOCOAL</t>
  </si>
  <si>
    <t>BTP0725-00108</t>
  </si>
  <si>
    <t>SIDR260</t>
  </si>
  <si>
    <t>04002500221885686</t>
  </si>
  <si>
    <t>04002500223099122</t>
  </si>
  <si>
    <t>04002500222531896</t>
  </si>
  <si>
    <t>04002500206685764</t>
  </si>
  <si>
    <t>04002500212620035</t>
  </si>
  <si>
    <t>04002500214441554</t>
  </si>
  <si>
    <t>04002500219819508</t>
  </si>
  <si>
    <t>04002500218776515</t>
  </si>
  <si>
    <t>04002500218775349</t>
  </si>
  <si>
    <t>04002500217604670</t>
  </si>
  <si>
    <t>DISPERSE RED 2B (PINK) ( CALCRON )</t>
  </si>
  <si>
    <t>DOP (SOFTENER)</t>
  </si>
  <si>
    <t>SCOUR HS</t>
  </si>
  <si>
    <t>TANGSHU GUM 800 (TAMARIND)</t>
  </si>
  <si>
    <t>AQUACLEAR PA 326</t>
  </si>
  <si>
    <t>AQUAKLIR CP081 (POLYMER CATHIONIC)</t>
  </si>
  <si>
    <t>AQUAKLIR CR 702 ( DCA )</t>
  </si>
  <si>
    <t>DAMUSIL</t>
  </si>
  <si>
    <t>BTP0725-00109</t>
  </si>
  <si>
    <t>OP0725-00065</t>
  </si>
  <si>
    <t>POMPA SHOW FOU CV 132 1 HP - 220 / 380 VOLT</t>
  </si>
  <si>
    <t>BTP0725-00110</t>
  </si>
  <si>
    <t>OP0725-00064</t>
  </si>
  <si>
    <t>BEARING 6310</t>
  </si>
  <si>
    <t>BTP0725-00111</t>
  </si>
  <si>
    <t>BTP0725-00114</t>
  </si>
  <si>
    <t>OP0725-00066</t>
  </si>
  <si>
    <t>BTP0725-00115</t>
  </si>
  <si>
    <t>OP0725-00060</t>
  </si>
  <si>
    <t>BTP0725-00116</t>
  </si>
  <si>
    <t>IMPELLER CVQ - 132 STAINLESS STEEL</t>
  </si>
  <si>
    <t>BTP0725-00117</t>
  </si>
  <si>
    <t>BTP0725-00118</t>
  </si>
  <si>
    <t>BTP0725-00119</t>
  </si>
  <si>
    <t>OP0725-00070</t>
  </si>
  <si>
    <t>BTP0725-00122</t>
  </si>
  <si>
    <t>BTP0725-00123</t>
  </si>
  <si>
    <t>OP0725-00069</t>
  </si>
  <si>
    <t>KB13810</t>
  </si>
  <si>
    <t>04002500221986644</t>
  </si>
  <si>
    <t>0058463</t>
  </si>
  <si>
    <t>0058538</t>
  </si>
  <si>
    <t>0058668</t>
  </si>
  <si>
    <t>0058383</t>
  </si>
  <si>
    <t>0058549</t>
  </si>
  <si>
    <t>0058569</t>
  </si>
  <si>
    <t>0058651</t>
  </si>
  <si>
    <t>0058704</t>
  </si>
  <si>
    <t>0058519</t>
  </si>
  <si>
    <t>0058442</t>
  </si>
  <si>
    <t>0058613</t>
  </si>
  <si>
    <t>0058806</t>
  </si>
  <si>
    <t>0058850</t>
  </si>
  <si>
    <t>0058919</t>
  </si>
  <si>
    <t>0058869</t>
  </si>
  <si>
    <t>0058868</t>
  </si>
  <si>
    <t>0058606</t>
  </si>
  <si>
    <t>0059041</t>
  </si>
  <si>
    <t>04002500220681624</t>
  </si>
  <si>
    <t>04002500216003607</t>
  </si>
  <si>
    <t>04002500227248517</t>
  </si>
  <si>
    <t>04002500227248518</t>
  </si>
  <si>
    <t>04002500227248501</t>
  </si>
  <si>
    <t>04002500227248498</t>
  </si>
  <si>
    <t>04002500225001973</t>
  </si>
  <si>
    <t>04002500222569977</t>
  </si>
  <si>
    <t>04002500224007362</t>
  </si>
  <si>
    <t>04002500222740890</t>
  </si>
  <si>
    <t>04002500223344579</t>
  </si>
  <si>
    <t>04002500230903529</t>
  </si>
  <si>
    <t>04002500193304447</t>
  </si>
  <si>
    <t>04002500212167186</t>
  </si>
  <si>
    <t>04002500226039066</t>
  </si>
  <si>
    <t>04002500226080649</t>
  </si>
  <si>
    <t>BTP0825-00001</t>
  </si>
  <si>
    <t>OP0725-00071</t>
  </si>
  <si>
    <t>BTP0825-00002</t>
  </si>
  <si>
    <t>OP0725-00067</t>
  </si>
  <si>
    <t>BTP0825-00003</t>
  </si>
  <si>
    <t>OP0725-00073</t>
  </si>
  <si>
    <t>BTP0825-00004</t>
  </si>
  <si>
    <t>OP0725-00072</t>
  </si>
  <si>
    <t>BTP0825-00008</t>
  </si>
  <si>
    <t>OP0825-00006</t>
  </si>
  <si>
    <t>SELANG AIR 5/8"</t>
  </si>
  <si>
    <t>BTP0825-00009</t>
  </si>
  <si>
    <t>OP0825-00007</t>
  </si>
  <si>
    <t>BAUD MUR M 10 X 45</t>
  </si>
  <si>
    <t>RING PLAT M 6</t>
  </si>
  <si>
    <t>BTP0825-00010</t>
  </si>
  <si>
    <t>OP0825-00008</t>
  </si>
  <si>
    <t>BTP0825-00011</t>
  </si>
  <si>
    <t>OP0825-00009</t>
  </si>
  <si>
    <t>PASIR PASANG</t>
  </si>
  <si>
    <t>PAPAN COR</t>
  </si>
  <si>
    <t>BTP0825-00012</t>
  </si>
  <si>
    <t>OP0825-00010</t>
  </si>
  <si>
    <t>BTP0825-00013</t>
  </si>
  <si>
    <t>OP0825-00011</t>
  </si>
  <si>
    <t>HEBEL 60 X 20 TEBAL 10 CM</t>
  </si>
  <si>
    <t>KAWAT BETON</t>
  </si>
  <si>
    <t>LEM LM (PEREKAT HEBEL)</t>
  </si>
  <si>
    <t>BTP0825-00014</t>
  </si>
  <si>
    <t>OP0825-00002</t>
  </si>
  <si>
    <t>BTP0825-00015</t>
  </si>
  <si>
    <t>BTP0825-00016</t>
  </si>
  <si>
    <t>OP0725-00075</t>
  </si>
  <si>
    <t>BTP0825-00017</t>
  </si>
  <si>
    <t>01-08-2025 s/d 31-08-2025</t>
  </si>
  <si>
    <t>04002500232197875</t>
  </si>
  <si>
    <t>04002500232197884</t>
  </si>
  <si>
    <t>04002500232197878</t>
  </si>
  <si>
    <t>KB013830</t>
  </si>
  <si>
    <t>PEMAKAIAN AIR  JULI 2025  5.723 M3 X Rp 8.500</t>
  </si>
  <si>
    <t>BTP0825-00018</t>
  </si>
  <si>
    <t>OP0825-00003</t>
  </si>
  <si>
    <t>SELANG POLYURETHAN 8 MM</t>
  </si>
  <si>
    <t>BTP0825-00019</t>
  </si>
  <si>
    <t>OP0825-00004</t>
  </si>
  <si>
    <t>STOP CONTACT + STEAKER 3 PHASE 4 PIN 32A</t>
  </si>
  <si>
    <t>BTP0825-00020</t>
  </si>
  <si>
    <t>OP0825-00012</t>
  </si>
  <si>
    <t>BTP0825-00021</t>
  </si>
  <si>
    <t>OP0825-00013</t>
  </si>
  <si>
    <t>BTP0825-00022</t>
  </si>
  <si>
    <t>OP0825-00001</t>
  </si>
  <si>
    <t>BTP0825-00023</t>
  </si>
  <si>
    <t>OP0825-00014</t>
  </si>
  <si>
    <t>RELAY MY4N 220V AC</t>
  </si>
  <si>
    <t>BTP0825-00024</t>
  </si>
  <si>
    <t>OP0725-00074</t>
  </si>
  <si>
    <t>BTP0825-00025</t>
  </si>
  <si>
    <t>BTP0825-00026</t>
  </si>
  <si>
    <t>OP0825-00015</t>
  </si>
  <si>
    <t>BTP0825-00027</t>
  </si>
  <si>
    <t>BTP0825-00028</t>
  </si>
  <si>
    <t>OP0725-00063</t>
  </si>
  <si>
    <t>BTP0825-00030</t>
  </si>
  <si>
    <t>OP0825-00024</t>
  </si>
  <si>
    <t>BTP0825-00031</t>
  </si>
  <si>
    <t>OP0825-00018</t>
  </si>
  <si>
    <t>BTP0825-00032</t>
  </si>
  <si>
    <t>OP0825-00025</t>
  </si>
  <si>
    <t>CARBON BRUSH GWS 6 - 100</t>
  </si>
  <si>
    <t>BTP0825-00033</t>
  </si>
  <si>
    <t>OP0825-00017</t>
  </si>
  <si>
    <t>04002500230770963</t>
  </si>
  <si>
    <t>04002500230770913</t>
  </si>
  <si>
    <t>04002500230770918</t>
  </si>
  <si>
    <t>04002500231087197</t>
  </si>
  <si>
    <t>04002500230880592</t>
  </si>
  <si>
    <t>04002500228949887</t>
  </si>
  <si>
    <t>04002500230960600</t>
  </si>
  <si>
    <t>04002500223985320</t>
  </si>
  <si>
    <t>04002500229175916</t>
  </si>
  <si>
    <t>04002500225284677</t>
  </si>
  <si>
    <t>04002500225285983</t>
  </si>
  <si>
    <t>04002500222934988</t>
  </si>
  <si>
    <t>04002500222986101</t>
  </si>
  <si>
    <t>04002500225853152</t>
  </si>
  <si>
    <t>04002500230306471</t>
  </si>
  <si>
    <t>04002500237746431</t>
  </si>
  <si>
    <t>04002500235073478</t>
  </si>
  <si>
    <t>04002500235073473</t>
  </si>
  <si>
    <t>+BMJ+gen+sinergi+ZAOZHUANG</t>
  </si>
  <si>
    <t>04002500185124462</t>
  </si>
  <si>
    <t>04002500239686637</t>
  </si>
  <si>
    <t>04002500233571527</t>
  </si>
  <si>
    <t>04002500234094468</t>
  </si>
  <si>
    <t>04002500233040659</t>
  </si>
  <si>
    <t>04002500233872619</t>
  </si>
  <si>
    <t>04002500231356381</t>
  </si>
  <si>
    <t>BTP0825-00034</t>
  </si>
  <si>
    <t>OP0825-00023</t>
  </si>
  <si>
    <t>SCREEN MONYL M 100 X 74"</t>
  </si>
  <si>
    <t>BTP0825-00035</t>
  </si>
  <si>
    <t>BTP0825-00036</t>
  </si>
  <si>
    <t>OP0825-00026</t>
  </si>
  <si>
    <t>MECHANICAL SEAL SUZ - 45 MM</t>
  </si>
  <si>
    <t>BTP0825-00037</t>
  </si>
  <si>
    <t>OP0825-00027</t>
  </si>
  <si>
    <t>BTP0825-00038</t>
  </si>
  <si>
    <t>OP0825-00021</t>
  </si>
  <si>
    <t>BTP0825-00039</t>
  </si>
  <si>
    <t>BTP0825-00040</t>
  </si>
  <si>
    <t>OP0825-00028</t>
  </si>
  <si>
    <t>BTP0825-00044</t>
  </si>
  <si>
    <t>OP0825-00022</t>
  </si>
  <si>
    <t>LAMPU TL 18 WATT</t>
  </si>
  <si>
    <t>BTP0825-00045</t>
  </si>
  <si>
    <t>OP0825-00020</t>
  </si>
  <si>
    <t>BTP0825-00046</t>
  </si>
  <si>
    <t>BTP0825-00049</t>
  </si>
  <si>
    <t>OP0825-00030</t>
  </si>
  <si>
    <t>BTP0825-00050</t>
  </si>
  <si>
    <t>OP0825-00029</t>
  </si>
  <si>
    <t>04002500207027535</t>
  </si>
  <si>
    <t>04002500207026753</t>
  </si>
  <si>
    <t>04002500207027245</t>
  </si>
  <si>
    <t>04002500207027053</t>
  </si>
  <si>
    <t>04002500211947378</t>
  </si>
  <si>
    <t>04002500211947373</t>
  </si>
  <si>
    <t>04002500217963273</t>
  </si>
  <si>
    <t>04002500222249489</t>
  </si>
  <si>
    <t>04002500222248534</t>
  </si>
  <si>
    <t>04002500222248526</t>
  </si>
  <si>
    <t>04002500222248515</t>
  </si>
  <si>
    <t>04002500229724122</t>
  </si>
  <si>
    <t>04002500229724140</t>
  </si>
  <si>
    <t>04002500229724123</t>
  </si>
  <si>
    <t>04002500230945371</t>
  </si>
  <si>
    <t>BTP0825-00051</t>
  </si>
  <si>
    <t>OP0825-00036</t>
  </si>
  <si>
    <t>LEM PLASTIK</t>
  </si>
  <si>
    <t>BTP0825-00052</t>
  </si>
  <si>
    <t>OP0825-00037</t>
  </si>
  <si>
    <t>BAUD MUR M 12 X 70</t>
  </si>
  <si>
    <t>KUNCI GEMBOK</t>
  </si>
  <si>
    <t>BTP0825-00053</t>
  </si>
  <si>
    <t>OP0825-00038</t>
  </si>
  <si>
    <t>BTP0825-00054</t>
  </si>
  <si>
    <t>OP0825-00044</t>
  </si>
  <si>
    <t>SERVICE ELECTROMOTOR 4 HP</t>
  </si>
  <si>
    <t>BTP0825-00055</t>
  </si>
  <si>
    <t>BTP0825-00056</t>
  </si>
  <si>
    <t>OP0825-00016</t>
  </si>
  <si>
    <t>BTP0825-00057</t>
  </si>
  <si>
    <t>BTP0825-00058</t>
  </si>
  <si>
    <t>BTP0825-00060</t>
  </si>
  <si>
    <t>OP0825-00045</t>
  </si>
  <si>
    <t>PHOTO SENSOR BRQM100 DDTA</t>
  </si>
  <si>
    <t>BTP0825-00061</t>
  </si>
  <si>
    <t>OP0825-00041</t>
  </si>
  <si>
    <t>0001622</t>
  </si>
  <si>
    <t>0001624</t>
  </si>
  <si>
    <t>KEMASAN B3</t>
  </si>
  <si>
    <t>MAJUN</t>
  </si>
  <si>
    <t>04002500244530001</t>
  </si>
  <si>
    <t>04002500244659897</t>
  </si>
  <si>
    <t>04002500242641231</t>
  </si>
  <si>
    <t>04002500242292902</t>
  </si>
  <si>
    <t>04002500241381794</t>
  </si>
  <si>
    <t>04002500242066119</t>
  </si>
  <si>
    <t>04002500258339611</t>
  </si>
  <si>
    <t>04002500241377182</t>
  </si>
  <si>
    <t>04002500250951438</t>
  </si>
  <si>
    <t>BTP0825-00064</t>
  </si>
  <si>
    <t>OP0825-00033</t>
  </si>
  <si>
    <t>BTP0825-00065</t>
  </si>
  <si>
    <t>OP0825-00043</t>
  </si>
  <si>
    <t>BTP0825-00066</t>
  </si>
  <si>
    <t>BTP0825-00067</t>
  </si>
  <si>
    <t>BTP0825-00068</t>
  </si>
  <si>
    <t>OP0825-00047</t>
  </si>
  <si>
    <t>BEARING UCP 209</t>
  </si>
  <si>
    <t>BTP0825-00069</t>
  </si>
  <si>
    <t>OP0825-00049</t>
  </si>
  <si>
    <t>BTP0825-00070</t>
  </si>
  <si>
    <t>OP0825-00031</t>
  </si>
  <si>
    <t>BTP0825-00071</t>
  </si>
  <si>
    <t>OP0825-00048</t>
  </si>
  <si>
    <t>BTP0825-00072</t>
  </si>
  <si>
    <t>OP0825-00032</t>
  </si>
  <si>
    <t>BTP0825-00073</t>
  </si>
  <si>
    <t>OP0825-00040</t>
  </si>
  <si>
    <t>BTP0825-00074</t>
  </si>
  <si>
    <t>OP0825-00034</t>
  </si>
  <si>
    <t>BTP0825-00075</t>
  </si>
  <si>
    <t>OP0725-00041</t>
  </si>
  <si>
    <t>BTP0825-00076</t>
  </si>
  <si>
    <t>OP0825-00042</t>
  </si>
  <si>
    <t>GREASE / STEMPET BOILER (BECHEM BERUTOX MB2H)</t>
  </si>
  <si>
    <t>BTP0825-00077</t>
  </si>
  <si>
    <t>OP0825-00057</t>
  </si>
  <si>
    <t>BTP0825-00080</t>
  </si>
  <si>
    <t>OP0825-00050</t>
  </si>
  <si>
    <t>BTP0825-00081</t>
  </si>
  <si>
    <t>OP0825-00051</t>
  </si>
  <si>
    <t>VANBELT A 54</t>
  </si>
  <si>
    <t>BTP0825-00082</t>
  </si>
  <si>
    <t>OP0825-00039</t>
  </si>
  <si>
    <t>BTP0825-00083</t>
  </si>
  <si>
    <t>BTP0825-00084</t>
  </si>
  <si>
    <t>BTP0825-00085</t>
  </si>
  <si>
    <t>BTP0825-00086</t>
  </si>
  <si>
    <t>OP0725-00050</t>
  </si>
  <si>
    <t>SUPER RUN PD - 1 ( SYNTETIC THICKENER )</t>
  </si>
  <si>
    <t>BTP0825-00087</t>
  </si>
  <si>
    <t>OP0825-00056</t>
  </si>
  <si>
    <t>04002500254584787</t>
  </si>
  <si>
    <t>CHEMICAL  DYEING</t>
  </si>
  <si>
    <t>CHEMICAL DYEING</t>
  </si>
  <si>
    <t>BTP0825-00088</t>
  </si>
  <si>
    <t>OP0825-00058</t>
  </si>
  <si>
    <t>BTP0825-00089</t>
  </si>
  <si>
    <t>OP0825-00059</t>
  </si>
  <si>
    <t>04002500261728865</t>
  </si>
  <si>
    <t>04002500241227120</t>
  </si>
  <si>
    <t>04002500260943122</t>
  </si>
  <si>
    <t>04002500259035309</t>
  </si>
  <si>
    <t>04002500245917473</t>
  </si>
  <si>
    <t>04002500245917472</t>
  </si>
  <si>
    <t>04002500258253800</t>
  </si>
  <si>
    <t>04002500177576409</t>
  </si>
  <si>
    <t>04002500237798814</t>
  </si>
  <si>
    <t>04002500242746652</t>
  </si>
  <si>
    <t>04002500259810573</t>
  </si>
  <si>
    <t>04002500258944134</t>
  </si>
  <si>
    <t>04002500256973107</t>
  </si>
  <si>
    <t>04002500256973106</t>
  </si>
  <si>
    <t>KB13887</t>
  </si>
  <si>
    <t>JASA KEAMANAN 15 AGUSTUS 2025 SD 14 SEPTEMBER 2025</t>
  </si>
  <si>
    <t>04002500261915730</t>
  </si>
  <si>
    <t>JASA KEAMANAN 15 JULI 2025 SD 14 AGUSTUS 2025</t>
  </si>
  <si>
    <t>BTP0825-00090</t>
  </si>
  <si>
    <t>OP0825-00062</t>
  </si>
  <si>
    <t>STICKER PERINGATAN B3</t>
  </si>
  <si>
    <t>BTP0825-00091</t>
  </si>
  <si>
    <t>OP0825-00054</t>
  </si>
  <si>
    <t>BTP0825-00092</t>
  </si>
  <si>
    <t>OP0825-00053</t>
  </si>
  <si>
    <t>BTP0825-00093</t>
  </si>
  <si>
    <t>OP0825-00063</t>
  </si>
  <si>
    <t>CAT NIPPE ABU / EPOXI</t>
  </si>
  <si>
    <t>BTP0825-00094</t>
  </si>
  <si>
    <t>OP0825-00035</t>
  </si>
  <si>
    <t>BTP0825-00095</t>
  </si>
  <si>
    <t>BTP0825-00096</t>
  </si>
  <si>
    <t>OP0825-00055</t>
  </si>
  <si>
    <t>BTP0825-00097</t>
  </si>
  <si>
    <t>OP0825-00046</t>
  </si>
  <si>
    <t>GLOBAL POLIMER INDONESIA</t>
  </si>
  <si>
    <t>BTP0825-00098</t>
  </si>
  <si>
    <t>OP0825-00066</t>
  </si>
  <si>
    <t>BTP0825-00099</t>
  </si>
  <si>
    <t>OP0825-00069</t>
  </si>
  <si>
    <t>BTP0825-00100</t>
  </si>
  <si>
    <t>OP0825-00052</t>
  </si>
  <si>
    <t>BTP0825-00101</t>
  </si>
  <si>
    <t>OP0825-00071</t>
  </si>
  <si>
    <t>BTP0825-00102</t>
  </si>
  <si>
    <t>OP0825-00070</t>
  </si>
  <si>
    <t>BTP0825-00103</t>
  </si>
  <si>
    <t>OP0825-00061</t>
  </si>
  <si>
    <t>BTP0825-00104</t>
  </si>
  <si>
    <t>OP0825-00064</t>
  </si>
  <si>
    <t>BTP0825-00106</t>
  </si>
  <si>
    <t>OP0825-00074</t>
  </si>
  <si>
    <t>BTP0825-00109</t>
  </si>
  <si>
    <t>BTP0825-00110</t>
  </si>
  <si>
    <t>OP0825-00076</t>
  </si>
  <si>
    <t>BTP0825-00111</t>
  </si>
  <si>
    <t>BTP0825-00112</t>
  </si>
  <si>
    <t>OP0825-00060</t>
  </si>
  <si>
    <t>RELAY MY4N 24 VOLT DC</t>
  </si>
  <si>
    <t>MCB 25 A - 2 PHASE</t>
  </si>
  <si>
    <t>RELAY MY2N 24 VDC + SOCKET</t>
  </si>
  <si>
    <t>BTP0825-00113</t>
  </si>
  <si>
    <t>OP0825-00065</t>
  </si>
  <si>
    <t>BTP0825-00118</t>
  </si>
  <si>
    <t>OP0825-00077</t>
  </si>
  <si>
    <t>BTP0825-00120</t>
  </si>
  <si>
    <t>OP0825-00079</t>
  </si>
  <si>
    <t>BTP0825-00121</t>
  </si>
  <si>
    <t>OP0825-00080</t>
  </si>
  <si>
    <t>GLAND PACKING 10 MM X 10 MM</t>
  </si>
  <si>
    <t>COUNTER METER ( R )</t>
  </si>
  <si>
    <t>BTP0825-00115</t>
  </si>
  <si>
    <t>OP0825-00081</t>
  </si>
  <si>
    <t>BTP0825-00119</t>
  </si>
  <si>
    <t>OP0825-00078</t>
  </si>
  <si>
    <t>KRAN AIR 1/2"</t>
  </si>
  <si>
    <t>DOUBLE NEPLE STAINLESS 1"</t>
  </si>
  <si>
    <t>BTP0825-00122</t>
  </si>
  <si>
    <t>OP0825-00082</t>
  </si>
  <si>
    <t>PAPAN 3 X 20 X 4</t>
  </si>
  <si>
    <t>KAYU BALOK 5 X 10 X 4</t>
  </si>
  <si>
    <t>BTP0825-00123</t>
  </si>
  <si>
    <t>OP0825-00083</t>
  </si>
  <si>
    <t>THINNER GURITA MERAH</t>
  </si>
  <si>
    <t>SIDR240</t>
  </si>
  <si>
    <t>0059049</t>
  </si>
  <si>
    <t>0059102</t>
  </si>
  <si>
    <t>0059104</t>
  </si>
  <si>
    <t>0058862</t>
  </si>
  <si>
    <t>0059215</t>
  </si>
  <si>
    <t>0059269</t>
  </si>
  <si>
    <t>0059163</t>
  </si>
  <si>
    <t>0059084</t>
  </si>
  <si>
    <t>0059310</t>
  </si>
  <si>
    <t>0059348</t>
  </si>
  <si>
    <t>0059376</t>
  </si>
  <si>
    <t>0059308</t>
  </si>
  <si>
    <t>0059518</t>
  </si>
  <si>
    <t>0059523</t>
  </si>
  <si>
    <t>0059563</t>
  </si>
  <si>
    <t>0059598</t>
  </si>
  <si>
    <t>04002500270391216</t>
  </si>
  <si>
    <t>BTP0925-00001</t>
  </si>
  <si>
    <t>OP0825-00075</t>
  </si>
  <si>
    <t>BTP0925-00002</t>
  </si>
  <si>
    <t>BTP0925-00003</t>
  </si>
  <si>
    <t>OP0825-00067</t>
  </si>
  <si>
    <t>BTP0925-00004</t>
  </si>
  <si>
    <t>OP0825-00086</t>
  </si>
  <si>
    <t>BTP0925-00005</t>
  </si>
  <si>
    <t>BTP0925-00006</t>
  </si>
  <si>
    <t>OP0925-00001</t>
  </si>
  <si>
    <t>NUSATECH</t>
  </si>
  <si>
    <t>SERVICE CONTROL DC MESIN STENTER</t>
  </si>
  <si>
    <t>BTP0925-00007</t>
  </si>
  <si>
    <t>OP0925-00002</t>
  </si>
  <si>
    <t>KIKIR SEGITIGA 4"</t>
  </si>
  <si>
    <t>BAUD MUR M 10 X 30</t>
  </si>
  <si>
    <t>BTP0925-00008</t>
  </si>
  <si>
    <t>BTP0925-00009</t>
  </si>
  <si>
    <t>OP0825-00073</t>
  </si>
  <si>
    <t>BTP0925-00010</t>
  </si>
  <si>
    <t>OP0925-00006</t>
  </si>
  <si>
    <t>BTP0925-00012</t>
  </si>
  <si>
    <t>OP0925-00004</t>
  </si>
  <si>
    <t>BTP0925-00013</t>
  </si>
  <si>
    <t>OP0925-00005</t>
  </si>
  <si>
    <t>BTP0925-00014</t>
  </si>
  <si>
    <t>OP0925-00009</t>
  </si>
  <si>
    <t>STRIPER ROTARY SX</t>
  </si>
  <si>
    <t>BTP0925-00015</t>
  </si>
  <si>
    <t>OP0925-00011</t>
  </si>
  <si>
    <t>BTP0925-00017</t>
  </si>
  <si>
    <t>BTP0925-00018</t>
  </si>
  <si>
    <t>OP0825-00087</t>
  </si>
  <si>
    <t>BTP0925-00016</t>
  </si>
  <si>
    <t>OP0925-00008</t>
  </si>
  <si>
    <t>BTP0925-00019</t>
  </si>
  <si>
    <t>OP0925-00003</t>
  </si>
  <si>
    <t>BTP0925-00020</t>
  </si>
  <si>
    <t>OP0825-00084</t>
  </si>
  <si>
    <t>BTP0925-00021</t>
  </si>
  <si>
    <t>OP0925-00014</t>
  </si>
  <si>
    <t>BTP0925-00023</t>
  </si>
  <si>
    <t>BTP0925-00024</t>
  </si>
  <si>
    <t>OP0925-00015</t>
  </si>
  <si>
    <t>BTP0925-00025</t>
  </si>
  <si>
    <t>OP0925-00007</t>
  </si>
  <si>
    <t>BTP0925-00026</t>
  </si>
  <si>
    <t>OP0925-00012</t>
  </si>
  <si>
    <t>BTP0925-00031</t>
  </si>
  <si>
    <t>OP0925-00017</t>
  </si>
  <si>
    <t>FITTING QS 1/8 - 10</t>
  </si>
  <si>
    <t>FITTING QS 1/8 - 8</t>
  </si>
  <si>
    <t>BTP0925-00032</t>
  </si>
  <si>
    <t>OP0925-00018</t>
  </si>
  <si>
    <t>BTP0925-00033</t>
  </si>
  <si>
    <t>OP0925-00019</t>
  </si>
  <si>
    <t>COIL SOLENOID VALVE 24V/DC</t>
  </si>
  <si>
    <t>BTP0925-00034</t>
  </si>
  <si>
    <t>OP0925-00020</t>
  </si>
  <si>
    <t>BTP0925-00035</t>
  </si>
  <si>
    <t>OP0925-00010</t>
  </si>
  <si>
    <t>KB013909</t>
  </si>
  <si>
    <t>PEMAKAIAN AIR  AGUSTUS 2025  8.636 M3 X Rp 8.500</t>
  </si>
  <si>
    <t>04002500271295620</t>
  </si>
  <si>
    <t>04002500271295613</t>
  </si>
  <si>
    <t>KB013905</t>
  </si>
  <si>
    <t>KHARISMA SEJAHTERA LESTARI</t>
  </si>
  <si>
    <t>TERMIN 1 DP 50% JASA PENYUSUNAN DOKUMEN TEKNIS (PEMANFAATAN SLUDGE IPAL LB3)</t>
  </si>
  <si>
    <t>04002500270252053</t>
  </si>
  <si>
    <t>04002500271295587</t>
  </si>
  <si>
    <t>04002500259381516</t>
  </si>
  <si>
    <t>04002500229131771</t>
  </si>
  <si>
    <t>04002500265990316</t>
  </si>
  <si>
    <t>04002500266811902</t>
  </si>
  <si>
    <t>04002500265462361</t>
  </si>
  <si>
    <t>04002500255046440</t>
  </si>
  <si>
    <t>04002500233731579</t>
  </si>
  <si>
    <t>04002500264283517</t>
  </si>
  <si>
    <t>04002500264283515</t>
  </si>
  <si>
    <t>04002500267498331</t>
  </si>
  <si>
    <t>04002500263534314</t>
  </si>
  <si>
    <t>04002500262673923</t>
  </si>
  <si>
    <t>04002500265727032</t>
  </si>
  <si>
    <t>04002500265433485</t>
  </si>
  <si>
    <t>04002500265565807</t>
  </si>
  <si>
    <t>04002500266029815</t>
  </si>
  <si>
    <t>04002500262312919</t>
  </si>
  <si>
    <t>04002500256976703</t>
  </si>
  <si>
    <t>04002500266971808</t>
  </si>
  <si>
    <t>04002500235948282</t>
  </si>
  <si>
    <t>04002500253251470</t>
  </si>
  <si>
    <t>04002500253251385</t>
  </si>
  <si>
    <t>04002500253251534</t>
  </si>
  <si>
    <t>04002500265235712</t>
  </si>
  <si>
    <t>04002500265235713</t>
  </si>
  <si>
    <t>04002500265235711</t>
  </si>
  <si>
    <t>04002500268285201</t>
  </si>
  <si>
    <t>SJS001</t>
  </si>
  <si>
    <t>SIDR181</t>
  </si>
  <si>
    <t>01-09-2025 s/d 30-09-2025</t>
  </si>
  <si>
    <t>04002500235666694</t>
  </si>
  <si>
    <t>04002500258860724</t>
  </si>
  <si>
    <t>04002500264241120</t>
  </si>
  <si>
    <t>04002500270110273</t>
  </si>
  <si>
    <t>04012500271810628</t>
  </si>
  <si>
    <t>04002500268695180</t>
  </si>
  <si>
    <t>04002500271235767</t>
  </si>
  <si>
    <t>04002500271235762</t>
  </si>
  <si>
    <t>04002500272469489</t>
  </si>
  <si>
    <t>04002500269498630</t>
  </si>
  <si>
    <t>04002500275901037</t>
  </si>
  <si>
    <t>04002500276501839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</si>
</sst>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Rp&quot;* #,##0.00_);_(&quot;Rp&quot;* \-#,##0.00_);_(&quot;Rp&quot;* &quot;&quot;_);_(@_)"/>
    <numFmt numFmtId="165" formatCode="000\.000\-00\.00000000"/>
    <numFmt numFmtId="166" formatCode="_([$Rp-421]* #,##0.00_);_([$Rp-421]* \(#,##0.00\);_([$Rp-421]* &quot;-&quot;??_);_(@_)"/>
    <numFmt numFmtId="167" formatCode="#,##0.00000"/>
    <numFmt numFmtId="168" formatCode="0000\ 0000\ 0000\ 0000"/>
    <numFmt numFmtId="169" formatCode="_([$Rp-421]* #,##0_);_([$Rp-421]* \(#,##0\);_([$Rp-421]* &quot;-&quot;??_);_(@_)"/>
    <numFmt numFmtId="170" formatCode="_(* #,##0.00_);_(* \(#,##0.00\);_(* \-??_);_(@_)"/>
    <numFmt numFmtId="171" formatCode="_(* #,##0_);_(* \(#,##0\);_(* \-??_);_(@_)"/>
    <numFmt numFmtId="172" formatCode="_(&quot;Rp&quot;* #,##0_);_(&quot;Rp&quot;* \-#,##0_);_(&quot;Rp&quot;* &quot;&quot;_);_(@_)"/>
  </numFmts>
  <fonts count="3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2"/>
      <name val="Times New Roman"/>
      <family val="1"/>
    </font>
    <font>
      <sz val="9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name val="Times New Roman"/>
      <family val="1"/>
    </font>
    <font>
      <sz val="10"/>
      <name val="Mang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6"/>
      <color rgb="FF000000"/>
      <name val="Arial"/>
      <family val="2"/>
    </font>
    <font>
      <i/>
      <sz val="8"/>
      <color rgb="FF000000"/>
      <name val="Arial"/>
      <family val="2"/>
    </font>
    <font>
      <sz val="7"/>
      <color rgb="FF000000"/>
      <name val="Arial"/>
      <family val="2"/>
    </font>
    <font>
      <sz val="8"/>
      <color rgb="FF000000"/>
      <name val="Arial"/>
      <family val="2"/>
    </font>
    <font>
      <b/>
      <sz val="7"/>
      <color rgb="FF000000"/>
      <name val="Arial"/>
      <family val="2"/>
    </font>
    <font>
      <sz val="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7"/>
      <color rgb="FF000000"/>
      <name val="Arial"/>
      <family val="2"/>
    </font>
    <font>
      <b/>
      <i/>
      <sz val="8"/>
      <color rgb="FF000000"/>
      <name val="Arial"/>
      <family val="2"/>
    </font>
    <font>
      <sz val="10"/>
      <color theme="1"/>
      <name val="Calibri"/>
      <family val="2"/>
      <scheme val="minor"/>
    </font>
    <font>
      <sz val="8"/>
      <color theme="0"/>
      <name val="Arial"/>
      <family val="2"/>
    </font>
    <font>
      <sz val="1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Times New Roman"/>
      <family val="1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double">
        <color indexed="8"/>
      </bottom>
      <diagonal/>
    </border>
  </borders>
  <cellStyleXfs count="227">
    <xf numFmtId="0" fontId="0" fillId="0" borderId="0"/>
    <xf numFmtId="167" fontId="12" fillId="0" borderId="0" applyFill="0" applyBorder="0" applyAlignment="0" applyProtection="0"/>
    <xf numFmtId="0" fontId="1" fillId="0" borderId="0"/>
    <xf numFmtId="0" fontId="15" fillId="0" borderId="0"/>
    <xf numFmtId="9" fontId="15" fillId="0" borderId="0" applyFont="0" applyFill="0" applyBorder="0" applyAlignment="0" applyProtection="0"/>
    <xf numFmtId="0" fontId="16" fillId="0" borderId="0">
      <alignment horizontal="left" vertical="top"/>
    </xf>
    <xf numFmtId="0" fontId="16" fillId="0" borderId="0">
      <alignment horizontal="right" vertical="top"/>
    </xf>
    <xf numFmtId="0" fontId="17" fillId="0" borderId="0">
      <alignment horizontal="lef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20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19" fillId="0" borderId="0">
      <alignment horizontal="center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21" fillId="0" borderId="0">
      <alignment horizontal="righ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1" fillId="0" borderId="0">
      <alignment horizontal="right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center" vertical="top"/>
    </xf>
    <xf numFmtId="0" fontId="22" fillId="0" borderId="0">
      <alignment horizontal="lef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right" vertical="top"/>
    </xf>
    <xf numFmtId="0" fontId="22" fillId="0" borderId="0">
      <alignment horizontal="left" vertical="top"/>
    </xf>
    <xf numFmtId="0" fontId="21" fillId="0" borderId="0">
      <alignment horizontal="right" vertical="top"/>
    </xf>
    <xf numFmtId="0" fontId="21" fillId="0" borderId="0">
      <alignment horizontal="right" vertical="top"/>
    </xf>
    <xf numFmtId="0" fontId="22" fillId="0" borderId="0">
      <alignment horizontal="left" vertical="top"/>
    </xf>
    <xf numFmtId="0" fontId="22" fillId="0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left" vertical="top"/>
    </xf>
    <xf numFmtId="0" fontId="19" fillId="0" borderId="0">
      <alignment horizontal="right" vertical="top"/>
    </xf>
    <xf numFmtId="0" fontId="24" fillId="0" borderId="0">
      <alignment horizontal="left" vertical="top"/>
    </xf>
    <xf numFmtId="0" fontId="25" fillId="0" borderId="0">
      <alignment horizontal="right" vertical="top"/>
    </xf>
    <xf numFmtId="0" fontId="26" fillId="0" borderId="0">
      <alignment horizontal="center" vertical="top"/>
    </xf>
    <xf numFmtId="0" fontId="26" fillId="0" borderId="0">
      <alignment horizontal="left" vertical="top"/>
    </xf>
    <xf numFmtId="0" fontId="19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</cellStyleXfs>
  <cellXfs count="145">
    <xf numFmtId="0" fontId="0" fillId="0" borderId="0" xfId="0"/>
    <xf numFmtId="0" fontId="2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 applyProtection="1">
      <alignment horizontal="left"/>
      <protection locked="0"/>
    </xf>
    <xf numFmtId="49" fontId="4" fillId="0" borderId="2" xfId="0" applyNumberFormat="1" applyFont="1" applyBorder="1" applyAlignment="1" applyProtection="1">
      <alignment horizontal="left"/>
      <protection locked="0"/>
    </xf>
    <xf numFmtId="164" fontId="4" fillId="0" borderId="2" xfId="0" applyNumberFormat="1" applyFont="1" applyBorder="1" applyProtection="1">
      <protection locked="0"/>
    </xf>
    <xf numFmtId="4" fontId="4" fillId="0" borderId="2" xfId="0" applyNumberFormat="1" applyFont="1" applyBorder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49" fontId="4" fillId="0" borderId="3" xfId="0" applyNumberFormat="1" applyFont="1" applyBorder="1" applyAlignment="1" applyProtection="1">
      <alignment horizontal="left"/>
      <protection locked="0"/>
    </xf>
    <xf numFmtId="0" fontId="4" fillId="0" borderId="0" xfId="0" quotePrefix="1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164" fontId="3" fillId="0" borderId="0" xfId="0" applyNumberFormat="1" applyFont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4" fontId="4" fillId="0" borderId="2" xfId="0" applyNumberFormat="1" applyFont="1" applyBorder="1" applyAlignment="1" applyProtection="1">
      <alignment horizontal="left" vertical="center"/>
      <protection locked="0"/>
    </xf>
    <xf numFmtId="49" fontId="4" fillId="0" borderId="3" xfId="0" applyNumberFormat="1" applyFont="1" applyBorder="1" applyAlignment="1" applyProtection="1">
      <alignment horizontal="left" vertical="center"/>
      <protection locked="0"/>
    </xf>
    <xf numFmtId="49" fontId="4" fillId="0" borderId="2" xfId="0" applyNumberFormat="1" applyFont="1" applyBorder="1" applyAlignment="1" applyProtection="1">
      <alignment horizontal="left" vertical="center"/>
      <protection locked="0"/>
    </xf>
    <xf numFmtId="4" fontId="4" fillId="0" borderId="2" xfId="0" applyNumberFormat="1" applyFont="1" applyBorder="1" applyAlignment="1" applyProtection="1">
      <alignment vertical="center"/>
      <protection locked="0"/>
    </xf>
    <xf numFmtId="164" fontId="4" fillId="0" borderId="2" xfId="0" applyNumberFormat="1" applyFont="1" applyBorder="1" applyAlignment="1" applyProtection="1">
      <alignment vertical="center"/>
      <protection locked="0"/>
    </xf>
    <xf numFmtId="165" fontId="7" fillId="0" borderId="2" xfId="0" applyNumberFormat="1" applyFont="1" applyBorder="1" applyAlignment="1" applyProtection="1">
      <alignment horizontal="center" vertical="center"/>
      <protection locked="0"/>
    </xf>
    <xf numFmtId="49" fontId="4" fillId="0" borderId="3" xfId="0" quotePrefix="1" applyNumberFormat="1" applyFont="1" applyBorder="1" applyAlignment="1" applyProtection="1">
      <alignment horizontal="left" vertical="center"/>
      <protection locked="0"/>
    </xf>
    <xf numFmtId="0" fontId="27" fillId="0" borderId="0" xfId="0" applyFont="1" applyAlignment="1" applyProtection="1">
      <alignment vertical="center"/>
      <protection locked="0"/>
    </xf>
    <xf numFmtId="164" fontId="28" fillId="0" borderId="0" xfId="0" applyNumberFormat="1" applyFont="1" applyAlignment="1" applyProtection="1">
      <alignment vertical="center"/>
      <protection locked="0"/>
    </xf>
    <xf numFmtId="0" fontId="29" fillId="0" borderId="0" xfId="0" applyFont="1" applyAlignment="1" applyProtection="1">
      <alignment vertical="center"/>
      <protection locked="0"/>
    </xf>
    <xf numFmtId="166" fontId="4" fillId="0" borderId="2" xfId="0" applyNumberFormat="1" applyFont="1" applyBorder="1" applyAlignment="1" applyProtection="1">
      <alignment vertical="center"/>
      <protection locked="0"/>
    </xf>
    <xf numFmtId="164" fontId="4" fillId="3" borderId="2" xfId="0" applyNumberFormat="1" applyFont="1" applyFill="1" applyBorder="1" applyAlignment="1" applyProtection="1">
      <alignment vertical="center"/>
      <protection locked="0"/>
    </xf>
    <xf numFmtId="164" fontId="4" fillId="0" borderId="0" xfId="0" applyNumberFormat="1" applyFont="1" applyAlignment="1" applyProtection="1">
      <alignment vertical="center"/>
      <protection locked="0"/>
    </xf>
    <xf numFmtId="9" fontId="3" fillId="2" borderId="2" xfId="4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7" fillId="0" borderId="0" xfId="0" applyFont="1" applyProtection="1">
      <protection locked="0"/>
    </xf>
    <xf numFmtId="0" fontId="30" fillId="0" borderId="0" xfId="0" applyFont="1" applyProtection="1">
      <protection locked="0"/>
    </xf>
    <xf numFmtId="0" fontId="31" fillId="0" borderId="0" xfId="0" applyFont="1" applyProtection="1"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164" fontId="28" fillId="0" borderId="0" xfId="0" applyNumberFormat="1" applyFont="1" applyProtection="1">
      <protection locked="0"/>
    </xf>
    <xf numFmtId="164" fontId="30" fillId="0" borderId="2" xfId="0" applyNumberFormat="1" applyFont="1" applyBorder="1" applyProtection="1">
      <protection locked="0"/>
    </xf>
    <xf numFmtId="164" fontId="30" fillId="0" borderId="2" xfId="0" applyNumberFormat="1" applyFont="1" applyBorder="1" applyAlignment="1" applyProtection="1">
      <alignment vertical="center"/>
      <protection locked="0"/>
    </xf>
    <xf numFmtId="164" fontId="30" fillId="3" borderId="2" xfId="0" applyNumberFormat="1" applyFont="1" applyFill="1" applyBorder="1" applyAlignment="1" applyProtection="1">
      <alignment vertical="center"/>
      <protection locked="0"/>
    </xf>
    <xf numFmtId="165" fontId="7" fillId="0" borderId="2" xfId="0" quotePrefix="1" applyNumberFormat="1" applyFont="1" applyBorder="1" applyAlignment="1" applyProtection="1">
      <alignment horizontal="center" vertical="center"/>
      <protection locked="0"/>
    </xf>
    <xf numFmtId="168" fontId="7" fillId="0" borderId="2" xfId="0" quotePrefix="1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164" fontId="3" fillId="0" borderId="2" xfId="0" applyNumberFormat="1" applyFont="1" applyBorder="1" applyProtection="1">
      <protection locked="0"/>
    </xf>
    <xf numFmtId="49" fontId="4" fillId="0" borderId="2" xfId="0" quotePrefix="1" applyNumberFormat="1" applyFont="1" applyBorder="1" applyAlignment="1" applyProtection="1">
      <alignment horizontal="left"/>
      <protection locked="0"/>
    </xf>
    <xf numFmtId="49" fontId="4" fillId="0" borderId="4" xfId="0" applyNumberFormat="1" applyFont="1" applyBorder="1" applyAlignment="1" applyProtection="1">
      <alignment horizontal="left" vertical="center"/>
      <protection locked="0"/>
    </xf>
    <xf numFmtId="14" fontId="4" fillId="0" borderId="4" xfId="0" applyNumberFormat="1" applyFont="1" applyBorder="1" applyAlignment="1" applyProtection="1">
      <alignment horizontal="left" vertical="center"/>
      <protection locked="0"/>
    </xf>
    <xf numFmtId="4" fontId="4" fillId="0" borderId="4" xfId="0" applyNumberFormat="1" applyFont="1" applyBorder="1" applyAlignment="1" applyProtection="1">
      <alignment vertical="center"/>
      <protection locked="0"/>
    </xf>
    <xf numFmtId="166" fontId="4" fillId="0" borderId="4" xfId="0" applyNumberFormat="1" applyFont="1" applyBorder="1" applyAlignment="1" applyProtection="1">
      <alignment vertical="center"/>
      <protection locked="0"/>
    </xf>
    <xf numFmtId="49" fontId="4" fillId="0" borderId="6" xfId="0" applyNumberFormat="1" applyFont="1" applyBorder="1" applyAlignment="1" applyProtection="1">
      <alignment horizontal="left" vertical="center"/>
      <protection locked="0"/>
    </xf>
    <xf numFmtId="166" fontId="3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66" fontId="32" fillId="0" borderId="0" xfId="0" applyNumberFormat="1" applyFont="1" applyAlignment="1" applyProtection="1">
      <alignment vertical="center"/>
      <protection locked="0"/>
    </xf>
    <xf numFmtId="0" fontId="27" fillId="0" borderId="2" xfId="0" applyFont="1" applyBorder="1" applyProtection="1">
      <protection locked="0"/>
    </xf>
    <xf numFmtId="0" fontId="0" fillId="0" borderId="0" xfId="0" applyAlignment="1" applyProtection="1">
      <alignment horizontal="right"/>
      <protection locked="0"/>
    </xf>
    <xf numFmtId="49" fontId="4" fillId="4" borderId="2" xfId="0" applyNumberFormat="1" applyFont="1" applyFill="1" applyBorder="1" applyAlignment="1" applyProtection="1">
      <alignment horizontal="left"/>
      <protection locked="0"/>
    </xf>
    <xf numFmtId="166" fontId="0" fillId="0" borderId="0" xfId="0" applyNumberFormat="1"/>
    <xf numFmtId="164" fontId="4" fillId="0" borderId="0" xfId="0" applyNumberFormat="1" applyFont="1" applyProtection="1">
      <protection locked="0"/>
    </xf>
    <xf numFmtId="0" fontId="29" fillId="0" borderId="0" xfId="0" applyFont="1" applyProtection="1">
      <protection locked="0"/>
    </xf>
    <xf numFmtId="0" fontId="33" fillId="0" borderId="0" xfId="0" applyFont="1"/>
    <xf numFmtId="0" fontId="34" fillId="0" borderId="2" xfId="0" applyFont="1" applyBorder="1" applyAlignment="1">
      <alignment horizontal="center" vertical="center"/>
    </xf>
    <xf numFmtId="14" fontId="35" fillId="0" borderId="2" xfId="0" applyNumberFormat="1" applyFont="1" applyBorder="1" applyAlignment="1" applyProtection="1">
      <alignment horizontal="left" vertical="center"/>
      <protection locked="0"/>
    </xf>
    <xf numFmtId="49" fontId="35" fillId="0" borderId="3" xfId="0" applyNumberFormat="1" applyFont="1" applyBorder="1" applyAlignment="1" applyProtection="1">
      <alignment horizontal="left" vertical="center"/>
      <protection locked="0"/>
    </xf>
    <xf numFmtId="49" fontId="35" fillId="0" borderId="2" xfId="0" applyNumberFormat="1" applyFont="1" applyBorder="1" applyAlignment="1" applyProtection="1">
      <alignment horizontal="left" vertical="center"/>
      <protection locked="0"/>
    </xf>
    <xf numFmtId="165" fontId="36" fillId="0" borderId="2" xfId="0" applyNumberFormat="1" applyFont="1" applyBorder="1" applyAlignment="1" applyProtection="1">
      <alignment horizontal="center" vertical="center"/>
      <protection locked="0"/>
    </xf>
    <xf numFmtId="4" fontId="35" fillId="0" borderId="2" xfId="0" applyNumberFormat="1" applyFont="1" applyBorder="1" applyAlignment="1" applyProtection="1">
      <alignment vertical="center"/>
      <protection locked="0"/>
    </xf>
    <xf numFmtId="164" fontId="35" fillId="0" borderId="2" xfId="0" applyNumberFormat="1" applyFont="1" applyBorder="1" applyAlignment="1" applyProtection="1">
      <alignment vertical="center"/>
      <protection locked="0"/>
    </xf>
    <xf numFmtId="164" fontId="35" fillId="0" borderId="2" xfId="0" applyNumberFormat="1" applyFont="1" applyBorder="1" applyProtection="1">
      <protection locked="0"/>
    </xf>
    <xf numFmtId="164" fontId="35" fillId="0" borderId="0" xfId="0" applyNumberFormat="1" applyFont="1" applyAlignment="1" applyProtection="1">
      <alignment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Protection="1">
      <protection locked="0"/>
    </xf>
    <xf numFmtId="49" fontId="35" fillId="0" borderId="2" xfId="0" applyNumberFormat="1" applyFont="1" applyBorder="1" applyAlignment="1" applyProtection="1">
      <alignment horizontal="left"/>
      <protection locked="0"/>
    </xf>
    <xf numFmtId="0" fontId="9" fillId="0" borderId="0" xfId="0" applyFont="1" applyAlignment="1">
      <alignment vertical="center"/>
    </xf>
    <xf numFmtId="4" fontId="10" fillId="0" borderId="7" xfId="0" applyNumberFormat="1" applyFont="1" applyBorder="1" applyAlignment="1">
      <alignment horizontal="center" vertical="center" wrapText="1"/>
    </xf>
    <xf numFmtId="49" fontId="6" fillId="0" borderId="2" xfId="2" applyNumberFormat="1" applyFont="1" applyBorder="1" applyAlignment="1">
      <alignment vertical="center"/>
    </xf>
    <xf numFmtId="49" fontId="6" fillId="0" borderId="2" xfId="0" applyNumberFormat="1" applyFont="1" applyBorder="1" applyAlignment="1" applyProtection="1">
      <alignment horizontal="left"/>
      <protection locked="0"/>
    </xf>
    <xf numFmtId="49" fontId="6" fillId="0" borderId="2" xfId="3" applyNumberFormat="1" applyFont="1" applyBorder="1" applyAlignment="1" applyProtection="1">
      <alignment horizontal="left"/>
      <protection locked="0"/>
    </xf>
    <xf numFmtId="49" fontId="11" fillId="0" borderId="2" xfId="3" applyNumberFormat="1" applyFont="1" applyBorder="1" applyAlignment="1" applyProtection="1">
      <alignment horizontal="left"/>
      <protection locked="0"/>
    </xf>
    <xf numFmtId="49" fontId="6" fillId="0" borderId="2" xfId="200" applyNumberFormat="1" applyFont="1" applyBorder="1" applyAlignment="1">
      <alignment horizontal="left" vertical="top" wrapText="1"/>
    </xf>
    <xf numFmtId="49" fontId="6" fillId="0" borderId="2" xfId="2" applyNumberFormat="1" applyFont="1" applyBorder="1" applyAlignment="1">
      <alignment horizontal="left" vertical="center"/>
    </xf>
    <xf numFmtId="49" fontId="6" fillId="0" borderId="2" xfId="2" applyNumberFormat="1" applyFont="1" applyBorder="1" applyAlignment="1">
      <alignment vertical="center" wrapText="1"/>
    </xf>
    <xf numFmtId="170" fontId="6" fillId="0" borderId="8" xfId="2" applyNumberFormat="1" applyFont="1" applyBorder="1" applyAlignment="1">
      <alignment vertical="center"/>
    </xf>
    <xf numFmtId="170" fontId="8" fillId="0" borderId="8" xfId="2" applyNumberFormat="1" applyFont="1" applyBorder="1" applyAlignment="1">
      <alignment horizontal="center" vertical="center"/>
    </xf>
    <xf numFmtId="0" fontId="6" fillId="0" borderId="0" xfId="2" applyFont="1" applyAlignment="1">
      <alignment vertical="center"/>
    </xf>
    <xf numFmtId="170" fontId="6" fillId="0" borderId="0" xfId="1" applyNumberFormat="1" applyFont="1" applyFill="1" applyBorder="1" applyAlignment="1" applyProtection="1">
      <alignment horizontal="center" vertical="center"/>
    </xf>
    <xf numFmtId="170" fontId="6" fillId="0" borderId="0" xfId="2" applyNumberFormat="1" applyFont="1" applyAlignment="1">
      <alignment vertical="center"/>
    </xf>
    <xf numFmtId="170" fontId="8" fillId="0" borderId="0" xfId="2" applyNumberFormat="1" applyFont="1" applyAlignment="1">
      <alignment vertical="center"/>
    </xf>
    <xf numFmtId="49" fontId="4" fillId="0" borderId="3" xfId="0" quotePrefix="1" applyNumberFormat="1" applyFont="1" applyBorder="1" applyAlignment="1" applyProtection="1">
      <alignment horizontal="left"/>
      <protection locked="0"/>
    </xf>
    <xf numFmtId="0" fontId="6" fillId="0" borderId="9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49" fontId="8" fillId="0" borderId="2" xfId="2" applyNumberFormat="1" applyFont="1" applyBorder="1" applyAlignment="1">
      <alignment vertical="center"/>
    </xf>
    <xf numFmtId="0" fontId="6" fillId="0" borderId="0" xfId="2" applyFont="1" applyAlignment="1">
      <alignment horizontal="center" vertical="center"/>
    </xf>
    <xf numFmtId="49" fontId="6" fillId="0" borderId="0" xfId="2" applyNumberFormat="1" applyFont="1" applyAlignment="1">
      <alignment vertical="center"/>
    </xf>
    <xf numFmtId="49" fontId="6" fillId="0" borderId="9" xfId="2" applyNumberFormat="1" applyFont="1" applyBorder="1" applyAlignment="1">
      <alignment vertical="center"/>
    </xf>
    <xf numFmtId="171" fontId="6" fillId="0" borderId="8" xfId="2" applyNumberFormat="1" applyFont="1" applyBorder="1" applyAlignment="1">
      <alignment horizontal="center" vertical="center"/>
    </xf>
    <xf numFmtId="170" fontId="6" fillId="0" borderId="10" xfId="2" applyNumberFormat="1" applyFont="1" applyBorder="1" applyAlignment="1">
      <alignment horizontal="center" vertical="center"/>
    </xf>
    <xf numFmtId="166" fontId="0" fillId="0" borderId="0" xfId="0" applyNumberFormat="1" applyProtection="1">
      <protection locked="0"/>
    </xf>
    <xf numFmtId="172" fontId="1" fillId="0" borderId="0" xfId="0" applyNumberFormat="1" applyFont="1" applyProtection="1">
      <protection locked="0"/>
    </xf>
    <xf numFmtId="172" fontId="5" fillId="0" borderId="0" xfId="0" applyNumberFormat="1" applyFont="1" applyAlignment="1" applyProtection="1">
      <alignment horizontal="left"/>
      <protection locked="0"/>
    </xf>
    <xf numFmtId="172" fontId="3" fillId="0" borderId="0" xfId="0" applyNumberFormat="1" applyFont="1" applyAlignment="1" applyProtection="1">
      <alignment horizontal="center"/>
      <protection locked="0"/>
    </xf>
    <xf numFmtId="172" fontId="4" fillId="0" borderId="0" xfId="0" applyNumberFormat="1" applyFont="1" applyAlignment="1" applyProtection="1">
      <alignment horizontal="left"/>
      <protection locked="0"/>
    </xf>
    <xf numFmtId="172" fontId="4" fillId="0" borderId="0" xfId="0" applyNumberFormat="1" applyFont="1" applyProtection="1">
      <protection locked="0"/>
    </xf>
    <xf numFmtId="172" fontId="3" fillId="0" borderId="0" xfId="0" applyNumberFormat="1" applyFont="1" applyAlignment="1" applyProtection="1">
      <alignment horizontal="left"/>
      <protection locked="0"/>
    </xf>
    <xf numFmtId="172" fontId="3" fillId="2" borderId="2" xfId="0" applyNumberFormat="1" applyFont="1" applyFill="1" applyBorder="1" applyAlignment="1" applyProtection="1">
      <alignment horizontal="center" vertical="center"/>
      <protection locked="0"/>
    </xf>
    <xf numFmtId="172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172" fontId="4" fillId="0" borderId="2" xfId="0" applyNumberFormat="1" applyFont="1" applyBorder="1" applyProtection="1">
      <protection locked="0"/>
    </xf>
    <xf numFmtId="172" fontId="35" fillId="0" borderId="2" xfId="0" applyNumberFormat="1" applyFont="1" applyBorder="1" applyProtection="1">
      <protection locked="0"/>
    </xf>
    <xf numFmtId="172" fontId="4" fillId="0" borderId="2" xfId="0" applyNumberFormat="1" applyFont="1" applyBorder="1" applyAlignment="1" applyProtection="1">
      <alignment vertical="center"/>
      <protection locked="0"/>
    </xf>
    <xf numFmtId="172" fontId="35" fillId="0" borderId="2" xfId="0" applyNumberFormat="1" applyFont="1" applyBorder="1" applyAlignment="1" applyProtection="1">
      <alignment vertical="center"/>
      <protection locked="0"/>
    </xf>
    <xf numFmtId="172" fontId="0" fillId="0" borderId="0" xfId="0" applyNumberFormat="1" applyProtection="1">
      <protection locked="0"/>
    </xf>
    <xf numFmtId="172" fontId="0" fillId="0" borderId="0" xfId="0" quotePrefix="1" applyNumberFormat="1" applyAlignment="1" applyProtection="1">
      <alignment horizontal="right"/>
      <protection locked="0"/>
    </xf>
    <xf numFmtId="172" fontId="32" fillId="0" borderId="0" xfId="0" applyNumberFormat="1" applyFont="1" applyAlignment="1">
      <alignment vertical="center"/>
    </xf>
    <xf numFmtId="172" fontId="0" fillId="0" borderId="0" xfId="0" applyNumberFormat="1" applyAlignment="1">
      <alignment vertical="center"/>
    </xf>
    <xf numFmtId="172" fontId="32" fillId="0" borderId="0" xfId="0" applyNumberFormat="1" applyFont="1" applyAlignment="1" applyProtection="1">
      <alignment vertical="center"/>
      <protection locked="0"/>
    </xf>
    <xf numFmtId="169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169" fontId="3" fillId="2" borderId="2" xfId="0" applyNumberFormat="1" applyFont="1" applyFill="1" applyBorder="1" applyAlignment="1" applyProtection="1">
      <alignment horizontal="center" vertical="center"/>
      <protection locked="0"/>
    </xf>
    <xf numFmtId="3" fontId="4" fillId="0" borderId="2" xfId="0" applyNumberFormat="1" applyFont="1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0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quotePrefix="1" applyFont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31" fillId="0" borderId="0" xfId="0" applyFont="1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169" fontId="3" fillId="0" borderId="0" xfId="0" applyNumberFormat="1" applyFont="1" applyAlignment="1" applyProtection="1">
      <alignment horizontal="left" vertical="center"/>
      <protection locked="0"/>
    </xf>
    <xf numFmtId="169" fontId="4" fillId="0" borderId="2" xfId="0" applyNumberFormat="1" applyFont="1" applyBorder="1" applyAlignment="1" applyProtection="1">
      <alignment vertical="center"/>
      <protection locked="0"/>
    </xf>
    <xf numFmtId="49" fontId="4" fillId="0" borderId="2" xfId="0" quotePrefix="1" applyNumberFormat="1" applyFont="1" applyBorder="1" applyAlignment="1" applyProtection="1">
      <alignment horizontal="left" vertical="center"/>
      <protection locked="0"/>
    </xf>
    <xf numFmtId="3" fontId="4" fillId="0" borderId="2" xfId="0" applyNumberFormat="1" applyFont="1" applyBorder="1" applyAlignment="1" applyProtection="1">
      <alignment horizontal="right" vertical="center"/>
      <protection locked="0"/>
    </xf>
    <xf numFmtId="169" fontId="4" fillId="3" borderId="2" xfId="0" applyNumberFormat="1" applyFont="1" applyFill="1" applyBorder="1" applyAlignment="1" applyProtection="1">
      <alignment vertical="center"/>
      <protection locked="0"/>
    </xf>
    <xf numFmtId="172" fontId="4" fillId="3" borderId="2" xfId="0" applyNumberFormat="1" applyFont="1" applyFill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</cellXfs>
  <cellStyles count="227">
    <cellStyle name="Comma [0]_2. Chem_Mei'11" xfId="1" xr:uid="{11AA769C-9766-4EC5-9D4D-AEEA7ABCDF61}"/>
    <cellStyle name="Normal" xfId="0" builtinId="0"/>
    <cellStyle name="Normal 2" xfId="2" xr:uid="{24B5B997-B92B-4BF9-AF97-EBC93588B9CA}"/>
    <cellStyle name="Normal 2 2" xfId="3" xr:uid="{B854D0D6-4A0D-4EE5-A34F-33D81DE263FA}"/>
    <cellStyle name="Percent" xfId="4" builtinId="5"/>
    <cellStyle name="S0" xfId="5" xr:uid="{0EF9ADDE-35F7-46C1-BAD3-87083A686759}"/>
    <cellStyle name="S1" xfId="6" xr:uid="{BFE4CD19-E7D3-4AD8-AA05-08412BFC0FF7}"/>
    <cellStyle name="S10" xfId="7" xr:uid="{C7FBD338-539E-43B3-A064-459292F47763}"/>
    <cellStyle name="S10 10" xfId="8" xr:uid="{5C6F57E5-2839-475D-BE2B-81388BB4B55B}"/>
    <cellStyle name="S10 11" xfId="9" xr:uid="{E51DBA98-D6BD-4405-B66E-BFA71CB09CC1}"/>
    <cellStyle name="S10 12" xfId="10" xr:uid="{B0AAF02D-DD84-4971-9700-558A3260CDFB}"/>
    <cellStyle name="S10 13" xfId="11" xr:uid="{28632F7B-0E2F-4189-BA45-607514FF595F}"/>
    <cellStyle name="S10 14" xfId="12" xr:uid="{4B91B5C7-F102-4899-9A7C-425FFEFD0F7C}"/>
    <cellStyle name="S10 15" xfId="13" xr:uid="{D6EE8C96-AB5D-4718-BBC4-FFD6D2AD55E6}"/>
    <cellStyle name="S10 16" xfId="14" xr:uid="{BA5F6869-D71E-4811-B1A8-8BD8A18E09D5}"/>
    <cellStyle name="S10 17" xfId="15" xr:uid="{87364CAE-6CAB-4A47-9A1B-8E629F64198A}"/>
    <cellStyle name="S10 18" xfId="16" xr:uid="{25846AAE-84F0-4245-A4AA-6AA8B4EA79C0}"/>
    <cellStyle name="S10 19" xfId="17" xr:uid="{95F635C9-3616-4793-8BCF-6A82E0247578}"/>
    <cellStyle name="S10 2" xfId="18" xr:uid="{8372D236-B6C0-48B7-95EB-7B277EE7E505}"/>
    <cellStyle name="S10 20" xfId="19" xr:uid="{9A0FC39B-C89C-4306-A7A5-DCB598D6890C}"/>
    <cellStyle name="S10 21" xfId="20" xr:uid="{8B746F27-5228-421E-8783-F89AF1448FE4}"/>
    <cellStyle name="S10 22" xfId="21" xr:uid="{EC45071A-68E4-409F-B028-C48B093D2D62}"/>
    <cellStyle name="S10 23" xfId="22" xr:uid="{783DAEE1-443A-4895-9473-DADC5FA76C81}"/>
    <cellStyle name="S10 24" xfId="23" xr:uid="{0F3A0E92-6DFF-4FCE-BEEC-33ECF052EF9B}"/>
    <cellStyle name="S10 25" xfId="24" xr:uid="{68913AAF-F345-43F6-9E20-288755F0D60E}"/>
    <cellStyle name="S10 26" xfId="25" xr:uid="{DBDB20DD-2DCC-4B6F-AB6B-2EEAA6F0C4B6}"/>
    <cellStyle name="S10 3" xfId="26" xr:uid="{1C25013F-07D0-4AF2-B4EB-216B24448763}"/>
    <cellStyle name="S10 4" xfId="27" xr:uid="{420B4F85-144B-4058-87D7-D853F015CB33}"/>
    <cellStyle name="S10 5" xfId="28" xr:uid="{F7C7123C-D339-489F-B319-33C313FFCE76}"/>
    <cellStyle name="S10 6" xfId="29" xr:uid="{4153CC4A-CD5C-4A41-A81E-FFE012AADF08}"/>
    <cellStyle name="S10 7" xfId="30" xr:uid="{3A0D10D9-C6DB-4E54-B15C-25EC2ECCDFC6}"/>
    <cellStyle name="S10 8" xfId="31" xr:uid="{77C10864-FA2D-40A2-B973-C59068F38389}"/>
    <cellStyle name="S10 9" xfId="32" xr:uid="{7DAA12DD-EA4C-4510-BBDC-88A4C742FA98}"/>
    <cellStyle name="S11" xfId="33" xr:uid="{0A2F73E0-17DE-4952-85EE-84F888D7AC38}"/>
    <cellStyle name="S11 10" xfId="34" xr:uid="{330EA4C7-2C77-46FB-A17C-0DCC72A24024}"/>
    <cellStyle name="S11 11" xfId="35" xr:uid="{00E29E2A-D00E-43D7-9EE4-E97C10DF1FA9}"/>
    <cellStyle name="S11 12" xfId="36" xr:uid="{CCB41EEA-AEBE-4EED-AD7C-B599095E2B40}"/>
    <cellStyle name="S11 13" xfId="37" xr:uid="{F65D7727-1C12-4407-8B17-D58FD30B1597}"/>
    <cellStyle name="S11 14" xfId="38" xr:uid="{58816DCA-CBB4-487F-84F9-E62424483745}"/>
    <cellStyle name="S11 15" xfId="39" xr:uid="{4081A562-A96E-4EBE-BAAA-97A5BCDD7CC6}"/>
    <cellStyle name="S11 16" xfId="40" xr:uid="{01B4F114-0FF9-4DBB-8FE8-39048BE5B9B1}"/>
    <cellStyle name="S11 17" xfId="41" xr:uid="{425D31FE-5A86-4D4A-97FD-1E4610254A12}"/>
    <cellStyle name="S11 18" xfId="42" xr:uid="{1E79A3D5-CE35-453B-AB2E-3E2ED8F608A3}"/>
    <cellStyle name="S11 19" xfId="43" xr:uid="{174B0D6F-7FD8-4894-AD70-E96F530B796B}"/>
    <cellStyle name="S11 2" xfId="44" xr:uid="{8B8A21C1-5C43-4191-986B-543454E0AA69}"/>
    <cellStyle name="S11 20" xfId="45" xr:uid="{CC87D028-0768-4AE2-BF08-39B81BDFFB50}"/>
    <cellStyle name="S11 21" xfId="46" xr:uid="{59E83F2A-8A7F-4B61-A8A4-80B36E51731F}"/>
    <cellStyle name="S11 22" xfId="47" xr:uid="{B83F4C5E-4A47-4563-98C8-BC1AF4767C8C}"/>
    <cellStyle name="S11 23" xfId="48" xr:uid="{8D988962-247F-4DE0-A7B4-9595D0FF0235}"/>
    <cellStyle name="S11 24" xfId="49" xr:uid="{BC74A831-9F7E-4B12-BEC9-553E4070A133}"/>
    <cellStyle name="S11 25" xfId="50" xr:uid="{38EF4C3E-899B-40BB-90F3-09C353DF2C97}"/>
    <cellStyle name="S11 26" xfId="51" xr:uid="{BC5458D4-55C0-4B80-BA1C-882652E17BE3}"/>
    <cellStyle name="S11 3" xfId="52" xr:uid="{3EEA915A-E8A9-4060-BDD5-8AEFFE67FE92}"/>
    <cellStyle name="S11 4" xfId="53" xr:uid="{EA097A05-BEFA-4149-BFA9-7F1D7A28851B}"/>
    <cellStyle name="S11 5" xfId="54" xr:uid="{2205F815-9DCF-4485-A429-274588522E70}"/>
    <cellStyle name="S11 6" xfId="55" xr:uid="{01C0BE5A-86DA-455A-BD09-12DE5BC65C8F}"/>
    <cellStyle name="S11 7" xfId="56" xr:uid="{F6B5B3D1-8F63-4CC9-ACF3-DB15EE5ED7EA}"/>
    <cellStyle name="S11 8" xfId="57" xr:uid="{AB3B8EAD-CBE7-496A-908F-44A8882B7743}"/>
    <cellStyle name="S11 9" xfId="58" xr:uid="{2328595F-A0A1-497D-8874-0504377C52ED}"/>
    <cellStyle name="S12" xfId="59" xr:uid="{AA1DB2FE-BCBC-4B9B-8535-5B118B2A6EC5}"/>
    <cellStyle name="S12 10" xfId="60" xr:uid="{B367623B-D1C2-4F8D-BDEE-3CC168224B23}"/>
    <cellStyle name="S12 11" xfId="61" xr:uid="{EA55279F-7368-4D0A-B0F7-A06CD580D165}"/>
    <cellStyle name="S12 12" xfId="62" xr:uid="{75B96DD8-C5E9-4F5C-8BAB-D0D703416FED}"/>
    <cellStyle name="S12 13" xfId="63" xr:uid="{8040AD44-35DB-4A80-9A4B-A8E1CAABB591}"/>
    <cellStyle name="S12 14" xfId="64" xr:uid="{4F177586-6B72-4CA6-952C-BFACBA1EA57D}"/>
    <cellStyle name="S12 15" xfId="65" xr:uid="{3BCEFBE5-5AF5-4197-873B-BC3BB96346BF}"/>
    <cellStyle name="S12 16" xfId="66" xr:uid="{7203570F-5664-459A-9DB4-7E57F9DA31C6}"/>
    <cellStyle name="S12 17" xfId="67" xr:uid="{BE58B448-F062-45E1-9B77-401CCB1BC406}"/>
    <cellStyle name="S12 18" xfId="68" xr:uid="{A0B4F828-E4D2-43CF-97F1-E4886978CA06}"/>
    <cellStyle name="S12 19" xfId="69" xr:uid="{7FE3F4B3-C209-42CD-8E3E-8C12503E6E05}"/>
    <cellStyle name="S12 2" xfId="70" xr:uid="{9853E9AE-658A-4CE9-BC59-77ED56CA9A91}"/>
    <cellStyle name="S12 20" xfId="71" xr:uid="{4976E008-6F4E-4D90-B91A-B1CD6ABE4A4A}"/>
    <cellStyle name="S12 21" xfId="72" xr:uid="{90F974DA-69D6-4041-82FB-8D279110090E}"/>
    <cellStyle name="S12 22" xfId="73" xr:uid="{4413FC19-9C16-4EFD-B299-F8A235A8BE51}"/>
    <cellStyle name="S12 23" xfId="74" xr:uid="{8620266F-6B5F-4B02-BCC1-C28EBF3B671F}"/>
    <cellStyle name="S12 24" xfId="75" xr:uid="{A19535C2-0358-4CC1-88E1-A7DC27888144}"/>
    <cellStyle name="S12 25" xfId="76" xr:uid="{513C3455-CB34-4BC6-ACC7-5FF3F81619EE}"/>
    <cellStyle name="S12 26" xfId="77" xr:uid="{17B5B3A7-946B-449C-81D6-984E2AD93410}"/>
    <cellStyle name="S12 3" xfId="78" xr:uid="{43F78D7D-5F34-4564-99D0-C59E6E1465FB}"/>
    <cellStyle name="S12 4" xfId="79" xr:uid="{985A19DA-5C82-4A08-AE6A-B9E594820E93}"/>
    <cellStyle name="S12 5" xfId="80" xr:uid="{FE953449-EC13-4E34-B075-D32B67A54472}"/>
    <cellStyle name="S12 6" xfId="81" xr:uid="{EA80A9FA-5682-439D-A675-08877D366F06}"/>
    <cellStyle name="S12 7" xfId="82" xr:uid="{30393313-8ED5-43E3-992A-586F5993774E}"/>
    <cellStyle name="S12 8" xfId="83" xr:uid="{8076D3D1-A64D-49F7-938C-C864DDD1C8D3}"/>
    <cellStyle name="S12 9" xfId="84" xr:uid="{9A8084B2-1FC8-49F7-B51E-3C728CC636D1}"/>
    <cellStyle name="S13" xfId="85" xr:uid="{D4512814-B530-4268-96EB-5A08865F1047}"/>
    <cellStyle name="S13 10" xfId="86" xr:uid="{745F2285-F03B-4873-8984-5ABA87982EE8}"/>
    <cellStyle name="S13 11" xfId="87" xr:uid="{9A06E4C2-2513-45B6-8830-268387105420}"/>
    <cellStyle name="S13 12" xfId="88" xr:uid="{4CEB2D5F-1C1A-4AAE-9BE1-382E5D986B28}"/>
    <cellStyle name="S13 13" xfId="89" xr:uid="{B8B14A94-FB88-4B3D-A9F8-169F1549168C}"/>
    <cellStyle name="S13 14" xfId="90" xr:uid="{2E557992-2021-4318-A65C-830DA4AF3CB7}"/>
    <cellStyle name="S13 15" xfId="91" xr:uid="{58AF4EFF-727D-4A28-946F-FC9A86ACAD51}"/>
    <cellStyle name="S13 16" xfId="92" xr:uid="{D32FACB3-EEC5-426A-9AA1-62E9919BFD71}"/>
    <cellStyle name="S13 17" xfId="93" xr:uid="{26EB9D1B-64B2-485F-BEBE-32E7BB296A92}"/>
    <cellStyle name="S13 18" xfId="94" xr:uid="{3734BE1B-B09A-4D05-8325-20A5DCD17D8A}"/>
    <cellStyle name="S13 19" xfId="95" xr:uid="{669154F6-05DE-49E3-B830-806628B2225A}"/>
    <cellStyle name="S13 2" xfId="96" xr:uid="{BD9AFC76-C88A-4749-9287-AA7148054C90}"/>
    <cellStyle name="S13 20" xfId="97" xr:uid="{616E922E-96AC-4EC7-B108-6BB735EF4070}"/>
    <cellStyle name="S13 21" xfId="98" xr:uid="{B0D07582-5DD8-4E71-BF4D-1A6D2E765683}"/>
    <cellStyle name="S13 22" xfId="99" xr:uid="{B0B8E2B5-F0E3-4072-A63B-C530C9DC87A9}"/>
    <cellStyle name="S13 23" xfId="100" xr:uid="{0EE0301C-1968-4B9E-AFF2-FC3F30433726}"/>
    <cellStyle name="S13 24" xfId="101" xr:uid="{B445BEA1-CA12-4586-91F5-3ADA25065E1A}"/>
    <cellStyle name="S13 25" xfId="102" xr:uid="{3BF929B7-4733-4A13-87F5-ECEAA9E75B51}"/>
    <cellStyle name="S13 26" xfId="103" xr:uid="{9C55F853-7955-4536-9F9B-8A450990CCAE}"/>
    <cellStyle name="S13 3" xfId="104" xr:uid="{D1D172D7-A083-42C8-BDCA-1FBA0A2B7240}"/>
    <cellStyle name="S13 4" xfId="105" xr:uid="{1D78E1DC-1CB4-4A53-AD26-BEF83857B1C7}"/>
    <cellStyle name="S13 5" xfId="106" xr:uid="{374499B3-B315-46A2-BA08-0B9C38B069E8}"/>
    <cellStyle name="S13 6" xfId="107" xr:uid="{6381FEAF-8354-4A2C-ADC1-7515BB978020}"/>
    <cellStyle name="S13 7" xfId="108" xr:uid="{447B6310-C7A0-4C5F-98ED-2A5FE9AC51E3}"/>
    <cellStyle name="S13 8" xfId="109" xr:uid="{4E0FEF7C-862E-4F05-B2DE-AC098E37313C}"/>
    <cellStyle name="S13 9" xfId="110" xr:uid="{E4AD1F4C-F41B-411D-84C2-88D3AFFCBC0E}"/>
    <cellStyle name="S14" xfId="111" xr:uid="{28CA05D6-D9C9-4113-871C-DA4E046FF564}"/>
    <cellStyle name="S14 10" xfId="112" xr:uid="{96A0FB71-1897-4A72-80C1-822424D74205}"/>
    <cellStyle name="S14 11" xfId="113" xr:uid="{A13896AA-0F87-48CD-856C-C97039E17523}"/>
    <cellStyle name="S14 12" xfId="114" xr:uid="{7B2D56FB-2C75-4472-87A9-EAE6F293DE19}"/>
    <cellStyle name="S14 13" xfId="115" xr:uid="{88D1C306-366D-4768-BF02-1F3C38E9816F}"/>
    <cellStyle name="S14 14" xfId="116" xr:uid="{524F54F5-CB36-4122-AED3-8A338B3CCAB9}"/>
    <cellStyle name="S14 15" xfId="117" xr:uid="{A3734BF4-ED36-466C-9B80-F21D2C13BB3E}"/>
    <cellStyle name="S14 16" xfId="118" xr:uid="{7F11D605-7465-4C7B-91B0-4B8A377C56DD}"/>
    <cellStyle name="S14 17" xfId="119" xr:uid="{A6E89B39-496F-4BEE-AEFB-4938392AA2A5}"/>
    <cellStyle name="S14 18" xfId="120" xr:uid="{E9F183E8-1917-4CFF-8777-6409EB0D6369}"/>
    <cellStyle name="S14 19" xfId="121" xr:uid="{86A7F9CC-07FB-4D28-8A16-E43FB6158B08}"/>
    <cellStyle name="S14 2" xfId="122" xr:uid="{E314AA11-0409-44F3-BA80-BFE21A21A63B}"/>
    <cellStyle name="S14 20" xfId="123" xr:uid="{6FEB03A5-5524-4563-9B8F-A889A2087AF8}"/>
    <cellStyle name="S14 21" xfId="124" xr:uid="{D9977D0C-8B42-42DB-A324-F8BB80FB3FDD}"/>
    <cellStyle name="S14 22" xfId="125" xr:uid="{65BE8BAA-9A57-4803-A64A-FA2311D7E8FB}"/>
    <cellStyle name="S14 23" xfId="126" xr:uid="{1B908DDE-31EE-4C51-A35A-8C453138813A}"/>
    <cellStyle name="S14 24" xfId="127" xr:uid="{DE30CDD4-97BF-4449-8515-EBF6105443F6}"/>
    <cellStyle name="S14 25" xfId="128" xr:uid="{E544777A-D7FF-4374-93AA-EC66749F1CDA}"/>
    <cellStyle name="S14 26" xfId="129" xr:uid="{58E44346-A04C-4393-A41F-4730B0627447}"/>
    <cellStyle name="S14 3" xfId="130" xr:uid="{BB77498A-F776-408B-8FEB-90B2D05745A4}"/>
    <cellStyle name="S14 4" xfId="131" xr:uid="{5CFD56F1-94FB-4F92-A04C-0C1BD2BB12FF}"/>
    <cellStyle name="S14 5" xfId="132" xr:uid="{97BC6133-5CAB-45CB-9A16-59EE3AB496E2}"/>
    <cellStyle name="S14 6" xfId="133" xr:uid="{00DD8805-61DE-4CC5-BB9E-3DCDB0171C22}"/>
    <cellStyle name="S14 7" xfId="134" xr:uid="{BDA5AF0C-57E0-4B55-930A-AB0FBFA3044F}"/>
    <cellStyle name="S14 8" xfId="135" xr:uid="{6D5CAAB7-2B1C-4CE0-B89D-AD46E38A42DA}"/>
    <cellStyle name="S14 9" xfId="136" xr:uid="{9A57112A-7451-4215-8984-1446DE278FD5}"/>
    <cellStyle name="S15" xfId="137" xr:uid="{182CD62C-3642-4F79-82E8-189A85054246}"/>
    <cellStyle name="S15 10" xfId="138" xr:uid="{7765690C-5527-4972-B587-36247B96C5A1}"/>
    <cellStyle name="S15 11" xfId="139" xr:uid="{CED967C0-AE8B-4357-9226-BB8F0B1EC2FA}"/>
    <cellStyle name="S15 12" xfId="140" xr:uid="{A99B2C25-6FB9-4C27-A32F-A179A09E6873}"/>
    <cellStyle name="S15 13" xfId="141" xr:uid="{3F83B104-0206-4761-ADDA-A5302424D6F3}"/>
    <cellStyle name="S15 14" xfId="142" xr:uid="{BE1FE6C0-35CB-4D0F-BDB8-CC1ADD7DFE4C}"/>
    <cellStyle name="S15 15" xfId="143" xr:uid="{57BFC67A-39F8-4068-BD02-FA08D8392DE4}"/>
    <cellStyle name="S15 16" xfId="144" xr:uid="{DD236CED-104B-4403-BF99-FCFE7821F29B}"/>
    <cellStyle name="S15 17" xfId="145" xr:uid="{4A5230AF-166D-4E13-9D5B-6C7E9B7390C4}"/>
    <cellStyle name="S15 18" xfId="146" xr:uid="{2C659F00-A4CC-42D8-8844-574F61C1AAEF}"/>
    <cellStyle name="S15 19" xfId="147" xr:uid="{719ECE54-DC08-473F-BC21-8BF3496ADCDE}"/>
    <cellStyle name="S15 2" xfId="148" xr:uid="{95B10C1D-1BF7-486A-8413-B42A9B026BE9}"/>
    <cellStyle name="S15 20" xfId="149" xr:uid="{9907B772-949B-4837-B391-DFE454B1770C}"/>
    <cellStyle name="S15 21" xfId="150" xr:uid="{36495E7B-9A28-495A-81A6-49BC2AE3690B}"/>
    <cellStyle name="S15 22" xfId="151" xr:uid="{F1F8EF46-3E9F-4845-B125-7B0666AC266A}"/>
    <cellStyle name="S15 23" xfId="152" xr:uid="{B363C899-6546-468B-B745-121294B6BEBA}"/>
    <cellStyle name="S15 24" xfId="153" xr:uid="{F549F65F-3993-4AA9-B07B-9CD2D7E257FB}"/>
    <cellStyle name="S15 25" xfId="154" xr:uid="{73A021DE-2875-486E-B20C-4AC0497BC03F}"/>
    <cellStyle name="S15 26" xfId="155" xr:uid="{6569FF70-0488-410E-8C6F-701F7EB9C7E8}"/>
    <cellStyle name="S15 3" xfId="156" xr:uid="{0F8F05FA-58E0-4B1B-BCA8-7CABD6EB9B36}"/>
    <cellStyle name="S15 4" xfId="157" xr:uid="{5F969C14-4856-4071-B00B-4426588701AE}"/>
    <cellStyle name="S15 5" xfId="158" xr:uid="{F948E6A1-DDDC-4249-9A3E-F5297DC14DFA}"/>
    <cellStyle name="S15 6" xfId="159" xr:uid="{95C8A918-94B4-4A39-9DAB-8B62FA17B5E4}"/>
    <cellStyle name="S15 7" xfId="160" xr:uid="{0C9B3A09-F8E3-45BB-A4DC-CA88C7F94283}"/>
    <cellStyle name="S15 8" xfId="161" xr:uid="{E542C0B9-F785-41E3-9467-3DB36913F14F}"/>
    <cellStyle name="S15 9" xfId="162" xr:uid="{ADA70626-7324-467A-8A97-BE3F49B93351}"/>
    <cellStyle name="S16" xfId="163" xr:uid="{04A55488-D946-4BED-9D65-5E518E1AA833}"/>
    <cellStyle name="S16 10" xfId="164" xr:uid="{192CFED9-36EB-4C45-9746-38B175121B47}"/>
    <cellStyle name="S16 11" xfId="165" xr:uid="{300D0D0F-85B0-4433-A864-578DD1546C06}"/>
    <cellStyle name="S16 12" xfId="166" xr:uid="{27828619-6A7F-4EF1-AFFB-21C4FB640CCF}"/>
    <cellStyle name="S16 13" xfId="167" xr:uid="{DBAF3B1E-3BED-4EBA-9789-F466D7FB7AED}"/>
    <cellStyle name="S16 14" xfId="168" xr:uid="{E6D86079-6202-4218-9B97-F72C2722FBAC}"/>
    <cellStyle name="S16 15" xfId="169" xr:uid="{C90D336C-FEAE-4F2A-9125-DEA2D0154562}"/>
    <cellStyle name="S16 16" xfId="170" xr:uid="{8D265D57-9B0A-41A8-835A-CCC82FDE1883}"/>
    <cellStyle name="S16 17" xfId="171" xr:uid="{D7D3A113-4C4C-474A-AF8F-F72105765124}"/>
    <cellStyle name="S16 18" xfId="172" xr:uid="{570F3AE0-747E-4D0F-84F8-35E025C021D3}"/>
    <cellStyle name="S16 19" xfId="173" xr:uid="{7DA76E81-0728-4241-8331-743F31B70FF7}"/>
    <cellStyle name="S16 2" xfId="174" xr:uid="{339A303D-4C7F-478B-88F4-134E19584A96}"/>
    <cellStyle name="S16 20" xfId="175" xr:uid="{3CE29D63-B399-448C-BCE7-E894C2129B90}"/>
    <cellStyle name="S16 21" xfId="176" xr:uid="{E1F88529-AE95-4007-A8F6-3325F7B87A3F}"/>
    <cellStyle name="S16 22" xfId="177" xr:uid="{B47B282B-71E7-4897-A86A-F807484A869A}"/>
    <cellStyle name="S16 23" xfId="178" xr:uid="{B026376E-680D-42F9-8A74-1DB0F764FEE1}"/>
    <cellStyle name="S16 24" xfId="179" xr:uid="{8AD6E54C-9885-42F5-8029-2C602AC15BE2}"/>
    <cellStyle name="S16 25" xfId="180" xr:uid="{8040DFEA-A84E-4287-98CA-53120679E5A4}"/>
    <cellStyle name="S16 26" xfId="181" xr:uid="{45BCEC1B-E00D-4B0B-BFA5-22ABD556CAD1}"/>
    <cellStyle name="S16 3" xfId="182" xr:uid="{8BA82CB1-9E3B-4E88-B10B-C443C78A07C8}"/>
    <cellStyle name="S16 4" xfId="183" xr:uid="{59030DE3-569F-4B5D-BD20-27223039D79F}"/>
    <cellStyle name="S16 5" xfId="184" xr:uid="{26E8E36F-7862-40D1-87B7-462731AF6F2D}"/>
    <cellStyle name="S16 6" xfId="185" xr:uid="{4CB5830F-4569-4629-9484-3CFB926EDC34}"/>
    <cellStyle name="S16 7" xfId="186" xr:uid="{8F592834-ABFE-48CA-A684-DD0ABF75519D}"/>
    <cellStyle name="S16 8" xfId="187" xr:uid="{2D23D949-9229-40F5-AD99-AC8B33DCB17E}"/>
    <cellStyle name="S16 9" xfId="188" xr:uid="{F3D28486-2566-4600-8198-89A094367F59}"/>
    <cellStyle name="S17" xfId="189" xr:uid="{89DE5F2E-46B1-471B-B9D8-75A513D61F5D}"/>
    <cellStyle name="S18" xfId="190" xr:uid="{4F736A86-FF30-4DFA-BD97-B53069A58E7D}"/>
    <cellStyle name="S19" xfId="191" xr:uid="{74B65CED-5B57-4E0D-BBE2-3651FEE07046}"/>
    <cellStyle name="S2" xfId="192" xr:uid="{94DFD6D6-B586-40E0-88E5-A6D67FC42D78}"/>
    <cellStyle name="S20" xfId="193" xr:uid="{0DF5C3CE-651B-40ED-9041-38A42D007827}"/>
    <cellStyle name="S21" xfId="194" xr:uid="{95577417-AE5A-4CCB-B831-7F5ABFA00639}"/>
    <cellStyle name="S3" xfId="195" xr:uid="{5D9EA87C-A7F8-4578-ABFC-C433FE9E3366}"/>
    <cellStyle name="S4" xfId="196" xr:uid="{53D8686C-9739-4968-8571-A95206467A5C}"/>
    <cellStyle name="S5" xfId="197" xr:uid="{BB5B4D4B-50BF-4392-91E3-7A535E0DEF84}"/>
    <cellStyle name="S6" xfId="198" xr:uid="{90D91D9D-52DE-4504-82F2-CEE89AFAAF4A}"/>
    <cellStyle name="S7" xfId="199" xr:uid="{DF501D5D-4147-416C-9F53-7E97D7264BB1}"/>
    <cellStyle name="S8" xfId="200" xr:uid="{D01137A3-7E47-43B3-BEBA-8F02B47D7751}"/>
    <cellStyle name="S9" xfId="201" xr:uid="{C3812DF8-747D-4033-91E8-C8C395538D43}"/>
    <cellStyle name="S9 10" xfId="202" xr:uid="{A3255EC2-E9EE-4809-B939-26B224F205D4}"/>
    <cellStyle name="S9 11" xfId="203" xr:uid="{9C374B20-55FC-4110-A4CC-0C9966F26364}"/>
    <cellStyle name="S9 12" xfId="204" xr:uid="{FE20248B-35C3-4B30-B056-63BDF749463D}"/>
    <cellStyle name="S9 13" xfId="205" xr:uid="{09AE4868-2071-415C-9FA6-91EAE237218D}"/>
    <cellStyle name="S9 14" xfId="206" xr:uid="{4B8F63F5-22C0-4850-BC69-B80C0DB57A5E}"/>
    <cellStyle name="S9 15" xfId="207" xr:uid="{EB7B52ED-A21F-4F57-83FB-7F099715DB05}"/>
    <cellStyle name="S9 16" xfId="208" xr:uid="{2AD75183-6D0A-42B0-B5BE-E634C3216E99}"/>
    <cellStyle name="S9 17" xfId="209" xr:uid="{7BBFF8EF-E5E5-4396-8636-51E4FCD83394}"/>
    <cellStyle name="S9 18" xfId="210" xr:uid="{4C1E5535-8F82-4A50-A5D0-75F2D87F1F5F}"/>
    <cellStyle name="S9 19" xfId="211" xr:uid="{72886ABC-780D-4896-97C9-FA5036A24433}"/>
    <cellStyle name="S9 2" xfId="212" xr:uid="{1431D99B-05DE-4986-A5FB-2959F3215A5C}"/>
    <cellStyle name="S9 20" xfId="213" xr:uid="{9C35FD09-5E14-43AC-9B62-508DBB41581E}"/>
    <cellStyle name="S9 21" xfId="214" xr:uid="{4F9FBDA4-E7F6-47F7-8A24-3701277D9584}"/>
    <cellStyle name="S9 22" xfId="215" xr:uid="{3378FDAF-33DB-4C6A-BBF2-018A06262FE6}"/>
    <cellStyle name="S9 23" xfId="216" xr:uid="{B3AAAC14-F87A-48F9-9281-5E9DEA67D3EB}"/>
    <cellStyle name="S9 24" xfId="217" xr:uid="{50102649-4F7E-4C00-AD95-3FE97DF3CE5E}"/>
    <cellStyle name="S9 25" xfId="218" xr:uid="{363C589B-0AFC-4B3B-90B3-F958EF5B8FC9}"/>
    <cellStyle name="S9 26" xfId="219" xr:uid="{BF7AE83B-247A-478A-BCB4-B41217E89DFD}"/>
    <cellStyle name="S9 3" xfId="220" xr:uid="{AF90A09D-EB30-4A2B-8298-25184F0B5EA4}"/>
    <cellStyle name="S9 4" xfId="221" xr:uid="{A5E09F8A-A866-4CC0-BD29-2CB4B6C22EAC}"/>
    <cellStyle name="S9 5" xfId="222" xr:uid="{ABBFC0BA-B884-4DAC-8967-2967EA795EC3}"/>
    <cellStyle name="S9 6" xfId="223" xr:uid="{03B53758-5D36-4F7B-A739-DD0D6C5A32D2}"/>
    <cellStyle name="S9 7" xfId="224" xr:uid="{40618C4E-D874-4C12-B38C-A9169C1CE4C4}"/>
    <cellStyle name="S9 8" xfId="225" xr:uid="{3BE3E9FD-8EBF-4B3E-A515-1D651C84AC69}"/>
    <cellStyle name="S9 9" xfId="226" xr:uid="{204DE7F5-ADA8-4E77-8920-2A38EF7668B8}"/>
  </cellStyles>
  <dxfs count="136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5E47-D45C-4568-AA70-0CB84E4F9D0B}">
  <sheetPr codeName="Sheet13"/>
  <dimension ref="A1:X149"/>
  <sheetViews>
    <sheetView showGridLines="0" zoomScaleNormal="100" workbookViewId="0">
      <pane ySplit="7" topLeftCell="A8" activePane="bottomLeft" state="frozen"/>
      <selection pane="bottomLeft" activeCell="G11" sqref="G11"/>
    </sheetView>
  </sheetViews>
  <sheetFormatPr defaultColWidth="9.15234375" defaultRowHeight="14.6" x14ac:dyDescent="0.4"/>
  <cols>
    <col min="1" max="1" width="9.3828125" style="35" customWidth="1"/>
    <col min="2" max="2" width="11.84375" style="35" customWidth="1"/>
    <col min="3" max="3" width="16.84375" style="35" customWidth="1"/>
    <col min="4" max="4" width="11.69140625" style="35" customWidth="1"/>
    <col min="5" max="5" width="11.3828125" style="35" customWidth="1"/>
    <col min="6" max="7" width="26.3828125" style="35" customWidth="1"/>
    <col min="8" max="8" width="14.53515625" style="35" bestFit="1" customWidth="1"/>
    <col min="9" max="9" width="9.84375" style="35" customWidth="1"/>
    <col min="10" max="10" width="26.3828125" style="35" customWidth="1"/>
    <col min="11" max="11" width="19.53515625" style="35" customWidth="1"/>
    <col min="12" max="13" width="9.84375" style="35" customWidth="1"/>
    <col min="14" max="14" width="14.53515625" style="35" customWidth="1"/>
    <col min="15" max="15" width="9.84375" style="35" customWidth="1"/>
    <col min="16" max="17" width="20.3046875" style="35" customWidth="1"/>
    <col min="18" max="18" width="18.69140625" style="35" customWidth="1"/>
    <col min="19" max="19" width="17.15234375" style="35" bestFit="1" customWidth="1"/>
    <col min="20" max="20" width="16" style="35" customWidth="1"/>
    <col min="21" max="21" width="21" style="35" customWidth="1"/>
    <col min="22" max="22" width="12.84375" style="35" customWidth="1"/>
    <col min="23" max="16384" width="9.15234375" style="35"/>
  </cols>
  <sheetData>
    <row r="1" spans="1:22" x14ac:dyDescent="0.4">
      <c r="B1" s="1" t="s">
        <v>75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4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s="36" customFormat="1" ht="17.600000000000001" x14ac:dyDescent="0.4">
      <c r="B3" s="13" t="s">
        <v>92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 s="36" customFormat="1" ht="12.9" x14ac:dyDescent="0.35">
      <c r="B4" s="3" t="s">
        <v>30</v>
      </c>
      <c r="C4" s="37" t="s">
        <v>242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s="36" customFormat="1" ht="12.9" x14ac:dyDescent="0.35">
      <c r="B5" s="3" t="s">
        <v>171</v>
      </c>
      <c r="C5" s="37" t="s">
        <v>172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6"/>
      <c r="S5" s="6"/>
      <c r="T5" s="4"/>
      <c r="U5" s="4"/>
      <c r="V5" s="4"/>
    </row>
    <row r="6" spans="1:22" s="36" customFormat="1" ht="12.9" x14ac:dyDescent="0.35">
      <c r="B6" s="15" t="s">
        <v>62</v>
      </c>
      <c r="C6" s="7"/>
      <c r="D6" s="38"/>
      <c r="E6" s="3"/>
      <c r="F6" s="8"/>
      <c r="G6" s="3"/>
      <c r="H6" s="3"/>
      <c r="I6" s="3"/>
      <c r="J6" s="3"/>
      <c r="K6" s="3"/>
      <c r="L6" s="3"/>
      <c r="M6" s="3">
        <v>14592</v>
      </c>
      <c r="N6" s="3"/>
      <c r="O6" s="3"/>
      <c r="P6" s="17">
        <f t="shared" ref="P6:U6" si="0">SUM(P8:P139)</f>
        <v>1278563094.529</v>
      </c>
      <c r="Q6" s="17">
        <f t="shared" si="0"/>
        <v>1277759594.529</v>
      </c>
      <c r="R6" s="17">
        <f t="shared" si="0"/>
        <v>131817515.11819001</v>
      </c>
      <c r="S6" s="17">
        <f t="shared" si="0"/>
        <v>10461362.585999999</v>
      </c>
      <c r="T6" s="17">
        <f t="shared" si="0"/>
        <v>803500</v>
      </c>
      <c r="U6" s="17">
        <f t="shared" si="0"/>
        <v>1399196747.0611901</v>
      </c>
      <c r="V6" s="3"/>
    </row>
    <row r="7" spans="1:22" s="36" customFormat="1" ht="24" customHeight="1" x14ac:dyDescent="0.35">
      <c r="A7" s="18" t="s">
        <v>95</v>
      </c>
      <c r="B7" s="40" t="s">
        <v>31</v>
      </c>
      <c r="C7" s="41" t="s">
        <v>32</v>
      </c>
      <c r="D7" s="39" t="s">
        <v>17</v>
      </c>
      <c r="E7" s="39" t="s">
        <v>22</v>
      </c>
      <c r="F7" s="40" t="s">
        <v>33</v>
      </c>
      <c r="G7" s="40" t="s">
        <v>38</v>
      </c>
      <c r="H7" s="40" t="s">
        <v>774</v>
      </c>
      <c r="I7" s="40" t="s">
        <v>20</v>
      </c>
      <c r="J7" s="40" t="s">
        <v>28</v>
      </c>
      <c r="K7" s="34" t="s">
        <v>94</v>
      </c>
      <c r="L7" s="40" t="s">
        <v>21</v>
      </c>
      <c r="M7" s="40" t="s">
        <v>9</v>
      </c>
      <c r="N7" s="40" t="s">
        <v>34</v>
      </c>
      <c r="O7" s="40" t="s">
        <v>13</v>
      </c>
      <c r="P7" s="40" t="s">
        <v>18</v>
      </c>
      <c r="Q7" s="40" t="s">
        <v>2</v>
      </c>
      <c r="R7" s="39" t="s">
        <v>7</v>
      </c>
      <c r="S7" s="39" t="s">
        <v>93</v>
      </c>
      <c r="T7" s="39" t="s">
        <v>14</v>
      </c>
      <c r="U7" s="39" t="s">
        <v>37</v>
      </c>
      <c r="V7" s="16"/>
    </row>
    <row r="8" spans="1:22" s="36" customFormat="1" ht="15.45" x14ac:dyDescent="0.35">
      <c r="A8" s="19" t="s">
        <v>98</v>
      </c>
      <c r="B8" s="9">
        <v>45660</v>
      </c>
      <c r="C8" s="14" t="s">
        <v>243</v>
      </c>
      <c r="D8" s="10" t="s">
        <v>244</v>
      </c>
      <c r="E8" s="9">
        <v>45657</v>
      </c>
      <c r="F8" s="10" t="s">
        <v>84</v>
      </c>
      <c r="G8" s="10" t="s">
        <v>175</v>
      </c>
      <c r="H8" s="10" t="s">
        <v>818</v>
      </c>
      <c r="I8" s="10" t="s">
        <v>25</v>
      </c>
      <c r="J8" s="10" t="s">
        <v>79</v>
      </c>
      <c r="K8" s="46" t="s">
        <v>497</v>
      </c>
      <c r="L8" s="10" t="s">
        <v>1</v>
      </c>
      <c r="M8" s="12">
        <f t="shared" ref="M8:M14" si="1">IF(LEFT(C8,2)="RP",V8*-1,V8)</f>
        <v>32890</v>
      </c>
      <c r="N8" s="12">
        <v>1250</v>
      </c>
      <c r="O8" s="12">
        <v>0</v>
      </c>
      <c r="P8" s="11">
        <v>41112500</v>
      </c>
      <c r="Q8" s="11">
        <f t="shared" ref="Q8:Q14" si="2">P8</f>
        <v>41112500</v>
      </c>
      <c r="R8" s="11">
        <v>4522375</v>
      </c>
      <c r="S8" s="11">
        <f>Q8*1.5%</f>
        <v>616687.5</v>
      </c>
      <c r="T8" s="11">
        <v>0</v>
      </c>
      <c r="U8" s="11">
        <f t="shared" ref="U8:U39" si="3">Q8+R8-T8-S8</f>
        <v>45018187.5</v>
      </c>
      <c r="V8" s="42">
        <v>32890</v>
      </c>
    </row>
    <row r="9" spans="1:22" s="36" customFormat="1" ht="15.45" x14ac:dyDescent="0.35">
      <c r="A9" s="19" t="s">
        <v>115</v>
      </c>
      <c r="B9" s="9">
        <v>45663</v>
      </c>
      <c r="C9" s="14" t="s">
        <v>245</v>
      </c>
      <c r="D9" s="10" t="s">
        <v>246</v>
      </c>
      <c r="E9" s="9">
        <v>45657</v>
      </c>
      <c r="F9" s="10" t="s">
        <v>81</v>
      </c>
      <c r="G9" s="10" t="s">
        <v>89</v>
      </c>
      <c r="H9" s="10" t="s">
        <v>818</v>
      </c>
      <c r="I9" s="10" t="s">
        <v>25</v>
      </c>
      <c r="J9" s="10" t="s">
        <v>79</v>
      </c>
      <c r="K9" s="46" t="s">
        <v>495</v>
      </c>
      <c r="L9" s="10" t="s">
        <v>1</v>
      </c>
      <c r="M9" s="12">
        <f t="shared" si="1"/>
        <v>29780</v>
      </c>
      <c r="N9" s="12">
        <v>1565</v>
      </c>
      <c r="O9" s="12">
        <v>0</v>
      </c>
      <c r="P9" s="11">
        <v>46605700</v>
      </c>
      <c r="Q9" s="11">
        <f t="shared" si="2"/>
        <v>46605700</v>
      </c>
      <c r="R9" s="11">
        <v>5126627</v>
      </c>
      <c r="S9" s="11">
        <f>Q9*1.5%</f>
        <v>699085.5</v>
      </c>
      <c r="T9" s="11">
        <v>0</v>
      </c>
      <c r="U9" s="11">
        <f t="shared" si="3"/>
        <v>51033241.5</v>
      </c>
      <c r="V9" s="42">
        <v>29780</v>
      </c>
    </row>
    <row r="10" spans="1:22" s="36" customFormat="1" ht="15.45" x14ac:dyDescent="0.35">
      <c r="A10" s="19" t="s">
        <v>97</v>
      </c>
      <c r="B10" s="9">
        <v>45663</v>
      </c>
      <c r="C10" s="14" t="s">
        <v>247</v>
      </c>
      <c r="D10" s="10" t="s">
        <v>239</v>
      </c>
      <c r="E10" s="9">
        <v>45615</v>
      </c>
      <c r="F10" s="10" t="s">
        <v>63</v>
      </c>
      <c r="G10" s="10" t="s">
        <v>136</v>
      </c>
      <c r="H10" s="10" t="s">
        <v>888</v>
      </c>
      <c r="I10" s="10" t="s">
        <v>24</v>
      </c>
      <c r="J10" s="10" t="s">
        <v>61</v>
      </c>
      <c r="K10" s="46" t="s">
        <v>388</v>
      </c>
      <c r="L10" s="10" t="s">
        <v>5</v>
      </c>
      <c r="M10" s="12">
        <f t="shared" si="1"/>
        <v>223</v>
      </c>
      <c r="N10" s="12">
        <v>36000</v>
      </c>
      <c r="O10" s="12">
        <v>0</v>
      </c>
      <c r="P10" s="11">
        <v>8028000</v>
      </c>
      <c r="Q10" s="11">
        <f t="shared" si="2"/>
        <v>8028000</v>
      </c>
      <c r="R10" s="11">
        <v>883080</v>
      </c>
      <c r="S10" s="11"/>
      <c r="T10" s="11">
        <v>0</v>
      </c>
      <c r="U10" s="11">
        <f t="shared" si="3"/>
        <v>8911080</v>
      </c>
      <c r="V10" s="42">
        <v>223</v>
      </c>
    </row>
    <row r="11" spans="1:22" s="36" customFormat="1" ht="15.45" x14ac:dyDescent="0.35">
      <c r="A11" s="19" t="s">
        <v>97</v>
      </c>
      <c r="B11" s="9">
        <v>45664</v>
      </c>
      <c r="C11" s="14" t="s">
        <v>248</v>
      </c>
      <c r="D11" s="10" t="s">
        <v>249</v>
      </c>
      <c r="E11" s="9">
        <v>45657</v>
      </c>
      <c r="F11" s="10" t="s">
        <v>63</v>
      </c>
      <c r="G11" s="10" t="s">
        <v>88</v>
      </c>
      <c r="H11" s="10" t="s">
        <v>820</v>
      </c>
      <c r="I11" s="10" t="s">
        <v>24</v>
      </c>
      <c r="J11" s="10" t="s">
        <v>61</v>
      </c>
      <c r="K11" s="46" t="s">
        <v>389</v>
      </c>
      <c r="L11" s="10" t="s">
        <v>6</v>
      </c>
      <c r="M11" s="12">
        <f t="shared" si="1"/>
        <v>3</v>
      </c>
      <c r="N11" s="12">
        <v>285000</v>
      </c>
      <c r="O11" s="12">
        <v>0</v>
      </c>
      <c r="P11" s="11">
        <v>855000</v>
      </c>
      <c r="Q11" s="11">
        <f t="shared" si="2"/>
        <v>855000</v>
      </c>
      <c r="R11" s="11">
        <v>94050</v>
      </c>
      <c r="S11" s="11"/>
      <c r="T11" s="11">
        <v>0</v>
      </c>
      <c r="U11" s="11">
        <f t="shared" si="3"/>
        <v>949050</v>
      </c>
      <c r="V11" s="42">
        <v>3</v>
      </c>
    </row>
    <row r="12" spans="1:22" s="36" customFormat="1" ht="15.45" x14ac:dyDescent="0.35">
      <c r="A12" s="19" t="s">
        <v>97</v>
      </c>
      <c r="B12" s="9">
        <v>45664</v>
      </c>
      <c r="C12" s="14" t="s">
        <v>248</v>
      </c>
      <c r="D12" s="10" t="s">
        <v>249</v>
      </c>
      <c r="E12" s="9">
        <v>45657</v>
      </c>
      <c r="F12" s="10" t="s">
        <v>63</v>
      </c>
      <c r="G12" s="10" t="s">
        <v>86</v>
      </c>
      <c r="H12" s="10" t="s">
        <v>820</v>
      </c>
      <c r="I12" s="10" t="s">
        <v>24</v>
      </c>
      <c r="J12" s="10" t="s">
        <v>61</v>
      </c>
      <c r="K12" s="46" t="s">
        <v>389</v>
      </c>
      <c r="L12" s="10" t="s">
        <v>6</v>
      </c>
      <c r="M12" s="12">
        <f t="shared" si="1"/>
        <v>5</v>
      </c>
      <c r="N12" s="12">
        <v>200000</v>
      </c>
      <c r="O12" s="12">
        <v>0</v>
      </c>
      <c r="P12" s="11">
        <v>1000000</v>
      </c>
      <c r="Q12" s="11">
        <f t="shared" si="2"/>
        <v>1000000</v>
      </c>
      <c r="R12" s="11">
        <v>110000</v>
      </c>
      <c r="S12" s="11"/>
      <c r="T12" s="11">
        <v>0</v>
      </c>
      <c r="U12" s="11">
        <f t="shared" si="3"/>
        <v>1110000</v>
      </c>
      <c r="V12" s="42">
        <v>5</v>
      </c>
    </row>
    <row r="13" spans="1:22" s="36" customFormat="1" ht="15.45" x14ac:dyDescent="0.35">
      <c r="A13" s="19" t="s">
        <v>97</v>
      </c>
      <c r="B13" s="9">
        <v>45664</v>
      </c>
      <c r="C13" s="14" t="s">
        <v>248</v>
      </c>
      <c r="D13" s="10" t="s">
        <v>249</v>
      </c>
      <c r="E13" s="9">
        <v>45657</v>
      </c>
      <c r="F13" s="10" t="s">
        <v>63</v>
      </c>
      <c r="G13" s="10" t="s">
        <v>74</v>
      </c>
      <c r="H13" s="10" t="s">
        <v>820</v>
      </c>
      <c r="I13" s="10" t="s">
        <v>24</v>
      </c>
      <c r="J13" s="10" t="s">
        <v>61</v>
      </c>
      <c r="K13" s="46" t="s">
        <v>389</v>
      </c>
      <c r="L13" s="10" t="s">
        <v>6</v>
      </c>
      <c r="M13" s="12">
        <f t="shared" si="1"/>
        <v>5</v>
      </c>
      <c r="N13" s="12">
        <v>250000</v>
      </c>
      <c r="O13" s="12">
        <v>0</v>
      </c>
      <c r="P13" s="11">
        <v>1250000</v>
      </c>
      <c r="Q13" s="11">
        <f t="shared" si="2"/>
        <v>1250000</v>
      </c>
      <c r="R13" s="11">
        <v>137500</v>
      </c>
      <c r="S13" s="11"/>
      <c r="T13" s="11">
        <v>0</v>
      </c>
      <c r="U13" s="11">
        <f t="shared" si="3"/>
        <v>1387500</v>
      </c>
      <c r="V13" s="42">
        <v>5</v>
      </c>
    </row>
    <row r="14" spans="1:22" s="36" customFormat="1" ht="15.45" x14ac:dyDescent="0.35">
      <c r="A14" s="19" t="s">
        <v>109</v>
      </c>
      <c r="B14" s="9">
        <v>45664</v>
      </c>
      <c r="C14" s="14" t="s">
        <v>250</v>
      </c>
      <c r="D14" s="10" t="s">
        <v>251</v>
      </c>
      <c r="E14" s="9">
        <v>45663</v>
      </c>
      <c r="F14" s="10" t="s">
        <v>54</v>
      </c>
      <c r="G14" s="10" t="s">
        <v>49</v>
      </c>
      <c r="H14" s="10" t="s">
        <v>820</v>
      </c>
      <c r="I14" s="10" t="s">
        <v>24</v>
      </c>
      <c r="J14" s="10" t="s">
        <v>61</v>
      </c>
      <c r="K14" s="47" t="s">
        <v>258</v>
      </c>
      <c r="L14" s="10" t="s">
        <v>15</v>
      </c>
      <c r="M14" s="12">
        <f t="shared" si="1"/>
        <v>144</v>
      </c>
      <c r="N14" s="12">
        <v>6454</v>
      </c>
      <c r="O14" s="12">
        <v>0</v>
      </c>
      <c r="P14" s="11">
        <v>929376</v>
      </c>
      <c r="Q14" s="11">
        <f t="shared" si="2"/>
        <v>929376</v>
      </c>
      <c r="R14" s="11">
        <v>102231.36</v>
      </c>
      <c r="S14" s="11"/>
      <c r="T14" s="11">
        <v>0</v>
      </c>
      <c r="U14" s="11">
        <f t="shared" si="3"/>
        <v>1031607.36</v>
      </c>
      <c r="V14" s="42">
        <v>144</v>
      </c>
    </row>
    <row r="15" spans="1:22" s="36" customFormat="1" ht="15.45" x14ac:dyDescent="0.35">
      <c r="A15" s="19" t="s">
        <v>106</v>
      </c>
      <c r="B15" s="9">
        <v>45679</v>
      </c>
      <c r="C15" s="14" t="s">
        <v>395</v>
      </c>
      <c r="D15" s="10" t="s">
        <v>396</v>
      </c>
      <c r="E15" s="9">
        <v>45679</v>
      </c>
      <c r="F15" s="10" t="s">
        <v>66</v>
      </c>
      <c r="G15" s="10" t="s">
        <v>19</v>
      </c>
      <c r="H15" s="10" t="s">
        <v>888</v>
      </c>
      <c r="I15" s="10" t="s">
        <v>23</v>
      </c>
      <c r="J15" s="10" t="s">
        <v>45</v>
      </c>
      <c r="K15" s="46" t="s">
        <v>528</v>
      </c>
      <c r="L15" s="10" t="s">
        <v>4</v>
      </c>
      <c r="M15" s="12">
        <v>200</v>
      </c>
      <c r="N15" s="12">
        <v>18500</v>
      </c>
      <c r="O15" s="12">
        <v>0</v>
      </c>
      <c r="P15" s="11">
        <v>3700000</v>
      </c>
      <c r="Q15" s="11">
        <f t="shared" ref="Q15:Q46" si="4">P15</f>
        <v>3700000</v>
      </c>
      <c r="R15" s="11">
        <v>407000</v>
      </c>
      <c r="S15" s="11"/>
      <c r="T15" s="11">
        <v>0</v>
      </c>
      <c r="U15" s="11">
        <f t="shared" si="3"/>
        <v>4107000</v>
      </c>
      <c r="V15" s="42">
        <v>200</v>
      </c>
    </row>
    <row r="16" spans="1:22" s="36" customFormat="1" ht="15.45" x14ac:dyDescent="0.35">
      <c r="A16" s="19" t="s">
        <v>114</v>
      </c>
      <c r="B16" s="9">
        <v>45677</v>
      </c>
      <c r="C16" s="14" t="s">
        <v>369</v>
      </c>
      <c r="D16" s="10" t="s">
        <v>370</v>
      </c>
      <c r="E16" s="9">
        <v>45672</v>
      </c>
      <c r="F16" s="10" t="s">
        <v>71</v>
      </c>
      <c r="G16" s="10" t="s">
        <v>76</v>
      </c>
      <c r="H16" s="10" t="s">
        <v>773</v>
      </c>
      <c r="I16" s="10" t="s">
        <v>23</v>
      </c>
      <c r="J16" s="10" t="s">
        <v>45</v>
      </c>
      <c r="K16" s="46" t="s">
        <v>488</v>
      </c>
      <c r="L16" s="10" t="s">
        <v>1</v>
      </c>
      <c r="M16" s="12">
        <v>500</v>
      </c>
      <c r="N16" s="12">
        <v>30072</v>
      </c>
      <c r="O16" s="12">
        <v>16255</v>
      </c>
      <c r="P16" s="11">
        <v>15036000</v>
      </c>
      <c r="Q16" s="11">
        <f t="shared" si="4"/>
        <v>15036000</v>
      </c>
      <c r="R16" s="11">
        <v>1653960</v>
      </c>
      <c r="S16" s="11"/>
      <c r="T16" s="11">
        <v>0</v>
      </c>
      <c r="U16" s="11">
        <f t="shared" si="3"/>
        <v>16689960</v>
      </c>
      <c r="V16" s="42">
        <v>500</v>
      </c>
    </row>
    <row r="17" spans="1:22" s="36" customFormat="1" ht="15.45" x14ac:dyDescent="0.35">
      <c r="A17" s="19" t="s">
        <v>114</v>
      </c>
      <c r="B17" s="9">
        <v>45682</v>
      </c>
      <c r="C17" s="14" t="s">
        <v>407</v>
      </c>
      <c r="D17" s="10" t="s">
        <v>370</v>
      </c>
      <c r="E17" s="9">
        <v>45672</v>
      </c>
      <c r="F17" s="10" t="s">
        <v>71</v>
      </c>
      <c r="G17" s="10" t="s">
        <v>76</v>
      </c>
      <c r="H17" s="10" t="s">
        <v>773</v>
      </c>
      <c r="I17" s="10" t="s">
        <v>23</v>
      </c>
      <c r="J17" s="10" t="s">
        <v>45</v>
      </c>
      <c r="K17" s="46" t="s">
        <v>489</v>
      </c>
      <c r="L17" s="10" t="s">
        <v>1</v>
      </c>
      <c r="M17" s="12">
        <v>500</v>
      </c>
      <c r="N17" s="12">
        <v>30072</v>
      </c>
      <c r="O17" s="12">
        <v>16255</v>
      </c>
      <c r="P17" s="11">
        <v>15036000</v>
      </c>
      <c r="Q17" s="11">
        <f t="shared" si="4"/>
        <v>15036000</v>
      </c>
      <c r="R17" s="11">
        <v>1653960</v>
      </c>
      <c r="S17" s="11"/>
      <c r="T17" s="11">
        <v>0</v>
      </c>
      <c r="U17" s="11">
        <f t="shared" si="3"/>
        <v>16689960</v>
      </c>
      <c r="V17" s="42">
        <v>500</v>
      </c>
    </row>
    <row r="18" spans="1:22" s="36" customFormat="1" ht="15.45" x14ac:dyDescent="0.35">
      <c r="A18" s="19" t="s">
        <v>184</v>
      </c>
      <c r="B18" s="9">
        <v>45666</v>
      </c>
      <c r="C18" s="14" t="s">
        <v>271</v>
      </c>
      <c r="D18" s="10" t="s">
        <v>272</v>
      </c>
      <c r="E18" s="9">
        <v>45665</v>
      </c>
      <c r="F18" s="10" t="s">
        <v>183</v>
      </c>
      <c r="G18" s="10" t="s">
        <v>201</v>
      </c>
      <c r="H18" s="10" t="s">
        <v>890</v>
      </c>
      <c r="I18" s="10" t="s">
        <v>23</v>
      </c>
      <c r="J18" s="10" t="s">
        <v>45</v>
      </c>
      <c r="K18" s="46" t="s">
        <v>426</v>
      </c>
      <c r="L18" s="10" t="s">
        <v>1</v>
      </c>
      <c r="M18" s="12">
        <f>IF(LEFT(C18,2)="RP",V18*-1,V18)</f>
        <v>400</v>
      </c>
      <c r="N18" s="12">
        <v>25880</v>
      </c>
      <c r="O18" s="12">
        <v>16175</v>
      </c>
      <c r="P18" s="11">
        <v>10352000</v>
      </c>
      <c r="Q18" s="11">
        <f t="shared" si="4"/>
        <v>10352000</v>
      </c>
      <c r="R18" s="11">
        <v>1138720</v>
      </c>
      <c r="S18" s="11"/>
      <c r="T18" s="11">
        <v>0</v>
      </c>
      <c r="U18" s="11">
        <f t="shared" si="3"/>
        <v>11490720</v>
      </c>
      <c r="V18" s="42">
        <v>400</v>
      </c>
    </row>
    <row r="19" spans="1:22" s="36" customFormat="1" ht="15.45" x14ac:dyDescent="0.35">
      <c r="A19" s="19" t="s">
        <v>98</v>
      </c>
      <c r="B19" s="9">
        <v>45665</v>
      </c>
      <c r="C19" s="14" t="s">
        <v>262</v>
      </c>
      <c r="D19" s="10" t="s">
        <v>244</v>
      </c>
      <c r="E19" s="9">
        <v>45657</v>
      </c>
      <c r="F19" s="10" t="s">
        <v>84</v>
      </c>
      <c r="G19" s="10" t="s">
        <v>175</v>
      </c>
      <c r="H19" s="10" t="s">
        <v>818</v>
      </c>
      <c r="I19" s="10" t="s">
        <v>25</v>
      </c>
      <c r="J19" s="10" t="s">
        <v>79</v>
      </c>
      <c r="K19" s="46" t="s">
        <v>497</v>
      </c>
      <c r="L19" s="10" t="s">
        <v>1</v>
      </c>
      <c r="M19" s="12">
        <f>IF(LEFT(C19,2)="RP",V19*-1,V19)</f>
        <v>32730</v>
      </c>
      <c r="N19" s="12">
        <v>1250</v>
      </c>
      <c r="O19" s="12">
        <v>0</v>
      </c>
      <c r="P19" s="11">
        <v>40912500</v>
      </c>
      <c r="Q19" s="11">
        <f t="shared" si="4"/>
        <v>40912500</v>
      </c>
      <c r="R19" s="11">
        <v>4500375</v>
      </c>
      <c r="S19" s="11">
        <f>Q19*1.5%</f>
        <v>613687.5</v>
      </c>
      <c r="T19" s="11">
        <v>0</v>
      </c>
      <c r="U19" s="11">
        <f t="shared" si="3"/>
        <v>44799187.5</v>
      </c>
      <c r="V19" s="42">
        <v>32730</v>
      </c>
    </row>
    <row r="20" spans="1:22" s="36" customFormat="1" ht="15.45" x14ac:dyDescent="0.35">
      <c r="A20" s="19" t="s">
        <v>149</v>
      </c>
      <c r="B20" s="9">
        <v>45666</v>
      </c>
      <c r="C20" s="14" t="s">
        <v>263</v>
      </c>
      <c r="D20" s="10" t="s">
        <v>264</v>
      </c>
      <c r="E20" s="9">
        <v>45665</v>
      </c>
      <c r="F20" s="10" t="s">
        <v>143</v>
      </c>
      <c r="G20" s="10" t="s">
        <v>265</v>
      </c>
      <c r="H20" s="10" t="s">
        <v>820</v>
      </c>
      <c r="I20" s="10" t="s">
        <v>24</v>
      </c>
      <c r="J20" s="10" t="s">
        <v>61</v>
      </c>
      <c r="K20" s="46" t="s">
        <v>393</v>
      </c>
      <c r="L20" s="10" t="s">
        <v>10</v>
      </c>
      <c r="M20" s="12">
        <f>IF(LEFT(C20,2)="RP",V20*-1,V20)</f>
        <v>31080</v>
      </c>
      <c r="N20" s="12">
        <v>125875</v>
      </c>
      <c r="O20" s="12">
        <v>0</v>
      </c>
      <c r="P20" s="11">
        <v>629375</v>
      </c>
      <c r="Q20" s="11">
        <f t="shared" si="4"/>
        <v>629375</v>
      </c>
      <c r="R20" s="11">
        <v>69231.25</v>
      </c>
      <c r="S20" s="11"/>
      <c r="T20" s="11">
        <v>0</v>
      </c>
      <c r="U20" s="11">
        <f t="shared" si="3"/>
        <v>698606.25</v>
      </c>
      <c r="V20" s="42">
        <v>31080</v>
      </c>
    </row>
    <row r="21" spans="1:22" s="36" customFormat="1" ht="15.45" x14ac:dyDescent="0.35">
      <c r="A21" s="19" t="s">
        <v>103</v>
      </c>
      <c r="B21" s="9">
        <v>45671</v>
      </c>
      <c r="C21" s="14" t="s">
        <v>310</v>
      </c>
      <c r="D21" s="10" t="s">
        <v>311</v>
      </c>
      <c r="E21" s="9">
        <v>45665</v>
      </c>
      <c r="F21" s="10" t="s">
        <v>70</v>
      </c>
      <c r="G21" s="10" t="s">
        <v>46</v>
      </c>
      <c r="H21" s="10" t="s">
        <v>889</v>
      </c>
      <c r="I21" s="10" t="s">
        <v>23</v>
      </c>
      <c r="J21" s="10" t="s">
        <v>45</v>
      </c>
      <c r="K21" s="46" t="s">
        <v>392</v>
      </c>
      <c r="L21" s="10" t="s">
        <v>1</v>
      </c>
      <c r="M21" s="12">
        <f>IF(LEFT(C21,2)="RP",V21*-1,V21)</f>
        <v>240</v>
      </c>
      <c r="N21" s="12">
        <v>24000</v>
      </c>
      <c r="O21" s="12">
        <v>0</v>
      </c>
      <c r="P21" s="11">
        <v>5760000</v>
      </c>
      <c r="Q21" s="11">
        <f t="shared" si="4"/>
        <v>5760000</v>
      </c>
      <c r="R21" s="11">
        <v>633600</v>
      </c>
      <c r="S21" s="11"/>
      <c r="T21" s="11">
        <v>0</v>
      </c>
      <c r="U21" s="11">
        <f t="shared" si="3"/>
        <v>6393600</v>
      </c>
      <c r="V21" s="42">
        <v>240</v>
      </c>
    </row>
    <row r="22" spans="1:22" s="36" customFormat="1" ht="15.45" x14ac:dyDescent="0.35">
      <c r="A22" s="19" t="s">
        <v>115</v>
      </c>
      <c r="B22" s="9">
        <v>45665</v>
      </c>
      <c r="C22" s="14" t="s">
        <v>268</v>
      </c>
      <c r="D22" s="10" t="s">
        <v>246</v>
      </c>
      <c r="E22" s="9">
        <v>45657</v>
      </c>
      <c r="F22" s="10" t="s">
        <v>81</v>
      </c>
      <c r="G22" s="10" t="s">
        <v>89</v>
      </c>
      <c r="H22" s="10" t="s">
        <v>818</v>
      </c>
      <c r="I22" s="10" t="s">
        <v>25</v>
      </c>
      <c r="J22" s="10" t="s">
        <v>79</v>
      </c>
      <c r="K22" s="46" t="s">
        <v>495</v>
      </c>
      <c r="L22" s="10" t="s">
        <v>1</v>
      </c>
      <c r="M22" s="12">
        <v>31080</v>
      </c>
      <c r="N22" s="12">
        <v>1565</v>
      </c>
      <c r="O22" s="12">
        <v>0</v>
      </c>
      <c r="P22" s="11">
        <v>48640200</v>
      </c>
      <c r="Q22" s="11">
        <f t="shared" si="4"/>
        <v>48640200</v>
      </c>
      <c r="R22" s="11">
        <v>5350422</v>
      </c>
      <c r="S22" s="11">
        <f>Q22*1.5%</f>
        <v>729603</v>
      </c>
      <c r="T22" s="11">
        <v>0</v>
      </c>
      <c r="U22" s="11">
        <f t="shared" si="3"/>
        <v>53261019</v>
      </c>
      <c r="V22" s="42">
        <v>5</v>
      </c>
    </row>
    <row r="23" spans="1:22" s="36" customFormat="1" ht="15.45" x14ac:dyDescent="0.35">
      <c r="A23" s="19" t="s">
        <v>96</v>
      </c>
      <c r="B23" s="9">
        <v>45665</v>
      </c>
      <c r="C23" s="14" t="s">
        <v>269</v>
      </c>
      <c r="D23" s="10" t="s">
        <v>270</v>
      </c>
      <c r="E23" s="9">
        <v>45666</v>
      </c>
      <c r="F23" s="10" t="s">
        <v>39</v>
      </c>
      <c r="G23" s="10" t="s">
        <v>189</v>
      </c>
      <c r="H23" s="10" t="s">
        <v>769</v>
      </c>
      <c r="I23" s="10" t="s">
        <v>190</v>
      </c>
      <c r="J23" s="10" t="s">
        <v>191</v>
      </c>
      <c r="K23" s="46"/>
      <c r="L23" s="10" t="s">
        <v>16</v>
      </c>
      <c r="M23" s="12">
        <f t="shared" ref="M23:M33" si="5">IF(LEFT(C23,2)="RP",V23*-1,V23)</f>
        <v>2</v>
      </c>
      <c r="N23" s="12">
        <v>600000</v>
      </c>
      <c r="O23" s="12">
        <v>0</v>
      </c>
      <c r="P23" s="11">
        <v>600000</v>
      </c>
      <c r="Q23" s="11">
        <f t="shared" si="4"/>
        <v>600000</v>
      </c>
      <c r="R23" s="11">
        <v>0</v>
      </c>
      <c r="S23" s="11"/>
      <c r="T23" s="11">
        <v>0</v>
      </c>
      <c r="U23" s="11">
        <f t="shared" si="3"/>
        <v>600000</v>
      </c>
      <c r="V23" s="42">
        <v>2</v>
      </c>
    </row>
    <row r="24" spans="1:22" s="36" customFormat="1" ht="15.45" x14ac:dyDescent="0.35">
      <c r="A24" s="19" t="s">
        <v>103</v>
      </c>
      <c r="B24" s="9">
        <v>45671</v>
      </c>
      <c r="C24" s="14" t="s">
        <v>310</v>
      </c>
      <c r="D24" s="10" t="s">
        <v>311</v>
      </c>
      <c r="E24" s="9">
        <v>45665</v>
      </c>
      <c r="F24" s="10" t="s">
        <v>70</v>
      </c>
      <c r="G24" s="10" t="s">
        <v>47</v>
      </c>
      <c r="H24" s="10" t="s">
        <v>889</v>
      </c>
      <c r="I24" s="10" t="s">
        <v>23</v>
      </c>
      <c r="J24" s="10" t="s">
        <v>45</v>
      </c>
      <c r="K24" s="46" t="s">
        <v>392</v>
      </c>
      <c r="L24" s="10" t="s">
        <v>1</v>
      </c>
      <c r="M24" s="12">
        <f t="shared" si="5"/>
        <v>240</v>
      </c>
      <c r="N24" s="12">
        <v>23000</v>
      </c>
      <c r="O24" s="12">
        <v>0</v>
      </c>
      <c r="P24" s="11">
        <v>5520000</v>
      </c>
      <c r="Q24" s="11">
        <f t="shared" si="4"/>
        <v>5520000</v>
      </c>
      <c r="R24" s="11">
        <v>607200</v>
      </c>
      <c r="S24" s="11"/>
      <c r="T24" s="11">
        <v>0</v>
      </c>
      <c r="U24" s="11">
        <f t="shared" si="3"/>
        <v>6127200</v>
      </c>
      <c r="V24" s="42">
        <v>240</v>
      </c>
    </row>
    <row r="25" spans="1:22" s="36" customFormat="1" ht="15.45" x14ac:dyDescent="0.35">
      <c r="A25" s="19" t="s">
        <v>133</v>
      </c>
      <c r="B25" s="9">
        <v>45666</v>
      </c>
      <c r="C25" s="14" t="s">
        <v>273</v>
      </c>
      <c r="D25" s="10" t="s">
        <v>274</v>
      </c>
      <c r="E25" s="9">
        <v>45665</v>
      </c>
      <c r="F25" s="10" t="s">
        <v>121</v>
      </c>
      <c r="G25" s="10" t="s">
        <v>122</v>
      </c>
      <c r="H25" s="10" t="s">
        <v>820</v>
      </c>
      <c r="I25" s="10" t="s">
        <v>24</v>
      </c>
      <c r="J25" s="10" t="s">
        <v>61</v>
      </c>
      <c r="K25" s="46"/>
      <c r="L25" s="10" t="s">
        <v>123</v>
      </c>
      <c r="M25" s="12">
        <f t="shared" si="5"/>
        <v>72</v>
      </c>
      <c r="N25" s="12">
        <v>19584</v>
      </c>
      <c r="O25" s="12">
        <v>0</v>
      </c>
      <c r="P25" s="11">
        <v>1410048</v>
      </c>
      <c r="Q25" s="11">
        <f t="shared" si="4"/>
        <v>1410048</v>
      </c>
      <c r="R25" s="11">
        <v>0</v>
      </c>
      <c r="S25" s="11"/>
      <c r="T25" s="11">
        <v>0</v>
      </c>
      <c r="U25" s="11">
        <f t="shared" si="3"/>
        <v>1410048</v>
      </c>
      <c r="V25" s="42">
        <v>72</v>
      </c>
    </row>
    <row r="26" spans="1:22" s="36" customFormat="1" ht="15.45" x14ac:dyDescent="0.35">
      <c r="A26" s="19" t="s">
        <v>132</v>
      </c>
      <c r="B26" s="9">
        <v>45666</v>
      </c>
      <c r="C26" s="14" t="s">
        <v>275</v>
      </c>
      <c r="D26" s="10" t="s">
        <v>276</v>
      </c>
      <c r="E26" s="9">
        <v>45666</v>
      </c>
      <c r="F26" s="10" t="s">
        <v>129</v>
      </c>
      <c r="G26" s="10" t="s">
        <v>277</v>
      </c>
      <c r="H26" s="10" t="s">
        <v>820</v>
      </c>
      <c r="I26" s="10" t="s">
        <v>24</v>
      </c>
      <c r="J26" s="10" t="s">
        <v>61</v>
      </c>
      <c r="K26" s="46"/>
      <c r="L26" s="10" t="s">
        <v>6</v>
      </c>
      <c r="M26" s="12">
        <f t="shared" si="5"/>
        <v>50</v>
      </c>
      <c r="N26" s="12">
        <v>2000</v>
      </c>
      <c r="O26" s="12">
        <v>0</v>
      </c>
      <c r="P26" s="11">
        <v>100000</v>
      </c>
      <c r="Q26" s="11">
        <f t="shared" si="4"/>
        <v>100000</v>
      </c>
      <c r="R26" s="11">
        <v>0</v>
      </c>
      <c r="S26" s="11"/>
      <c r="T26" s="11">
        <v>0</v>
      </c>
      <c r="U26" s="11">
        <f t="shared" si="3"/>
        <v>100000</v>
      </c>
      <c r="V26" s="42">
        <v>50</v>
      </c>
    </row>
    <row r="27" spans="1:22" s="36" customFormat="1" ht="15.45" x14ac:dyDescent="0.35">
      <c r="A27" s="19" t="s">
        <v>132</v>
      </c>
      <c r="B27" s="9">
        <v>45666</v>
      </c>
      <c r="C27" s="14" t="s">
        <v>275</v>
      </c>
      <c r="D27" s="10" t="s">
        <v>276</v>
      </c>
      <c r="E27" s="9">
        <v>45666</v>
      </c>
      <c r="F27" s="10" t="s">
        <v>129</v>
      </c>
      <c r="G27" s="10" t="s">
        <v>139</v>
      </c>
      <c r="H27" s="10" t="s">
        <v>820</v>
      </c>
      <c r="I27" s="10" t="s">
        <v>24</v>
      </c>
      <c r="J27" s="10" t="s">
        <v>61</v>
      </c>
      <c r="K27" s="46"/>
      <c r="L27" s="10" t="s">
        <v>6</v>
      </c>
      <c r="M27" s="12">
        <f t="shared" si="5"/>
        <v>100</v>
      </c>
      <c r="N27" s="12">
        <v>1450</v>
      </c>
      <c r="O27" s="12">
        <v>0</v>
      </c>
      <c r="P27" s="11">
        <v>145000</v>
      </c>
      <c r="Q27" s="11">
        <f t="shared" si="4"/>
        <v>145000</v>
      </c>
      <c r="R27" s="11">
        <v>0</v>
      </c>
      <c r="S27" s="11"/>
      <c r="T27" s="11">
        <v>0</v>
      </c>
      <c r="U27" s="11">
        <f t="shared" si="3"/>
        <v>145000</v>
      </c>
      <c r="V27" s="42">
        <v>100</v>
      </c>
    </row>
    <row r="28" spans="1:22" s="36" customFormat="1" ht="15.45" x14ac:dyDescent="0.35">
      <c r="A28" s="19" t="s">
        <v>132</v>
      </c>
      <c r="B28" s="9">
        <v>45666</v>
      </c>
      <c r="C28" s="14" t="s">
        <v>275</v>
      </c>
      <c r="D28" s="10" t="s">
        <v>276</v>
      </c>
      <c r="E28" s="9">
        <v>45666</v>
      </c>
      <c r="F28" s="10" t="s">
        <v>129</v>
      </c>
      <c r="G28" s="10" t="s">
        <v>90</v>
      </c>
      <c r="H28" s="10" t="s">
        <v>820</v>
      </c>
      <c r="I28" s="10" t="s">
        <v>24</v>
      </c>
      <c r="J28" s="10" t="s">
        <v>61</v>
      </c>
      <c r="K28" s="46"/>
      <c r="L28" s="10" t="s">
        <v>6</v>
      </c>
      <c r="M28" s="12">
        <f t="shared" si="5"/>
        <v>60</v>
      </c>
      <c r="N28" s="12">
        <v>3250</v>
      </c>
      <c r="O28" s="12">
        <v>0</v>
      </c>
      <c r="P28" s="11">
        <v>195000</v>
      </c>
      <c r="Q28" s="11">
        <f t="shared" si="4"/>
        <v>195000</v>
      </c>
      <c r="R28" s="11">
        <v>0</v>
      </c>
      <c r="S28" s="11"/>
      <c r="T28" s="11">
        <v>0</v>
      </c>
      <c r="U28" s="11">
        <f t="shared" si="3"/>
        <v>195000</v>
      </c>
      <c r="V28" s="42">
        <v>60</v>
      </c>
    </row>
    <row r="29" spans="1:22" s="36" customFormat="1" ht="15.45" x14ac:dyDescent="0.35">
      <c r="A29" s="19" t="s">
        <v>132</v>
      </c>
      <c r="B29" s="9">
        <v>45666</v>
      </c>
      <c r="C29" s="14" t="s">
        <v>275</v>
      </c>
      <c r="D29" s="10" t="s">
        <v>276</v>
      </c>
      <c r="E29" s="9">
        <v>45666</v>
      </c>
      <c r="F29" s="10" t="s">
        <v>129</v>
      </c>
      <c r="G29" s="10" t="s">
        <v>174</v>
      </c>
      <c r="H29" s="10" t="s">
        <v>820</v>
      </c>
      <c r="I29" s="10" t="s">
        <v>24</v>
      </c>
      <c r="J29" s="10" t="s">
        <v>61</v>
      </c>
      <c r="K29" s="46"/>
      <c r="L29" s="10" t="s">
        <v>6</v>
      </c>
      <c r="M29" s="12">
        <f t="shared" si="5"/>
        <v>10</v>
      </c>
      <c r="N29" s="12">
        <v>10000</v>
      </c>
      <c r="O29" s="12">
        <v>0</v>
      </c>
      <c r="P29" s="11">
        <v>100000</v>
      </c>
      <c r="Q29" s="11">
        <f t="shared" si="4"/>
        <v>100000</v>
      </c>
      <c r="R29" s="11">
        <v>0</v>
      </c>
      <c r="S29" s="11"/>
      <c r="T29" s="11">
        <v>0</v>
      </c>
      <c r="U29" s="11">
        <f t="shared" si="3"/>
        <v>100000</v>
      </c>
      <c r="V29" s="42">
        <v>10</v>
      </c>
    </row>
    <row r="30" spans="1:22" s="36" customFormat="1" ht="15.45" x14ac:dyDescent="0.35">
      <c r="A30" s="19" t="s">
        <v>116</v>
      </c>
      <c r="B30" s="9">
        <v>45666</v>
      </c>
      <c r="C30" s="14" t="s">
        <v>278</v>
      </c>
      <c r="D30" s="10" t="s">
        <v>279</v>
      </c>
      <c r="E30" s="9">
        <v>45666</v>
      </c>
      <c r="F30" s="10" t="s">
        <v>40</v>
      </c>
      <c r="G30" s="10" t="s">
        <v>280</v>
      </c>
      <c r="H30" s="10" t="s">
        <v>820</v>
      </c>
      <c r="I30" s="10" t="s">
        <v>24</v>
      </c>
      <c r="J30" s="10" t="s">
        <v>61</v>
      </c>
      <c r="K30" s="46"/>
      <c r="L30" s="10" t="s">
        <v>6</v>
      </c>
      <c r="M30" s="12">
        <f t="shared" si="5"/>
        <v>10</v>
      </c>
      <c r="N30" s="12">
        <v>40000</v>
      </c>
      <c r="O30" s="12">
        <v>0</v>
      </c>
      <c r="P30" s="11">
        <v>400000</v>
      </c>
      <c r="Q30" s="11">
        <f t="shared" si="4"/>
        <v>400000</v>
      </c>
      <c r="R30" s="11">
        <v>0</v>
      </c>
      <c r="S30" s="11"/>
      <c r="T30" s="11">
        <v>0</v>
      </c>
      <c r="U30" s="11">
        <f t="shared" si="3"/>
        <v>400000</v>
      </c>
      <c r="V30" s="42">
        <v>10</v>
      </c>
    </row>
    <row r="31" spans="1:22" s="36" customFormat="1" ht="15.45" x14ac:dyDescent="0.35">
      <c r="A31" s="19" t="s">
        <v>113</v>
      </c>
      <c r="B31" s="9">
        <v>45666</v>
      </c>
      <c r="C31" s="14" t="s">
        <v>281</v>
      </c>
      <c r="D31" s="10" t="s">
        <v>282</v>
      </c>
      <c r="E31" s="9">
        <v>45666</v>
      </c>
      <c r="F31" s="10" t="s">
        <v>42</v>
      </c>
      <c r="G31" s="10" t="s">
        <v>219</v>
      </c>
      <c r="H31" s="10" t="s">
        <v>820</v>
      </c>
      <c r="I31" s="10" t="s">
        <v>24</v>
      </c>
      <c r="J31" s="10" t="s">
        <v>61</v>
      </c>
      <c r="K31" s="46"/>
      <c r="L31" s="10" t="s">
        <v>220</v>
      </c>
      <c r="M31" s="12">
        <f t="shared" si="5"/>
        <v>3</v>
      </c>
      <c r="N31" s="12">
        <v>45000</v>
      </c>
      <c r="O31" s="12">
        <v>0</v>
      </c>
      <c r="P31" s="11">
        <v>135000</v>
      </c>
      <c r="Q31" s="11">
        <f t="shared" si="4"/>
        <v>135000</v>
      </c>
      <c r="R31" s="11">
        <v>0</v>
      </c>
      <c r="S31" s="11"/>
      <c r="T31" s="11">
        <v>0</v>
      </c>
      <c r="U31" s="11">
        <f t="shared" si="3"/>
        <v>135000</v>
      </c>
      <c r="V31" s="42">
        <v>3</v>
      </c>
    </row>
    <row r="32" spans="1:22" s="36" customFormat="1" ht="15.45" x14ac:dyDescent="0.35">
      <c r="A32" s="19" t="s">
        <v>113</v>
      </c>
      <c r="B32" s="9">
        <v>45666</v>
      </c>
      <c r="C32" s="14" t="s">
        <v>281</v>
      </c>
      <c r="D32" s="10" t="s">
        <v>282</v>
      </c>
      <c r="E32" s="9">
        <v>45666</v>
      </c>
      <c r="F32" s="10" t="s">
        <v>42</v>
      </c>
      <c r="G32" s="10" t="s">
        <v>59</v>
      </c>
      <c r="H32" s="10" t="s">
        <v>820</v>
      </c>
      <c r="I32" s="10" t="s">
        <v>24</v>
      </c>
      <c r="J32" s="10" t="s">
        <v>61</v>
      </c>
      <c r="K32" s="46"/>
      <c r="L32" s="10" t="s">
        <v>6</v>
      </c>
      <c r="M32" s="12">
        <f t="shared" si="5"/>
        <v>80</v>
      </c>
      <c r="N32" s="12">
        <v>17500</v>
      </c>
      <c r="O32" s="12">
        <v>0</v>
      </c>
      <c r="P32" s="11">
        <v>1400000</v>
      </c>
      <c r="Q32" s="11">
        <f t="shared" si="4"/>
        <v>1400000</v>
      </c>
      <c r="R32" s="11">
        <v>0</v>
      </c>
      <c r="S32" s="11"/>
      <c r="T32" s="11">
        <v>0</v>
      </c>
      <c r="U32" s="11">
        <f t="shared" si="3"/>
        <v>1400000</v>
      </c>
      <c r="V32" s="42">
        <v>80</v>
      </c>
    </row>
    <row r="33" spans="1:22" s="36" customFormat="1" ht="15.45" x14ac:dyDescent="0.35">
      <c r="A33" s="19" t="s">
        <v>111</v>
      </c>
      <c r="B33" s="9">
        <v>45666</v>
      </c>
      <c r="C33" s="14" t="s">
        <v>283</v>
      </c>
      <c r="D33" s="10" t="s">
        <v>284</v>
      </c>
      <c r="E33" s="9">
        <v>45657</v>
      </c>
      <c r="F33" s="10" t="s">
        <v>55</v>
      </c>
      <c r="G33" s="10" t="s">
        <v>285</v>
      </c>
      <c r="H33" s="10" t="s">
        <v>820</v>
      </c>
      <c r="I33" s="10" t="s">
        <v>24</v>
      </c>
      <c r="J33" s="10" t="s">
        <v>61</v>
      </c>
      <c r="K33" s="46"/>
      <c r="L33" s="10" t="s">
        <v>145</v>
      </c>
      <c r="M33" s="12">
        <f t="shared" si="5"/>
        <v>1</v>
      </c>
      <c r="N33" s="12">
        <v>2500000</v>
      </c>
      <c r="O33" s="12">
        <v>0</v>
      </c>
      <c r="P33" s="11">
        <v>2500000</v>
      </c>
      <c r="Q33" s="11">
        <f t="shared" si="4"/>
        <v>2500000</v>
      </c>
      <c r="R33" s="11">
        <v>0</v>
      </c>
      <c r="S33" s="11"/>
      <c r="T33" s="11">
        <v>0</v>
      </c>
      <c r="U33" s="11">
        <f t="shared" si="3"/>
        <v>2500000</v>
      </c>
      <c r="V33" s="42">
        <v>1</v>
      </c>
    </row>
    <row r="34" spans="1:22" s="36" customFormat="1" ht="15.45" x14ac:dyDescent="0.35">
      <c r="A34" s="19" t="s">
        <v>148</v>
      </c>
      <c r="B34" s="9">
        <v>45677</v>
      </c>
      <c r="C34" s="14" t="s">
        <v>371</v>
      </c>
      <c r="D34" s="10" t="s">
        <v>372</v>
      </c>
      <c r="E34" s="9">
        <v>45673</v>
      </c>
      <c r="F34" s="10" t="s">
        <v>141</v>
      </c>
      <c r="G34" s="10" t="s">
        <v>142</v>
      </c>
      <c r="H34" s="10" t="s">
        <v>887</v>
      </c>
      <c r="I34" s="10" t="s">
        <v>23</v>
      </c>
      <c r="J34" s="10" t="s">
        <v>45</v>
      </c>
      <c r="K34" s="46" t="s">
        <v>519</v>
      </c>
      <c r="L34" s="10" t="s">
        <v>1</v>
      </c>
      <c r="M34" s="12">
        <v>375</v>
      </c>
      <c r="N34" s="12">
        <v>14750</v>
      </c>
      <c r="O34" s="12">
        <v>0</v>
      </c>
      <c r="P34" s="11">
        <v>5531250</v>
      </c>
      <c r="Q34" s="11">
        <f t="shared" si="4"/>
        <v>5531250</v>
      </c>
      <c r="R34" s="11">
        <v>608437.5</v>
      </c>
      <c r="S34" s="11"/>
      <c r="T34" s="11">
        <v>0</v>
      </c>
      <c r="U34" s="11">
        <f t="shared" si="3"/>
        <v>6139687.5</v>
      </c>
      <c r="V34" s="42">
        <v>375</v>
      </c>
    </row>
    <row r="35" spans="1:22" s="36" customFormat="1" ht="15.45" x14ac:dyDescent="0.35">
      <c r="A35" s="19" t="s">
        <v>148</v>
      </c>
      <c r="B35" s="9">
        <v>45679</v>
      </c>
      <c r="C35" s="14" t="s">
        <v>381</v>
      </c>
      <c r="D35" s="10" t="s">
        <v>372</v>
      </c>
      <c r="E35" s="9">
        <v>45673</v>
      </c>
      <c r="F35" s="10" t="s">
        <v>141</v>
      </c>
      <c r="G35" s="10" t="s">
        <v>142</v>
      </c>
      <c r="H35" s="10" t="s">
        <v>887</v>
      </c>
      <c r="I35" s="10" t="s">
        <v>23</v>
      </c>
      <c r="J35" s="10" t="s">
        <v>45</v>
      </c>
      <c r="K35" s="46" t="s">
        <v>520</v>
      </c>
      <c r="L35" s="10" t="s">
        <v>1</v>
      </c>
      <c r="M35" s="12">
        <v>125</v>
      </c>
      <c r="N35" s="12">
        <v>14750</v>
      </c>
      <c r="O35" s="12">
        <v>0</v>
      </c>
      <c r="P35" s="11">
        <v>1843750</v>
      </c>
      <c r="Q35" s="11">
        <f t="shared" si="4"/>
        <v>1843750</v>
      </c>
      <c r="R35" s="11">
        <v>202812.5</v>
      </c>
      <c r="S35" s="11"/>
      <c r="T35" s="11">
        <v>0</v>
      </c>
      <c r="U35" s="11">
        <f t="shared" si="3"/>
        <v>2046562.5</v>
      </c>
      <c r="V35" s="42">
        <v>125</v>
      </c>
    </row>
    <row r="36" spans="1:22" s="36" customFormat="1" ht="15.45" x14ac:dyDescent="0.35">
      <c r="A36" s="19" t="s">
        <v>106</v>
      </c>
      <c r="B36" s="9">
        <v>45664</v>
      </c>
      <c r="C36" s="14" t="s">
        <v>252</v>
      </c>
      <c r="D36" s="10" t="s">
        <v>253</v>
      </c>
      <c r="E36" s="9">
        <v>45664</v>
      </c>
      <c r="F36" s="10" t="s">
        <v>66</v>
      </c>
      <c r="G36" s="10" t="s">
        <v>53</v>
      </c>
      <c r="H36" s="10" t="s">
        <v>773</v>
      </c>
      <c r="I36" s="10" t="s">
        <v>23</v>
      </c>
      <c r="J36" s="10" t="s">
        <v>45</v>
      </c>
      <c r="K36" s="46" t="s">
        <v>524</v>
      </c>
      <c r="L36" s="10" t="s">
        <v>1</v>
      </c>
      <c r="M36" s="12">
        <f t="shared" ref="M36:M41" si="6">IF(LEFT(C36,2)="RP",V36*-1,V36)</f>
        <v>1000</v>
      </c>
      <c r="N36" s="12">
        <v>11500</v>
      </c>
      <c r="O36" s="12">
        <v>0</v>
      </c>
      <c r="P36" s="11">
        <v>11500000</v>
      </c>
      <c r="Q36" s="11">
        <f t="shared" si="4"/>
        <v>11500000</v>
      </c>
      <c r="R36" s="11">
        <v>1265000</v>
      </c>
      <c r="S36" s="11"/>
      <c r="T36" s="11">
        <v>0</v>
      </c>
      <c r="U36" s="11">
        <f t="shared" si="3"/>
        <v>12765000</v>
      </c>
      <c r="V36" s="42">
        <v>1000</v>
      </c>
    </row>
    <row r="37" spans="1:22" s="36" customFormat="1" ht="15.45" x14ac:dyDescent="0.35">
      <c r="A37" s="19" t="s">
        <v>106</v>
      </c>
      <c r="B37" s="9">
        <v>45670</v>
      </c>
      <c r="C37" s="14" t="s">
        <v>299</v>
      </c>
      <c r="D37" s="10" t="s">
        <v>253</v>
      </c>
      <c r="E37" s="9">
        <v>45664</v>
      </c>
      <c r="F37" s="10" t="s">
        <v>66</v>
      </c>
      <c r="G37" s="10" t="s">
        <v>53</v>
      </c>
      <c r="H37" s="10" t="s">
        <v>773</v>
      </c>
      <c r="I37" s="10" t="s">
        <v>23</v>
      </c>
      <c r="J37" s="10" t="s">
        <v>45</v>
      </c>
      <c r="K37" s="46" t="s">
        <v>526</v>
      </c>
      <c r="L37" s="10" t="s">
        <v>1</v>
      </c>
      <c r="M37" s="12">
        <f t="shared" si="6"/>
        <v>1000</v>
      </c>
      <c r="N37" s="12">
        <v>11500</v>
      </c>
      <c r="O37" s="12">
        <v>0</v>
      </c>
      <c r="P37" s="11">
        <v>11500000</v>
      </c>
      <c r="Q37" s="11">
        <f t="shared" si="4"/>
        <v>11500000</v>
      </c>
      <c r="R37" s="11">
        <v>1265000</v>
      </c>
      <c r="S37" s="11"/>
      <c r="T37" s="11">
        <v>0</v>
      </c>
      <c r="U37" s="11">
        <f t="shared" si="3"/>
        <v>12765000</v>
      </c>
      <c r="V37" s="42">
        <v>1000</v>
      </c>
    </row>
    <row r="38" spans="1:22" s="36" customFormat="1" ht="15.45" x14ac:dyDescent="0.35">
      <c r="A38" s="19" t="s">
        <v>115</v>
      </c>
      <c r="B38" s="9">
        <v>45669</v>
      </c>
      <c r="C38" s="14" t="s">
        <v>294</v>
      </c>
      <c r="D38" s="10" t="s">
        <v>246</v>
      </c>
      <c r="E38" s="9">
        <v>45657</v>
      </c>
      <c r="F38" s="10" t="s">
        <v>81</v>
      </c>
      <c r="G38" s="10" t="s">
        <v>89</v>
      </c>
      <c r="H38" s="10" t="s">
        <v>818</v>
      </c>
      <c r="I38" s="10" t="s">
        <v>25</v>
      </c>
      <c r="J38" s="10" t="s">
        <v>79</v>
      </c>
      <c r="K38" s="46" t="s">
        <v>496</v>
      </c>
      <c r="L38" s="10" t="s">
        <v>1</v>
      </c>
      <c r="M38" s="12">
        <f t="shared" si="6"/>
        <v>30490</v>
      </c>
      <c r="N38" s="12">
        <v>1565</v>
      </c>
      <c r="O38" s="12">
        <v>0</v>
      </c>
      <c r="P38" s="11">
        <v>47716850</v>
      </c>
      <c r="Q38" s="11">
        <f t="shared" si="4"/>
        <v>47716850</v>
      </c>
      <c r="R38" s="11">
        <v>5248853.5</v>
      </c>
      <c r="S38" s="11">
        <f>Q38*1.5%</f>
        <v>715752.75</v>
      </c>
      <c r="T38" s="11">
        <v>0</v>
      </c>
      <c r="U38" s="11">
        <f t="shared" si="3"/>
        <v>52249950.75</v>
      </c>
      <c r="V38" s="42">
        <v>30490</v>
      </c>
    </row>
    <row r="39" spans="1:22" s="36" customFormat="1" ht="15.45" x14ac:dyDescent="0.35">
      <c r="A39" s="19" t="s">
        <v>98</v>
      </c>
      <c r="B39" s="9">
        <v>45669</v>
      </c>
      <c r="C39" s="14" t="s">
        <v>295</v>
      </c>
      <c r="D39" s="10" t="s">
        <v>244</v>
      </c>
      <c r="E39" s="9">
        <v>45657</v>
      </c>
      <c r="F39" s="10" t="s">
        <v>84</v>
      </c>
      <c r="G39" s="10" t="s">
        <v>175</v>
      </c>
      <c r="H39" s="10" t="s">
        <v>818</v>
      </c>
      <c r="I39" s="10" t="s">
        <v>25</v>
      </c>
      <c r="J39" s="10" t="s">
        <v>79</v>
      </c>
      <c r="K39" s="46" t="s">
        <v>497</v>
      </c>
      <c r="L39" s="10" t="s">
        <v>1</v>
      </c>
      <c r="M39" s="12">
        <f t="shared" si="6"/>
        <v>31640</v>
      </c>
      <c r="N39" s="12">
        <v>1250</v>
      </c>
      <c r="O39" s="12">
        <v>0</v>
      </c>
      <c r="P39" s="11">
        <v>39550000</v>
      </c>
      <c r="Q39" s="11">
        <f t="shared" si="4"/>
        <v>39550000</v>
      </c>
      <c r="R39" s="11">
        <v>4350500</v>
      </c>
      <c r="S39" s="11">
        <f>Q39*1.5%</f>
        <v>593250</v>
      </c>
      <c r="T39" s="11">
        <v>0</v>
      </c>
      <c r="U39" s="11">
        <f t="shared" si="3"/>
        <v>43307250</v>
      </c>
      <c r="V39" s="42">
        <v>31640</v>
      </c>
    </row>
    <row r="40" spans="1:22" s="36" customFormat="1" ht="15.45" x14ac:dyDescent="0.35">
      <c r="A40" s="19" t="s">
        <v>102</v>
      </c>
      <c r="B40" s="9">
        <v>45670</v>
      </c>
      <c r="C40" s="14" t="s">
        <v>296</v>
      </c>
      <c r="D40" s="10" t="s">
        <v>241</v>
      </c>
      <c r="E40" s="9">
        <v>45650</v>
      </c>
      <c r="F40" s="10" t="s">
        <v>65</v>
      </c>
      <c r="G40" s="10" t="s">
        <v>48</v>
      </c>
      <c r="H40" s="10" t="s">
        <v>820</v>
      </c>
      <c r="I40" s="10" t="s">
        <v>24</v>
      </c>
      <c r="J40" s="10" t="s">
        <v>61</v>
      </c>
      <c r="K40" s="46" t="s">
        <v>425</v>
      </c>
      <c r="L40" s="10" t="s">
        <v>15</v>
      </c>
      <c r="M40" s="12">
        <f t="shared" si="6"/>
        <v>288</v>
      </c>
      <c r="N40" s="12">
        <v>8200</v>
      </c>
      <c r="O40" s="12">
        <v>0</v>
      </c>
      <c r="P40" s="11">
        <v>2361600</v>
      </c>
      <c r="Q40" s="11">
        <f t="shared" si="4"/>
        <v>2361600</v>
      </c>
      <c r="R40" s="11">
        <v>259776</v>
      </c>
      <c r="S40" s="11"/>
      <c r="T40" s="11">
        <v>0</v>
      </c>
      <c r="U40" s="11">
        <f t="shared" ref="U40:U71" si="7">Q40+R40-T40-S40</f>
        <v>2621376</v>
      </c>
      <c r="V40" s="42">
        <v>288</v>
      </c>
    </row>
    <row r="41" spans="1:22" s="36" customFormat="1" ht="15.45" x14ac:dyDescent="0.35">
      <c r="A41" s="19" t="s">
        <v>107</v>
      </c>
      <c r="B41" s="9">
        <v>45670</v>
      </c>
      <c r="C41" s="14" t="s">
        <v>297</v>
      </c>
      <c r="D41" s="10" t="s">
        <v>298</v>
      </c>
      <c r="E41" s="9">
        <v>45657</v>
      </c>
      <c r="F41" s="10" t="s">
        <v>60</v>
      </c>
      <c r="G41" s="10" t="s">
        <v>82</v>
      </c>
      <c r="H41" s="10" t="s">
        <v>820</v>
      </c>
      <c r="I41" s="10" t="s">
        <v>24</v>
      </c>
      <c r="J41" s="10" t="s">
        <v>61</v>
      </c>
      <c r="K41" s="46" t="s">
        <v>517</v>
      </c>
      <c r="L41" s="10" t="s">
        <v>1</v>
      </c>
      <c r="M41" s="12">
        <f t="shared" si="6"/>
        <v>1064.1500000000001</v>
      </c>
      <c r="N41" s="12">
        <v>24500</v>
      </c>
      <c r="O41" s="12">
        <v>0</v>
      </c>
      <c r="P41" s="11">
        <v>26071675</v>
      </c>
      <c r="Q41" s="11">
        <f t="shared" si="4"/>
        <v>26071675</v>
      </c>
      <c r="R41" s="11">
        <v>2867884.25</v>
      </c>
      <c r="S41" s="11"/>
      <c r="T41" s="11">
        <v>0</v>
      </c>
      <c r="U41" s="11">
        <f t="shared" si="7"/>
        <v>28939559.25</v>
      </c>
      <c r="V41" s="42">
        <v>1064.1500000000001</v>
      </c>
    </row>
    <row r="42" spans="1:22" s="36" customFormat="1" ht="15.45" x14ac:dyDescent="0.35">
      <c r="A42" s="19" t="s">
        <v>106</v>
      </c>
      <c r="B42" s="9">
        <v>45679</v>
      </c>
      <c r="C42" s="14" t="s">
        <v>394</v>
      </c>
      <c r="D42" s="10" t="s">
        <v>253</v>
      </c>
      <c r="E42" s="9">
        <v>45664</v>
      </c>
      <c r="F42" s="10" t="s">
        <v>66</v>
      </c>
      <c r="G42" s="10" t="s">
        <v>53</v>
      </c>
      <c r="H42" s="10" t="s">
        <v>773</v>
      </c>
      <c r="I42" s="10" t="s">
        <v>23</v>
      </c>
      <c r="J42" s="10" t="s">
        <v>45</v>
      </c>
      <c r="K42" s="46" t="s">
        <v>527</v>
      </c>
      <c r="L42" s="10" t="s">
        <v>1</v>
      </c>
      <c r="M42" s="12">
        <v>1000</v>
      </c>
      <c r="N42" s="12">
        <v>11500</v>
      </c>
      <c r="O42" s="12">
        <v>0</v>
      </c>
      <c r="P42" s="11">
        <v>11500000</v>
      </c>
      <c r="Q42" s="11">
        <f t="shared" si="4"/>
        <v>11500000</v>
      </c>
      <c r="R42" s="11">
        <v>1265000</v>
      </c>
      <c r="S42" s="11"/>
      <c r="T42" s="11">
        <v>0</v>
      </c>
      <c r="U42" s="11">
        <f t="shared" si="7"/>
        <v>12765000</v>
      </c>
      <c r="V42" s="42">
        <v>1000</v>
      </c>
    </row>
    <row r="43" spans="1:22" s="36" customFormat="1" ht="15.45" x14ac:dyDescent="0.35">
      <c r="A43" s="19" t="s">
        <v>329</v>
      </c>
      <c r="B43" s="9">
        <v>45670</v>
      </c>
      <c r="C43" s="14" t="s">
        <v>300</v>
      </c>
      <c r="D43" s="10" t="s">
        <v>301</v>
      </c>
      <c r="E43" s="9">
        <v>45667</v>
      </c>
      <c r="F43" s="10" t="s">
        <v>240</v>
      </c>
      <c r="G43" s="10" t="s">
        <v>302</v>
      </c>
      <c r="H43" s="10" t="s">
        <v>820</v>
      </c>
      <c r="I43" s="10" t="s">
        <v>24</v>
      </c>
      <c r="J43" s="10" t="s">
        <v>61</v>
      </c>
      <c r="K43" s="46" t="s">
        <v>494</v>
      </c>
      <c r="L43" s="10" t="s">
        <v>10</v>
      </c>
      <c r="M43" s="12">
        <f t="shared" ref="M43:M69" si="8">IF(LEFT(C43,2)="RP",V43*-1,V43)</f>
        <v>20</v>
      </c>
      <c r="N43" s="12">
        <v>647000</v>
      </c>
      <c r="O43" s="12">
        <v>16175</v>
      </c>
      <c r="P43" s="11">
        <v>12940000</v>
      </c>
      <c r="Q43" s="11">
        <f t="shared" si="4"/>
        <v>12940000</v>
      </c>
      <c r="R43" s="11">
        <v>1423400</v>
      </c>
      <c r="S43" s="11"/>
      <c r="T43" s="11">
        <v>0</v>
      </c>
      <c r="U43" s="11">
        <f t="shared" si="7"/>
        <v>14363400</v>
      </c>
      <c r="V43" s="42">
        <v>20</v>
      </c>
    </row>
    <row r="44" spans="1:22" s="36" customFormat="1" ht="15.45" x14ac:dyDescent="0.35">
      <c r="A44" s="19" t="s">
        <v>105</v>
      </c>
      <c r="B44" s="9">
        <v>45667</v>
      </c>
      <c r="C44" s="14" t="s">
        <v>292</v>
      </c>
      <c r="D44" s="10" t="s">
        <v>293</v>
      </c>
      <c r="E44" s="9">
        <v>45665</v>
      </c>
      <c r="F44" s="10" t="s">
        <v>85</v>
      </c>
      <c r="G44" s="10" t="s">
        <v>67</v>
      </c>
      <c r="H44" s="10" t="s">
        <v>886</v>
      </c>
      <c r="I44" s="10" t="s">
        <v>23</v>
      </c>
      <c r="J44" s="10" t="s">
        <v>45</v>
      </c>
      <c r="K44" s="46" t="s">
        <v>386</v>
      </c>
      <c r="L44" s="10" t="s">
        <v>1</v>
      </c>
      <c r="M44" s="12">
        <f t="shared" si="8"/>
        <v>300</v>
      </c>
      <c r="N44" s="12">
        <v>51760</v>
      </c>
      <c r="O44" s="12">
        <v>16175</v>
      </c>
      <c r="P44" s="11">
        <v>15528000</v>
      </c>
      <c r="Q44" s="11">
        <f t="shared" si="4"/>
        <v>15528000</v>
      </c>
      <c r="R44" s="11">
        <v>1708080</v>
      </c>
      <c r="S44" s="11"/>
      <c r="T44" s="11">
        <v>0</v>
      </c>
      <c r="U44" s="11">
        <f t="shared" si="7"/>
        <v>17236080</v>
      </c>
      <c r="V44" s="42">
        <v>300</v>
      </c>
    </row>
    <row r="45" spans="1:22" s="36" customFormat="1" ht="15.45" x14ac:dyDescent="0.35">
      <c r="A45" s="19" t="s">
        <v>108</v>
      </c>
      <c r="B45" s="9">
        <v>45670</v>
      </c>
      <c r="C45" s="14" t="s">
        <v>305</v>
      </c>
      <c r="D45" s="10" t="s">
        <v>306</v>
      </c>
      <c r="E45" s="9">
        <v>45667</v>
      </c>
      <c r="F45" s="10" t="s">
        <v>51</v>
      </c>
      <c r="G45" s="10" t="s">
        <v>212</v>
      </c>
      <c r="H45" s="10" t="s">
        <v>820</v>
      </c>
      <c r="I45" s="10" t="s">
        <v>24</v>
      </c>
      <c r="J45" s="10" t="s">
        <v>61</v>
      </c>
      <c r="K45" s="46" t="s">
        <v>531</v>
      </c>
      <c r="L45" s="10" t="s">
        <v>6</v>
      </c>
      <c r="M45" s="12">
        <f t="shared" si="8"/>
        <v>3</v>
      </c>
      <c r="N45" s="12">
        <v>200000</v>
      </c>
      <c r="O45" s="12">
        <v>0</v>
      </c>
      <c r="P45" s="11">
        <v>600000</v>
      </c>
      <c r="Q45" s="11">
        <f t="shared" si="4"/>
        <v>600000</v>
      </c>
      <c r="R45" s="11">
        <v>66000</v>
      </c>
      <c r="S45" s="11"/>
      <c r="T45" s="11">
        <v>0</v>
      </c>
      <c r="U45" s="11">
        <f t="shared" si="7"/>
        <v>666000</v>
      </c>
      <c r="V45" s="42">
        <v>3</v>
      </c>
    </row>
    <row r="46" spans="1:22" s="36" customFormat="1" ht="15.45" x14ac:dyDescent="0.35">
      <c r="A46" s="19" t="s">
        <v>105</v>
      </c>
      <c r="B46" s="9">
        <v>45687</v>
      </c>
      <c r="C46" s="14" t="s">
        <v>422</v>
      </c>
      <c r="D46" s="10" t="s">
        <v>293</v>
      </c>
      <c r="E46" s="9">
        <v>45665</v>
      </c>
      <c r="F46" s="10" t="s">
        <v>85</v>
      </c>
      <c r="G46" s="10" t="s">
        <v>67</v>
      </c>
      <c r="H46" s="10" t="s">
        <v>886</v>
      </c>
      <c r="I46" s="10" t="s">
        <v>23</v>
      </c>
      <c r="J46" s="10" t="s">
        <v>45</v>
      </c>
      <c r="K46" s="46" t="s">
        <v>522</v>
      </c>
      <c r="L46" s="10" t="s">
        <v>1</v>
      </c>
      <c r="M46" s="12">
        <f t="shared" si="8"/>
        <v>300</v>
      </c>
      <c r="N46" s="12">
        <v>51760</v>
      </c>
      <c r="O46" s="12">
        <v>16175</v>
      </c>
      <c r="P46" s="11">
        <v>15528000</v>
      </c>
      <c r="Q46" s="11">
        <f t="shared" si="4"/>
        <v>15528000</v>
      </c>
      <c r="R46" s="11">
        <v>1708080</v>
      </c>
      <c r="S46" s="11"/>
      <c r="T46" s="11">
        <v>0</v>
      </c>
      <c r="U46" s="11">
        <f t="shared" si="7"/>
        <v>17236080</v>
      </c>
      <c r="V46" s="42">
        <v>300</v>
      </c>
    </row>
    <row r="47" spans="1:22" s="36" customFormat="1" ht="15.45" x14ac:dyDescent="0.35">
      <c r="A47" s="19" t="s">
        <v>115</v>
      </c>
      <c r="B47" s="9">
        <v>45670</v>
      </c>
      <c r="C47" s="14" t="s">
        <v>309</v>
      </c>
      <c r="D47" s="10" t="s">
        <v>246</v>
      </c>
      <c r="E47" s="9">
        <v>45657</v>
      </c>
      <c r="F47" s="10" t="s">
        <v>81</v>
      </c>
      <c r="G47" s="10" t="s">
        <v>89</v>
      </c>
      <c r="H47" s="10" t="s">
        <v>818</v>
      </c>
      <c r="I47" s="10" t="s">
        <v>25</v>
      </c>
      <c r="J47" s="10" t="s">
        <v>79</v>
      </c>
      <c r="K47" s="46" t="s">
        <v>496</v>
      </c>
      <c r="L47" s="10" t="s">
        <v>1</v>
      </c>
      <c r="M47" s="12">
        <f t="shared" si="8"/>
        <v>29250</v>
      </c>
      <c r="N47" s="12">
        <v>1565</v>
      </c>
      <c r="O47" s="12">
        <v>0</v>
      </c>
      <c r="P47" s="11">
        <v>45776250</v>
      </c>
      <c r="Q47" s="11">
        <f t="shared" ref="Q47:Q78" si="9">P47</f>
        <v>45776250</v>
      </c>
      <c r="R47" s="11">
        <v>5035387.5</v>
      </c>
      <c r="S47" s="11">
        <f>Q47*1.5%</f>
        <v>686643.75</v>
      </c>
      <c r="T47" s="11">
        <v>0</v>
      </c>
      <c r="U47" s="11">
        <f t="shared" si="7"/>
        <v>50124993.75</v>
      </c>
      <c r="V47" s="42">
        <v>29250</v>
      </c>
    </row>
    <row r="48" spans="1:22" s="36" customFormat="1" ht="15.45" x14ac:dyDescent="0.35">
      <c r="A48" s="19" t="s">
        <v>105</v>
      </c>
      <c r="B48" s="9">
        <v>45667</v>
      </c>
      <c r="C48" s="14" t="s">
        <v>290</v>
      </c>
      <c r="D48" s="10" t="s">
        <v>291</v>
      </c>
      <c r="E48" s="9">
        <v>45665</v>
      </c>
      <c r="F48" s="10" t="s">
        <v>85</v>
      </c>
      <c r="G48" s="10" t="s">
        <v>91</v>
      </c>
      <c r="H48" s="10" t="s">
        <v>886</v>
      </c>
      <c r="I48" s="10" t="s">
        <v>23</v>
      </c>
      <c r="J48" s="10" t="s">
        <v>45</v>
      </c>
      <c r="K48" s="46" t="s">
        <v>385</v>
      </c>
      <c r="L48" s="10" t="s">
        <v>1</v>
      </c>
      <c r="M48" s="12">
        <f t="shared" si="8"/>
        <v>400</v>
      </c>
      <c r="N48" s="12">
        <v>77640</v>
      </c>
      <c r="O48" s="12">
        <v>16175</v>
      </c>
      <c r="P48" s="11">
        <v>31056000</v>
      </c>
      <c r="Q48" s="11">
        <f t="shared" si="9"/>
        <v>31056000</v>
      </c>
      <c r="R48" s="11">
        <v>3416160</v>
      </c>
      <c r="S48" s="11"/>
      <c r="T48" s="11">
        <v>0</v>
      </c>
      <c r="U48" s="11">
        <f t="shared" si="7"/>
        <v>34472160</v>
      </c>
      <c r="V48" s="42">
        <v>400</v>
      </c>
    </row>
    <row r="49" spans="1:22" s="36" customFormat="1" ht="15.45" x14ac:dyDescent="0.35">
      <c r="A49" s="19" t="s">
        <v>105</v>
      </c>
      <c r="B49" s="9">
        <v>45687</v>
      </c>
      <c r="C49" s="14" t="s">
        <v>421</v>
      </c>
      <c r="D49" s="10" t="s">
        <v>291</v>
      </c>
      <c r="E49" s="9">
        <v>45665</v>
      </c>
      <c r="F49" s="10" t="s">
        <v>85</v>
      </c>
      <c r="G49" s="10" t="s">
        <v>91</v>
      </c>
      <c r="H49" s="10" t="s">
        <v>886</v>
      </c>
      <c r="I49" s="10" t="s">
        <v>23</v>
      </c>
      <c r="J49" s="10" t="s">
        <v>45</v>
      </c>
      <c r="K49" s="46" t="s">
        <v>521</v>
      </c>
      <c r="L49" s="10" t="s">
        <v>1</v>
      </c>
      <c r="M49" s="12">
        <f t="shared" si="8"/>
        <v>400</v>
      </c>
      <c r="N49" s="12">
        <v>77640</v>
      </c>
      <c r="O49" s="12">
        <v>16175</v>
      </c>
      <c r="P49" s="11">
        <v>31056000</v>
      </c>
      <c r="Q49" s="11">
        <f t="shared" si="9"/>
        <v>31056000</v>
      </c>
      <c r="R49" s="11">
        <v>3416160</v>
      </c>
      <c r="S49" s="11"/>
      <c r="T49" s="11">
        <v>0</v>
      </c>
      <c r="U49" s="11">
        <f t="shared" si="7"/>
        <v>34472160</v>
      </c>
      <c r="V49" s="42">
        <v>400</v>
      </c>
    </row>
    <row r="50" spans="1:22" s="36" customFormat="1" ht="15.45" x14ac:dyDescent="0.35">
      <c r="A50" s="19" t="s">
        <v>209</v>
      </c>
      <c r="B50" s="9">
        <v>45671</v>
      </c>
      <c r="C50" s="14" t="s">
        <v>312</v>
      </c>
      <c r="D50" s="10" t="s">
        <v>313</v>
      </c>
      <c r="E50" s="9">
        <v>45667</v>
      </c>
      <c r="F50" s="10" t="s">
        <v>208</v>
      </c>
      <c r="G50" s="10" t="s">
        <v>152</v>
      </c>
      <c r="H50" s="10" t="s">
        <v>820</v>
      </c>
      <c r="I50" s="10" t="s">
        <v>24</v>
      </c>
      <c r="J50" s="10" t="s">
        <v>61</v>
      </c>
      <c r="K50" s="46"/>
      <c r="L50" s="10" t="s">
        <v>140</v>
      </c>
      <c r="M50" s="12">
        <f t="shared" si="8"/>
        <v>5</v>
      </c>
      <c r="N50" s="12">
        <v>810000</v>
      </c>
      <c r="O50" s="12">
        <v>0</v>
      </c>
      <c r="P50" s="11">
        <v>4050000</v>
      </c>
      <c r="Q50" s="11">
        <f t="shared" si="9"/>
        <v>4050000</v>
      </c>
      <c r="R50" s="11">
        <v>0</v>
      </c>
      <c r="S50" s="11"/>
      <c r="T50" s="11">
        <v>0</v>
      </c>
      <c r="U50" s="11">
        <f t="shared" si="7"/>
        <v>4050000</v>
      </c>
      <c r="V50" s="42">
        <v>5</v>
      </c>
    </row>
    <row r="51" spans="1:22" s="36" customFormat="1" ht="15.45" x14ac:dyDescent="0.35">
      <c r="A51" s="19" t="s">
        <v>209</v>
      </c>
      <c r="B51" s="9">
        <v>45671</v>
      </c>
      <c r="C51" s="14" t="s">
        <v>312</v>
      </c>
      <c r="D51" s="10" t="s">
        <v>313</v>
      </c>
      <c r="E51" s="9">
        <v>45667</v>
      </c>
      <c r="F51" s="10" t="s">
        <v>208</v>
      </c>
      <c r="G51" s="10" t="s">
        <v>314</v>
      </c>
      <c r="H51" s="10" t="s">
        <v>820</v>
      </c>
      <c r="I51" s="10" t="s">
        <v>24</v>
      </c>
      <c r="J51" s="10" t="s">
        <v>61</v>
      </c>
      <c r="K51" s="46"/>
      <c r="L51" s="10" t="s">
        <v>6</v>
      </c>
      <c r="M51" s="12">
        <f t="shared" si="8"/>
        <v>10</v>
      </c>
      <c r="N51" s="12">
        <v>225000</v>
      </c>
      <c r="O51" s="12">
        <v>0</v>
      </c>
      <c r="P51" s="11">
        <v>2250000</v>
      </c>
      <c r="Q51" s="11">
        <f t="shared" si="9"/>
        <v>2250000</v>
      </c>
      <c r="R51" s="11">
        <v>0</v>
      </c>
      <c r="S51" s="11"/>
      <c r="T51" s="11">
        <v>0</v>
      </c>
      <c r="U51" s="11">
        <f t="shared" si="7"/>
        <v>2250000</v>
      </c>
      <c r="V51" s="42">
        <v>10</v>
      </c>
    </row>
    <row r="52" spans="1:22" s="36" customFormat="1" ht="15.45" x14ac:dyDescent="0.35">
      <c r="A52" s="20" t="s">
        <v>328</v>
      </c>
      <c r="B52" s="9">
        <v>45671</v>
      </c>
      <c r="C52" s="14" t="s">
        <v>315</v>
      </c>
      <c r="D52" s="10" t="s">
        <v>316</v>
      </c>
      <c r="E52" s="9">
        <v>45667</v>
      </c>
      <c r="F52" s="10" t="s">
        <v>196</v>
      </c>
      <c r="G52" s="10" t="s">
        <v>229</v>
      </c>
      <c r="H52" s="10" t="s">
        <v>820</v>
      </c>
      <c r="I52" s="10" t="s">
        <v>24</v>
      </c>
      <c r="J52" s="10" t="s">
        <v>61</v>
      </c>
      <c r="K52" s="46"/>
      <c r="L52" s="10" t="s">
        <v>16</v>
      </c>
      <c r="M52" s="12">
        <f t="shared" si="8"/>
        <v>1</v>
      </c>
      <c r="N52" s="12">
        <v>11000000</v>
      </c>
      <c r="O52" s="12">
        <v>0</v>
      </c>
      <c r="P52" s="11">
        <v>11000000</v>
      </c>
      <c r="Q52" s="11">
        <f t="shared" si="9"/>
        <v>11000000</v>
      </c>
      <c r="R52" s="11">
        <v>0</v>
      </c>
      <c r="S52" s="11"/>
      <c r="T52" s="11">
        <v>0</v>
      </c>
      <c r="U52" s="11">
        <f t="shared" si="7"/>
        <v>11000000</v>
      </c>
      <c r="V52" s="42">
        <v>1</v>
      </c>
    </row>
    <row r="53" spans="1:22" s="36" customFormat="1" ht="15.45" x14ac:dyDescent="0.35">
      <c r="A53" s="19" t="s">
        <v>224</v>
      </c>
      <c r="B53" s="9">
        <v>45671</v>
      </c>
      <c r="C53" s="14" t="s">
        <v>317</v>
      </c>
      <c r="D53" s="10" t="s">
        <v>318</v>
      </c>
      <c r="E53" s="9">
        <v>45670</v>
      </c>
      <c r="F53" s="10" t="s">
        <v>223</v>
      </c>
      <c r="G53" s="10" t="s">
        <v>228</v>
      </c>
      <c r="H53" s="10" t="s">
        <v>820</v>
      </c>
      <c r="I53" s="10" t="s">
        <v>24</v>
      </c>
      <c r="J53" s="10" t="s">
        <v>61</v>
      </c>
      <c r="K53" s="46" t="s">
        <v>473</v>
      </c>
      <c r="L53" s="10" t="s">
        <v>16</v>
      </c>
      <c r="M53" s="12">
        <f t="shared" si="8"/>
        <v>1</v>
      </c>
      <c r="N53" s="12">
        <v>4750000</v>
      </c>
      <c r="O53" s="12">
        <v>0</v>
      </c>
      <c r="P53" s="11">
        <v>4750000</v>
      </c>
      <c r="Q53" s="11">
        <f t="shared" si="9"/>
        <v>4750000</v>
      </c>
      <c r="R53" s="11">
        <v>522500</v>
      </c>
      <c r="S53" s="11"/>
      <c r="T53" s="11">
        <v>0</v>
      </c>
      <c r="U53" s="11">
        <f t="shared" si="7"/>
        <v>5272500</v>
      </c>
      <c r="V53" s="42">
        <v>1</v>
      </c>
    </row>
    <row r="54" spans="1:22" s="36" customFormat="1" ht="15.45" x14ac:dyDescent="0.35">
      <c r="A54" s="19" t="s">
        <v>187</v>
      </c>
      <c r="B54" s="9">
        <v>45671</v>
      </c>
      <c r="C54" s="14" t="s">
        <v>319</v>
      </c>
      <c r="D54" s="10" t="s">
        <v>320</v>
      </c>
      <c r="E54" s="9">
        <v>45670</v>
      </c>
      <c r="F54" s="10" t="s">
        <v>186</v>
      </c>
      <c r="G54" s="10" t="s">
        <v>89</v>
      </c>
      <c r="H54" s="10" t="s">
        <v>818</v>
      </c>
      <c r="I54" s="10" t="s">
        <v>25</v>
      </c>
      <c r="J54" s="10" t="s">
        <v>79</v>
      </c>
      <c r="K54" s="46" t="s">
        <v>384</v>
      </c>
      <c r="L54" s="10" t="s">
        <v>1</v>
      </c>
      <c r="M54" s="12">
        <f t="shared" si="8"/>
        <v>29870</v>
      </c>
      <c r="N54" s="12">
        <v>1575</v>
      </c>
      <c r="O54" s="12">
        <v>0</v>
      </c>
      <c r="P54" s="11">
        <v>47045250</v>
      </c>
      <c r="Q54" s="11">
        <f t="shared" si="9"/>
        <v>47045250</v>
      </c>
      <c r="R54" s="11">
        <v>5174977.5</v>
      </c>
      <c r="S54" s="11">
        <f>Q54*1.5%</f>
        <v>705678.75</v>
      </c>
      <c r="T54" s="11">
        <v>0</v>
      </c>
      <c r="U54" s="11">
        <f t="shared" si="7"/>
        <v>51514548.75</v>
      </c>
      <c r="V54" s="42">
        <v>29870</v>
      </c>
    </row>
    <row r="55" spans="1:22" s="36" customFormat="1" ht="15.45" x14ac:dyDescent="0.35">
      <c r="A55" s="19" t="s">
        <v>117</v>
      </c>
      <c r="B55" s="9">
        <v>45671</v>
      </c>
      <c r="C55" s="14" t="s">
        <v>321</v>
      </c>
      <c r="D55" s="10" t="s">
        <v>322</v>
      </c>
      <c r="E55" s="9">
        <v>45671</v>
      </c>
      <c r="F55" s="10" t="s">
        <v>68</v>
      </c>
      <c r="G55" s="10" t="s">
        <v>180</v>
      </c>
      <c r="H55" s="10" t="s">
        <v>820</v>
      </c>
      <c r="I55" s="10" t="s">
        <v>24</v>
      </c>
      <c r="J55" s="10" t="s">
        <v>61</v>
      </c>
      <c r="K55" s="46" t="s">
        <v>490</v>
      </c>
      <c r="L55" s="10" t="s">
        <v>1</v>
      </c>
      <c r="M55" s="12">
        <f t="shared" si="8"/>
        <v>2</v>
      </c>
      <c r="N55" s="12">
        <v>12613</v>
      </c>
      <c r="O55" s="12">
        <v>0</v>
      </c>
      <c r="P55" s="11">
        <v>25226</v>
      </c>
      <c r="Q55" s="11">
        <f t="shared" si="9"/>
        <v>25226</v>
      </c>
      <c r="R55" s="11">
        <v>2774.86</v>
      </c>
      <c r="S55" s="11"/>
      <c r="T55" s="11">
        <v>0</v>
      </c>
      <c r="U55" s="11">
        <f t="shared" si="7"/>
        <v>28000.86</v>
      </c>
      <c r="V55" s="42">
        <v>2</v>
      </c>
    </row>
    <row r="56" spans="1:22" s="36" customFormat="1" ht="15.45" x14ac:dyDescent="0.35">
      <c r="A56" s="19" t="s">
        <v>117</v>
      </c>
      <c r="B56" s="9">
        <v>45671</v>
      </c>
      <c r="C56" s="14" t="s">
        <v>321</v>
      </c>
      <c r="D56" s="10" t="s">
        <v>322</v>
      </c>
      <c r="E56" s="9">
        <v>45671</v>
      </c>
      <c r="F56" s="10" t="s">
        <v>68</v>
      </c>
      <c r="G56" s="10" t="s">
        <v>146</v>
      </c>
      <c r="H56" s="10" t="s">
        <v>820</v>
      </c>
      <c r="I56" s="10" t="s">
        <v>24</v>
      </c>
      <c r="J56" s="10" t="s">
        <v>61</v>
      </c>
      <c r="K56" s="46" t="s">
        <v>490</v>
      </c>
      <c r="L56" s="10" t="s">
        <v>3</v>
      </c>
      <c r="M56" s="12">
        <f t="shared" si="8"/>
        <v>3</v>
      </c>
      <c r="N56" s="12">
        <v>40991</v>
      </c>
      <c r="O56" s="12">
        <v>0</v>
      </c>
      <c r="P56" s="11">
        <v>122973</v>
      </c>
      <c r="Q56" s="11">
        <f t="shared" si="9"/>
        <v>122973</v>
      </c>
      <c r="R56" s="11">
        <v>13527.03</v>
      </c>
      <c r="S56" s="11"/>
      <c r="T56" s="11">
        <v>0</v>
      </c>
      <c r="U56" s="11">
        <f t="shared" si="7"/>
        <v>136500.03</v>
      </c>
      <c r="V56" s="42">
        <v>3</v>
      </c>
    </row>
    <row r="57" spans="1:22" s="36" customFormat="1" ht="15.45" x14ac:dyDescent="0.35">
      <c r="A57" s="19" t="s">
        <v>150</v>
      </c>
      <c r="B57" s="9">
        <v>45671</v>
      </c>
      <c r="C57" s="14" t="s">
        <v>323</v>
      </c>
      <c r="D57" s="10" t="s">
        <v>324</v>
      </c>
      <c r="E57" s="9">
        <v>45671</v>
      </c>
      <c r="F57" s="10" t="s">
        <v>147</v>
      </c>
      <c r="G57" s="10" t="s">
        <v>226</v>
      </c>
      <c r="H57" s="10" t="s">
        <v>820</v>
      </c>
      <c r="I57" s="10" t="s">
        <v>24</v>
      </c>
      <c r="J57" s="10" t="s">
        <v>61</v>
      </c>
      <c r="K57" s="46"/>
      <c r="L57" s="10" t="s">
        <v>124</v>
      </c>
      <c r="M57" s="12">
        <f t="shared" si="8"/>
        <v>9</v>
      </c>
      <c r="N57" s="12">
        <v>80000</v>
      </c>
      <c r="O57" s="12">
        <v>0</v>
      </c>
      <c r="P57" s="11">
        <v>720000</v>
      </c>
      <c r="Q57" s="11">
        <f t="shared" si="9"/>
        <v>720000</v>
      </c>
      <c r="R57" s="11">
        <v>0</v>
      </c>
      <c r="S57" s="11"/>
      <c r="T57" s="11">
        <v>0</v>
      </c>
      <c r="U57" s="11">
        <f t="shared" si="7"/>
        <v>720000</v>
      </c>
      <c r="V57" s="42">
        <v>9</v>
      </c>
    </row>
    <row r="58" spans="1:22" s="36" customFormat="1" ht="15.45" x14ac:dyDescent="0.35">
      <c r="A58" s="19" t="s">
        <v>150</v>
      </c>
      <c r="B58" s="9">
        <v>45671</v>
      </c>
      <c r="C58" s="14" t="s">
        <v>323</v>
      </c>
      <c r="D58" s="10" t="s">
        <v>324</v>
      </c>
      <c r="E58" s="9">
        <v>45671</v>
      </c>
      <c r="F58" s="10" t="s">
        <v>147</v>
      </c>
      <c r="G58" s="10" t="s">
        <v>202</v>
      </c>
      <c r="H58" s="10" t="s">
        <v>820</v>
      </c>
      <c r="I58" s="10" t="s">
        <v>24</v>
      </c>
      <c r="J58" s="10" t="s">
        <v>61</v>
      </c>
      <c r="K58" s="46"/>
      <c r="L58" s="10" t="s">
        <v>145</v>
      </c>
      <c r="M58" s="12">
        <f t="shared" si="8"/>
        <v>20</v>
      </c>
      <c r="N58" s="12">
        <v>4000</v>
      </c>
      <c r="O58" s="12">
        <v>0</v>
      </c>
      <c r="P58" s="11">
        <v>80000</v>
      </c>
      <c r="Q58" s="11">
        <f t="shared" si="9"/>
        <v>80000</v>
      </c>
      <c r="R58" s="11">
        <v>0</v>
      </c>
      <c r="S58" s="11"/>
      <c r="T58" s="11">
        <v>0</v>
      </c>
      <c r="U58" s="11">
        <f t="shared" si="7"/>
        <v>80000</v>
      </c>
      <c r="V58" s="42">
        <v>20</v>
      </c>
    </row>
    <row r="59" spans="1:22" s="36" customFormat="1" ht="15.45" x14ac:dyDescent="0.35">
      <c r="A59" s="19" t="s">
        <v>150</v>
      </c>
      <c r="B59" s="9">
        <v>45671</v>
      </c>
      <c r="C59" s="14" t="s">
        <v>323</v>
      </c>
      <c r="D59" s="10" t="s">
        <v>324</v>
      </c>
      <c r="E59" s="9">
        <v>45671</v>
      </c>
      <c r="F59" s="10" t="s">
        <v>147</v>
      </c>
      <c r="G59" s="10" t="s">
        <v>325</v>
      </c>
      <c r="H59" s="10" t="s">
        <v>820</v>
      </c>
      <c r="I59" s="10" t="s">
        <v>24</v>
      </c>
      <c r="J59" s="10" t="s">
        <v>61</v>
      </c>
      <c r="K59" s="46"/>
      <c r="L59" s="10" t="s">
        <v>145</v>
      </c>
      <c r="M59" s="12">
        <f t="shared" si="8"/>
        <v>9</v>
      </c>
      <c r="N59" s="12">
        <v>85000</v>
      </c>
      <c r="O59" s="12">
        <v>0</v>
      </c>
      <c r="P59" s="11">
        <v>765000</v>
      </c>
      <c r="Q59" s="11">
        <f t="shared" si="9"/>
        <v>765000</v>
      </c>
      <c r="R59" s="11">
        <v>0</v>
      </c>
      <c r="S59" s="11"/>
      <c r="T59" s="11">
        <v>0</v>
      </c>
      <c r="U59" s="11">
        <f t="shared" si="7"/>
        <v>765000</v>
      </c>
      <c r="V59" s="42">
        <v>9</v>
      </c>
    </row>
    <row r="60" spans="1:22" s="36" customFormat="1" ht="15.45" x14ac:dyDescent="0.35">
      <c r="A60" s="19" t="s">
        <v>150</v>
      </c>
      <c r="B60" s="9">
        <v>45671</v>
      </c>
      <c r="C60" s="14" t="s">
        <v>323</v>
      </c>
      <c r="D60" s="10" t="s">
        <v>324</v>
      </c>
      <c r="E60" s="9">
        <v>45671</v>
      </c>
      <c r="F60" s="10" t="s">
        <v>147</v>
      </c>
      <c r="G60" s="10" t="s">
        <v>181</v>
      </c>
      <c r="H60" s="10" t="s">
        <v>820</v>
      </c>
      <c r="I60" s="10" t="s">
        <v>24</v>
      </c>
      <c r="J60" s="10" t="s">
        <v>61</v>
      </c>
      <c r="K60" s="46"/>
      <c r="L60" s="10" t="s">
        <v>1</v>
      </c>
      <c r="M60" s="12">
        <f t="shared" si="8"/>
        <v>2</v>
      </c>
      <c r="N60" s="12">
        <v>14000</v>
      </c>
      <c r="O60" s="12">
        <v>0</v>
      </c>
      <c r="P60" s="11">
        <v>28000</v>
      </c>
      <c r="Q60" s="11">
        <f t="shared" si="9"/>
        <v>28000</v>
      </c>
      <c r="R60" s="11">
        <v>0</v>
      </c>
      <c r="S60" s="11"/>
      <c r="T60" s="11">
        <v>0</v>
      </c>
      <c r="U60" s="11">
        <f t="shared" si="7"/>
        <v>28000</v>
      </c>
      <c r="V60" s="42">
        <v>2</v>
      </c>
    </row>
    <row r="61" spans="1:22" s="36" customFormat="1" ht="15.45" x14ac:dyDescent="0.35">
      <c r="A61" s="19" t="s">
        <v>149</v>
      </c>
      <c r="B61" s="9">
        <v>45672</v>
      </c>
      <c r="C61" s="14" t="s">
        <v>326</v>
      </c>
      <c r="D61" s="10" t="s">
        <v>327</v>
      </c>
      <c r="E61" s="9">
        <v>45667</v>
      </c>
      <c r="F61" s="10" t="s">
        <v>143</v>
      </c>
      <c r="G61" s="10" t="s">
        <v>199</v>
      </c>
      <c r="H61" s="10" t="s">
        <v>820</v>
      </c>
      <c r="I61" s="10" t="s">
        <v>24</v>
      </c>
      <c r="J61" s="10" t="s">
        <v>61</v>
      </c>
      <c r="K61" s="46" t="s">
        <v>493</v>
      </c>
      <c r="L61" s="10" t="s">
        <v>6</v>
      </c>
      <c r="M61" s="12">
        <f t="shared" si="8"/>
        <v>2</v>
      </c>
      <c r="N61" s="12">
        <v>3000000</v>
      </c>
      <c r="O61" s="12">
        <v>0</v>
      </c>
      <c r="P61" s="11">
        <v>6000000</v>
      </c>
      <c r="Q61" s="11">
        <f t="shared" si="9"/>
        <v>6000000</v>
      </c>
      <c r="R61" s="11">
        <v>660000</v>
      </c>
      <c r="S61" s="11"/>
      <c r="T61" s="11">
        <v>0</v>
      </c>
      <c r="U61" s="11">
        <f t="shared" si="7"/>
        <v>6660000</v>
      </c>
      <c r="V61" s="42">
        <v>2</v>
      </c>
    </row>
    <row r="62" spans="1:22" s="36" customFormat="1" ht="15.45" x14ac:dyDescent="0.35">
      <c r="A62" s="19" t="s">
        <v>132</v>
      </c>
      <c r="B62" s="9">
        <v>45673</v>
      </c>
      <c r="C62" s="14" t="s">
        <v>330</v>
      </c>
      <c r="D62" s="10" t="s">
        <v>331</v>
      </c>
      <c r="E62" s="9">
        <v>45673</v>
      </c>
      <c r="F62" s="10" t="s">
        <v>129</v>
      </c>
      <c r="G62" s="10" t="s">
        <v>332</v>
      </c>
      <c r="H62" s="10" t="s">
        <v>820</v>
      </c>
      <c r="I62" s="10" t="s">
        <v>24</v>
      </c>
      <c r="J62" s="10" t="s">
        <v>61</v>
      </c>
      <c r="K62" s="46"/>
      <c r="L62" s="10" t="s">
        <v>6</v>
      </c>
      <c r="M62" s="12">
        <f t="shared" si="8"/>
        <v>20</v>
      </c>
      <c r="N62" s="12">
        <v>4500</v>
      </c>
      <c r="O62" s="12">
        <v>0</v>
      </c>
      <c r="P62" s="11">
        <v>90000</v>
      </c>
      <c r="Q62" s="11">
        <f t="shared" si="9"/>
        <v>90000</v>
      </c>
      <c r="R62" s="11">
        <v>0</v>
      </c>
      <c r="S62" s="11"/>
      <c r="T62" s="11">
        <v>0</v>
      </c>
      <c r="U62" s="11">
        <f t="shared" si="7"/>
        <v>90000</v>
      </c>
      <c r="V62" s="42">
        <v>20</v>
      </c>
    </row>
    <row r="63" spans="1:22" s="36" customFormat="1" ht="15.45" x14ac:dyDescent="0.35">
      <c r="A63" s="19" t="s">
        <v>132</v>
      </c>
      <c r="B63" s="9">
        <v>45673</v>
      </c>
      <c r="C63" s="14" t="s">
        <v>330</v>
      </c>
      <c r="D63" s="10" t="s">
        <v>331</v>
      </c>
      <c r="E63" s="9">
        <v>45673</v>
      </c>
      <c r="F63" s="10" t="s">
        <v>129</v>
      </c>
      <c r="G63" s="10" t="s">
        <v>130</v>
      </c>
      <c r="H63" s="10" t="s">
        <v>820</v>
      </c>
      <c r="I63" s="10" t="s">
        <v>24</v>
      </c>
      <c r="J63" s="10" t="s">
        <v>61</v>
      </c>
      <c r="K63" s="46"/>
      <c r="L63" s="10" t="s">
        <v>10</v>
      </c>
      <c r="M63" s="12">
        <f t="shared" si="8"/>
        <v>50</v>
      </c>
      <c r="N63" s="12">
        <v>800</v>
      </c>
      <c r="O63" s="12">
        <v>0</v>
      </c>
      <c r="P63" s="11">
        <v>40000</v>
      </c>
      <c r="Q63" s="11">
        <f t="shared" si="9"/>
        <v>40000</v>
      </c>
      <c r="R63" s="11">
        <v>0</v>
      </c>
      <c r="S63" s="11"/>
      <c r="T63" s="11">
        <v>0</v>
      </c>
      <c r="U63" s="11">
        <f t="shared" si="7"/>
        <v>40000</v>
      </c>
      <c r="V63" s="42">
        <v>50</v>
      </c>
    </row>
    <row r="64" spans="1:22" s="36" customFormat="1" ht="15.45" x14ac:dyDescent="0.35">
      <c r="A64" s="19" t="s">
        <v>113</v>
      </c>
      <c r="B64" s="9">
        <v>45673</v>
      </c>
      <c r="C64" s="14" t="s">
        <v>333</v>
      </c>
      <c r="D64" s="10" t="s">
        <v>334</v>
      </c>
      <c r="E64" s="9">
        <v>45673</v>
      </c>
      <c r="F64" s="10" t="s">
        <v>42</v>
      </c>
      <c r="G64" s="10" t="s">
        <v>227</v>
      </c>
      <c r="H64" s="10" t="s">
        <v>820</v>
      </c>
      <c r="I64" s="10" t="s">
        <v>24</v>
      </c>
      <c r="J64" s="10" t="s">
        <v>61</v>
      </c>
      <c r="K64" s="46"/>
      <c r="L64" s="10" t="s">
        <v>8</v>
      </c>
      <c r="M64" s="12">
        <f t="shared" si="8"/>
        <v>36</v>
      </c>
      <c r="N64" s="12">
        <v>3750</v>
      </c>
      <c r="O64" s="12">
        <v>0</v>
      </c>
      <c r="P64" s="11">
        <v>135000</v>
      </c>
      <c r="Q64" s="11">
        <f t="shared" si="9"/>
        <v>135000</v>
      </c>
      <c r="R64" s="11">
        <v>0</v>
      </c>
      <c r="S64" s="11"/>
      <c r="T64" s="11">
        <v>0</v>
      </c>
      <c r="U64" s="11">
        <f t="shared" si="7"/>
        <v>135000</v>
      </c>
      <c r="V64" s="42">
        <v>36</v>
      </c>
    </row>
    <row r="65" spans="1:22" s="36" customFormat="1" ht="15.45" x14ac:dyDescent="0.35">
      <c r="A65" s="19" t="s">
        <v>113</v>
      </c>
      <c r="B65" s="9">
        <v>45673</v>
      </c>
      <c r="C65" s="14" t="s">
        <v>333</v>
      </c>
      <c r="D65" s="10" t="s">
        <v>334</v>
      </c>
      <c r="E65" s="9">
        <v>45673</v>
      </c>
      <c r="F65" s="10" t="s">
        <v>42</v>
      </c>
      <c r="G65" s="10" t="s">
        <v>335</v>
      </c>
      <c r="H65" s="10" t="s">
        <v>820</v>
      </c>
      <c r="I65" s="10" t="s">
        <v>24</v>
      </c>
      <c r="J65" s="10" t="s">
        <v>61</v>
      </c>
      <c r="K65" s="46"/>
      <c r="L65" s="10" t="s">
        <v>6</v>
      </c>
      <c r="M65" s="12">
        <f t="shared" si="8"/>
        <v>30</v>
      </c>
      <c r="N65" s="12">
        <v>2750</v>
      </c>
      <c r="O65" s="12">
        <v>0</v>
      </c>
      <c r="P65" s="11">
        <v>82500</v>
      </c>
      <c r="Q65" s="11">
        <f t="shared" si="9"/>
        <v>82500</v>
      </c>
      <c r="R65" s="11">
        <v>0</v>
      </c>
      <c r="S65" s="11"/>
      <c r="T65" s="11">
        <v>0</v>
      </c>
      <c r="U65" s="11">
        <f t="shared" si="7"/>
        <v>82500</v>
      </c>
      <c r="V65" s="42">
        <v>30</v>
      </c>
    </row>
    <row r="66" spans="1:22" s="36" customFormat="1" ht="15.45" x14ac:dyDescent="0.35">
      <c r="A66" s="19" t="s">
        <v>111</v>
      </c>
      <c r="B66" s="9">
        <v>45673</v>
      </c>
      <c r="C66" s="14" t="s">
        <v>336</v>
      </c>
      <c r="D66" s="10" t="s">
        <v>337</v>
      </c>
      <c r="E66" s="9">
        <v>45673</v>
      </c>
      <c r="F66" s="10" t="s">
        <v>55</v>
      </c>
      <c r="G66" s="10" t="s">
        <v>87</v>
      </c>
      <c r="H66" s="10" t="s">
        <v>769</v>
      </c>
      <c r="I66" s="10" t="s">
        <v>26</v>
      </c>
      <c r="J66" s="10" t="s">
        <v>80</v>
      </c>
      <c r="K66" s="46"/>
      <c r="L66" s="10" t="s">
        <v>10</v>
      </c>
      <c r="M66" s="12">
        <f t="shared" si="8"/>
        <v>52</v>
      </c>
      <c r="N66" s="12">
        <v>12500</v>
      </c>
      <c r="O66" s="12">
        <v>0</v>
      </c>
      <c r="P66" s="11">
        <v>650000</v>
      </c>
      <c r="Q66" s="11">
        <f t="shared" si="9"/>
        <v>650000</v>
      </c>
      <c r="R66" s="11">
        <v>0</v>
      </c>
      <c r="S66" s="11"/>
      <c r="T66" s="11">
        <v>0</v>
      </c>
      <c r="U66" s="11">
        <f t="shared" si="7"/>
        <v>650000</v>
      </c>
      <c r="V66" s="42">
        <v>52</v>
      </c>
    </row>
    <row r="67" spans="1:22" s="36" customFormat="1" ht="15.45" x14ac:dyDescent="0.35">
      <c r="A67" s="19" t="s">
        <v>111</v>
      </c>
      <c r="B67" s="9">
        <v>45673</v>
      </c>
      <c r="C67" s="14" t="s">
        <v>338</v>
      </c>
      <c r="D67" s="10" t="s">
        <v>339</v>
      </c>
      <c r="E67" s="9">
        <v>45652</v>
      </c>
      <c r="F67" s="10" t="s">
        <v>55</v>
      </c>
      <c r="G67" s="10" t="s">
        <v>340</v>
      </c>
      <c r="H67" s="10" t="s">
        <v>820</v>
      </c>
      <c r="I67" s="10" t="s">
        <v>24</v>
      </c>
      <c r="J67" s="10" t="s">
        <v>61</v>
      </c>
      <c r="K67" s="46"/>
      <c r="L67" s="10" t="s">
        <v>6</v>
      </c>
      <c r="M67" s="12">
        <f t="shared" si="8"/>
        <v>20</v>
      </c>
      <c r="N67" s="12">
        <v>100000</v>
      </c>
      <c r="O67" s="12">
        <v>0</v>
      </c>
      <c r="P67" s="11">
        <v>2000000</v>
      </c>
      <c r="Q67" s="11">
        <f t="shared" si="9"/>
        <v>2000000</v>
      </c>
      <c r="R67" s="11">
        <v>0</v>
      </c>
      <c r="S67" s="11"/>
      <c r="T67" s="11">
        <v>0</v>
      </c>
      <c r="U67" s="11">
        <f t="shared" si="7"/>
        <v>2000000</v>
      </c>
      <c r="V67" s="42">
        <v>20</v>
      </c>
    </row>
    <row r="68" spans="1:22" s="36" customFormat="1" ht="15.45" x14ac:dyDescent="0.35">
      <c r="A68" s="19" t="s">
        <v>117</v>
      </c>
      <c r="B68" s="9">
        <v>45673</v>
      </c>
      <c r="C68" s="14" t="s">
        <v>341</v>
      </c>
      <c r="D68" s="10" t="s">
        <v>342</v>
      </c>
      <c r="E68" s="9">
        <v>45673</v>
      </c>
      <c r="F68" s="10" t="s">
        <v>68</v>
      </c>
      <c r="G68" s="10" t="s">
        <v>125</v>
      </c>
      <c r="H68" s="10" t="s">
        <v>820</v>
      </c>
      <c r="I68" s="10" t="s">
        <v>24</v>
      </c>
      <c r="J68" s="10" t="s">
        <v>61</v>
      </c>
      <c r="K68" s="46" t="s">
        <v>491</v>
      </c>
      <c r="L68" s="10" t="s">
        <v>3</v>
      </c>
      <c r="M68" s="12">
        <f t="shared" si="8"/>
        <v>5</v>
      </c>
      <c r="N68" s="12">
        <v>80180.2</v>
      </c>
      <c r="O68" s="12">
        <v>0</v>
      </c>
      <c r="P68" s="11">
        <v>400901</v>
      </c>
      <c r="Q68" s="11">
        <f t="shared" si="9"/>
        <v>400901</v>
      </c>
      <c r="R68" s="11">
        <v>44099.11</v>
      </c>
      <c r="S68" s="11"/>
      <c r="T68" s="11">
        <v>0</v>
      </c>
      <c r="U68" s="11">
        <f t="shared" si="7"/>
        <v>445000.11</v>
      </c>
      <c r="V68" s="42">
        <v>5</v>
      </c>
    </row>
    <row r="69" spans="1:22" s="36" customFormat="1" ht="15.45" x14ac:dyDescent="0.35">
      <c r="A69" s="19" t="s">
        <v>97</v>
      </c>
      <c r="B69" s="9">
        <v>45673</v>
      </c>
      <c r="C69" s="14" t="s">
        <v>343</v>
      </c>
      <c r="D69" s="10" t="s">
        <v>344</v>
      </c>
      <c r="E69" s="9">
        <v>45672</v>
      </c>
      <c r="F69" s="10" t="s">
        <v>63</v>
      </c>
      <c r="G69" s="10" t="s">
        <v>83</v>
      </c>
      <c r="H69" s="10" t="s">
        <v>888</v>
      </c>
      <c r="I69" s="10" t="s">
        <v>24</v>
      </c>
      <c r="J69" s="10" t="s">
        <v>61</v>
      </c>
      <c r="K69" s="46" t="s">
        <v>391</v>
      </c>
      <c r="L69" s="10" t="s">
        <v>5</v>
      </c>
      <c r="M69" s="12">
        <f t="shared" si="8"/>
        <v>1000</v>
      </c>
      <c r="N69" s="12">
        <v>27000</v>
      </c>
      <c r="O69" s="12">
        <v>0</v>
      </c>
      <c r="P69" s="11">
        <v>27000000</v>
      </c>
      <c r="Q69" s="11">
        <f t="shared" si="9"/>
        <v>27000000</v>
      </c>
      <c r="R69" s="11">
        <v>2970000</v>
      </c>
      <c r="S69" s="11"/>
      <c r="T69" s="11">
        <v>0</v>
      </c>
      <c r="U69" s="11">
        <f t="shared" si="7"/>
        <v>29970000</v>
      </c>
      <c r="V69" s="42">
        <v>1000</v>
      </c>
    </row>
    <row r="70" spans="1:22" s="36" customFormat="1" ht="15.45" x14ac:dyDescent="0.35">
      <c r="A70" s="19" t="s">
        <v>110</v>
      </c>
      <c r="B70" s="9">
        <v>45677</v>
      </c>
      <c r="C70" s="14" t="s">
        <v>373</v>
      </c>
      <c r="D70" s="10" t="s">
        <v>374</v>
      </c>
      <c r="E70" s="9">
        <v>45673</v>
      </c>
      <c r="F70" s="10" t="s">
        <v>72</v>
      </c>
      <c r="G70" s="10" t="s">
        <v>77</v>
      </c>
      <c r="H70" s="10" t="s">
        <v>887</v>
      </c>
      <c r="I70" s="10" t="s">
        <v>23</v>
      </c>
      <c r="J70" s="10" t="s">
        <v>45</v>
      </c>
      <c r="K70" s="46" t="s">
        <v>429</v>
      </c>
      <c r="L70" s="10" t="s">
        <v>1</v>
      </c>
      <c r="M70" s="12">
        <v>400</v>
      </c>
      <c r="N70" s="12">
        <v>30500</v>
      </c>
      <c r="O70" s="12">
        <v>0</v>
      </c>
      <c r="P70" s="11">
        <v>12200000</v>
      </c>
      <c r="Q70" s="11">
        <f t="shared" si="9"/>
        <v>12200000</v>
      </c>
      <c r="R70" s="11">
        <v>1342000</v>
      </c>
      <c r="S70" s="11"/>
      <c r="T70" s="11">
        <v>0</v>
      </c>
      <c r="U70" s="11">
        <f t="shared" si="7"/>
        <v>13542000</v>
      </c>
      <c r="V70" s="42">
        <v>400</v>
      </c>
    </row>
    <row r="71" spans="1:22" s="36" customFormat="1" ht="15.45" x14ac:dyDescent="0.35">
      <c r="A71" s="19" t="s">
        <v>187</v>
      </c>
      <c r="B71" s="9">
        <v>45673</v>
      </c>
      <c r="C71" s="14" t="s">
        <v>347</v>
      </c>
      <c r="D71" s="10" t="s">
        <v>348</v>
      </c>
      <c r="E71" s="9">
        <v>45673</v>
      </c>
      <c r="F71" s="10" t="s">
        <v>186</v>
      </c>
      <c r="G71" s="10" t="s">
        <v>89</v>
      </c>
      <c r="H71" s="10" t="s">
        <v>818</v>
      </c>
      <c r="I71" s="10" t="s">
        <v>25</v>
      </c>
      <c r="J71" s="10" t="s">
        <v>79</v>
      </c>
      <c r="K71" s="46" t="s">
        <v>475</v>
      </c>
      <c r="L71" s="10" t="s">
        <v>1</v>
      </c>
      <c r="M71" s="12">
        <f>IF(LEFT(C71,2)="RP",V71*-1,V71)</f>
        <v>29340</v>
      </c>
      <c r="N71" s="12">
        <v>1575</v>
      </c>
      <c r="O71" s="12">
        <v>0</v>
      </c>
      <c r="P71" s="11">
        <v>46210500</v>
      </c>
      <c r="Q71" s="11">
        <f t="shared" si="9"/>
        <v>46210500</v>
      </c>
      <c r="R71" s="11">
        <v>5083155</v>
      </c>
      <c r="S71" s="11">
        <f>Q71*1.5%</f>
        <v>693157.5</v>
      </c>
      <c r="T71" s="11">
        <v>0</v>
      </c>
      <c r="U71" s="11">
        <f t="shared" si="7"/>
        <v>50600497.5</v>
      </c>
      <c r="V71" s="42">
        <v>29340</v>
      </c>
    </row>
    <row r="72" spans="1:22" s="36" customFormat="1" ht="15.45" x14ac:dyDescent="0.35">
      <c r="A72" s="20" t="s">
        <v>134</v>
      </c>
      <c r="B72" s="9">
        <v>45678</v>
      </c>
      <c r="C72" s="14" t="s">
        <v>377</v>
      </c>
      <c r="D72" s="10" t="s">
        <v>378</v>
      </c>
      <c r="E72" s="9">
        <v>45665</v>
      </c>
      <c r="F72" s="10" t="s">
        <v>127</v>
      </c>
      <c r="G72" s="10" t="s">
        <v>128</v>
      </c>
      <c r="H72" s="10" t="s">
        <v>891</v>
      </c>
      <c r="I72" s="10" t="s">
        <v>23</v>
      </c>
      <c r="J72" s="10" t="s">
        <v>45</v>
      </c>
      <c r="K72" s="46" t="s">
        <v>530</v>
      </c>
      <c r="L72" s="10" t="s">
        <v>1</v>
      </c>
      <c r="M72" s="12">
        <v>120</v>
      </c>
      <c r="N72" s="12">
        <v>12000</v>
      </c>
      <c r="O72" s="12">
        <v>0</v>
      </c>
      <c r="P72" s="11">
        <v>1440000</v>
      </c>
      <c r="Q72" s="11">
        <f t="shared" si="9"/>
        <v>1440000</v>
      </c>
      <c r="R72" s="11">
        <v>158400</v>
      </c>
      <c r="S72" s="11"/>
      <c r="T72" s="11">
        <v>0</v>
      </c>
      <c r="U72" s="11">
        <f t="shared" ref="U72:U101" si="10">Q72+R72-T72-S72</f>
        <v>1598400</v>
      </c>
      <c r="V72" s="42">
        <v>120</v>
      </c>
    </row>
    <row r="73" spans="1:22" s="36" customFormat="1" ht="15.45" x14ac:dyDescent="0.35">
      <c r="A73" s="19" t="s">
        <v>101</v>
      </c>
      <c r="B73" s="9">
        <v>45665</v>
      </c>
      <c r="C73" s="14" t="s">
        <v>256</v>
      </c>
      <c r="D73" s="10" t="s">
        <v>257</v>
      </c>
      <c r="E73" s="9">
        <v>45664</v>
      </c>
      <c r="F73" s="10" t="s">
        <v>57</v>
      </c>
      <c r="G73" s="10" t="s">
        <v>78</v>
      </c>
      <c r="H73" s="10" t="s">
        <v>888</v>
      </c>
      <c r="I73" s="10" t="s">
        <v>23</v>
      </c>
      <c r="J73" s="10" t="s">
        <v>45</v>
      </c>
      <c r="K73" s="26"/>
      <c r="L73" s="10" t="s">
        <v>1</v>
      </c>
      <c r="M73" s="12">
        <f>IF(LEFT(C73,2)="RP",V73*-1,V73)</f>
        <v>300</v>
      </c>
      <c r="N73" s="12">
        <v>64000</v>
      </c>
      <c r="O73" s="12">
        <v>0</v>
      </c>
      <c r="P73" s="11">
        <v>19200000</v>
      </c>
      <c r="Q73" s="11">
        <f t="shared" si="9"/>
        <v>19200000</v>
      </c>
      <c r="R73" s="11">
        <v>0</v>
      </c>
      <c r="S73" s="11"/>
      <c r="T73" s="11">
        <v>0</v>
      </c>
      <c r="U73" s="11">
        <f t="shared" si="10"/>
        <v>19200000</v>
      </c>
      <c r="V73" s="42">
        <v>300</v>
      </c>
    </row>
    <row r="74" spans="1:22" s="36" customFormat="1" ht="15.45" x14ac:dyDescent="0.35">
      <c r="A74" s="19" t="s">
        <v>149</v>
      </c>
      <c r="B74" s="9">
        <v>45674</v>
      </c>
      <c r="C74" s="14" t="s">
        <v>353</v>
      </c>
      <c r="D74" s="10" t="s">
        <v>354</v>
      </c>
      <c r="E74" s="9">
        <v>45672</v>
      </c>
      <c r="F74" s="10" t="s">
        <v>143</v>
      </c>
      <c r="G74" s="10" t="s">
        <v>233</v>
      </c>
      <c r="H74" s="10" t="s">
        <v>820</v>
      </c>
      <c r="I74" s="10" t="s">
        <v>24</v>
      </c>
      <c r="J74" s="10" t="s">
        <v>61</v>
      </c>
      <c r="K74" s="46" t="s">
        <v>532</v>
      </c>
      <c r="L74" s="10" t="s">
        <v>6</v>
      </c>
      <c r="M74" s="12">
        <f>IF(LEFT(C74,2)="RP",V74*-1,V74)</f>
        <v>3</v>
      </c>
      <c r="N74" s="12">
        <v>650000</v>
      </c>
      <c r="O74" s="12">
        <v>0</v>
      </c>
      <c r="P74" s="11">
        <v>1950000</v>
      </c>
      <c r="Q74" s="11">
        <f t="shared" si="9"/>
        <v>1950000</v>
      </c>
      <c r="R74" s="11">
        <v>214500</v>
      </c>
      <c r="S74" s="11"/>
      <c r="T74" s="11">
        <v>0</v>
      </c>
      <c r="U74" s="11">
        <f t="shared" si="10"/>
        <v>2164500</v>
      </c>
      <c r="V74" s="42">
        <v>3</v>
      </c>
    </row>
    <row r="75" spans="1:22" s="36" customFormat="1" ht="15.45" x14ac:dyDescent="0.35">
      <c r="A75" s="19" t="s">
        <v>149</v>
      </c>
      <c r="B75" s="9">
        <v>45674</v>
      </c>
      <c r="C75" s="14" t="s">
        <v>353</v>
      </c>
      <c r="D75" s="10" t="s">
        <v>354</v>
      </c>
      <c r="E75" s="9">
        <v>45672</v>
      </c>
      <c r="F75" s="10" t="s">
        <v>143</v>
      </c>
      <c r="G75" s="10" t="s">
        <v>198</v>
      </c>
      <c r="H75" s="10" t="s">
        <v>820</v>
      </c>
      <c r="I75" s="10" t="s">
        <v>24</v>
      </c>
      <c r="J75" s="10" t="s">
        <v>61</v>
      </c>
      <c r="K75" s="46" t="s">
        <v>532</v>
      </c>
      <c r="L75" s="10" t="s">
        <v>10</v>
      </c>
      <c r="M75" s="12">
        <f>IF(LEFT(C75,2)="RP",V75*-1,V75)</f>
        <v>10</v>
      </c>
      <c r="N75" s="12">
        <v>28500</v>
      </c>
      <c r="O75" s="12">
        <v>0</v>
      </c>
      <c r="P75" s="11">
        <v>285000</v>
      </c>
      <c r="Q75" s="11">
        <f t="shared" si="9"/>
        <v>285000</v>
      </c>
      <c r="R75" s="11">
        <v>31350</v>
      </c>
      <c r="S75" s="11"/>
      <c r="T75" s="11">
        <v>0</v>
      </c>
      <c r="U75" s="11">
        <f t="shared" si="10"/>
        <v>316350</v>
      </c>
      <c r="V75" s="42">
        <v>10</v>
      </c>
    </row>
    <row r="76" spans="1:22" s="36" customFormat="1" ht="15.45" x14ac:dyDescent="0.35">
      <c r="A76" s="19" t="s">
        <v>224</v>
      </c>
      <c r="B76" s="9">
        <v>45674</v>
      </c>
      <c r="C76" s="14" t="s">
        <v>355</v>
      </c>
      <c r="D76" s="10" t="s">
        <v>356</v>
      </c>
      <c r="E76" s="9">
        <v>45673</v>
      </c>
      <c r="F76" s="10" t="s">
        <v>223</v>
      </c>
      <c r="G76" s="10" t="s">
        <v>357</v>
      </c>
      <c r="H76" s="10" t="s">
        <v>820</v>
      </c>
      <c r="I76" s="10" t="s">
        <v>24</v>
      </c>
      <c r="J76" s="10" t="s">
        <v>61</v>
      </c>
      <c r="K76" s="46" t="s">
        <v>474</v>
      </c>
      <c r="L76" s="10" t="s">
        <v>16</v>
      </c>
      <c r="M76" s="12">
        <f>IF(LEFT(C76,2)="RP",V76*-1,V76)</f>
        <v>1</v>
      </c>
      <c r="N76" s="12">
        <v>7200000</v>
      </c>
      <c r="O76" s="12">
        <v>0</v>
      </c>
      <c r="P76" s="11">
        <v>7200000</v>
      </c>
      <c r="Q76" s="11">
        <f t="shared" si="9"/>
        <v>7200000</v>
      </c>
      <c r="R76" s="11">
        <v>792000</v>
      </c>
      <c r="S76" s="11"/>
      <c r="T76" s="11">
        <v>0</v>
      </c>
      <c r="U76" s="11">
        <f t="shared" si="10"/>
        <v>7992000</v>
      </c>
      <c r="V76" s="42">
        <v>1</v>
      </c>
    </row>
    <row r="77" spans="1:22" s="36" customFormat="1" ht="15.45" x14ac:dyDescent="0.35">
      <c r="A77" s="19" t="s">
        <v>104</v>
      </c>
      <c r="B77" s="9">
        <v>45674</v>
      </c>
      <c r="C77" s="14" t="s">
        <v>358</v>
      </c>
      <c r="D77" s="10" t="s">
        <v>359</v>
      </c>
      <c r="E77" s="9">
        <v>45673</v>
      </c>
      <c r="F77" s="10" t="s">
        <v>73</v>
      </c>
      <c r="G77" s="10" t="s">
        <v>360</v>
      </c>
      <c r="H77" s="10" t="s">
        <v>820</v>
      </c>
      <c r="I77" s="10" t="s">
        <v>24</v>
      </c>
      <c r="J77" s="10" t="s">
        <v>61</v>
      </c>
      <c r="K77" s="46" t="s">
        <v>529</v>
      </c>
      <c r="L77" s="10" t="s">
        <v>6</v>
      </c>
      <c r="M77" s="12">
        <f>IF(LEFT(C77,2)="RP",V77*-1,V77)</f>
        <v>2</v>
      </c>
      <c r="N77" s="12">
        <v>110000</v>
      </c>
      <c r="O77" s="12">
        <v>0</v>
      </c>
      <c r="P77" s="11">
        <v>220000</v>
      </c>
      <c r="Q77" s="11">
        <f t="shared" si="9"/>
        <v>220000</v>
      </c>
      <c r="R77" s="11">
        <v>24200</v>
      </c>
      <c r="S77" s="11"/>
      <c r="T77" s="11">
        <v>0</v>
      </c>
      <c r="U77" s="11">
        <f t="shared" si="10"/>
        <v>244200</v>
      </c>
      <c r="V77" s="42">
        <v>2</v>
      </c>
    </row>
    <row r="78" spans="1:22" s="36" customFormat="1" ht="15.45" x14ac:dyDescent="0.35">
      <c r="A78" s="19" t="s">
        <v>117</v>
      </c>
      <c r="B78" s="9">
        <v>45675</v>
      </c>
      <c r="C78" s="14" t="s">
        <v>361</v>
      </c>
      <c r="D78" s="10" t="s">
        <v>362</v>
      </c>
      <c r="E78" s="9">
        <v>45675</v>
      </c>
      <c r="F78" s="10" t="s">
        <v>68</v>
      </c>
      <c r="G78" s="10" t="s">
        <v>363</v>
      </c>
      <c r="H78" s="10" t="s">
        <v>820</v>
      </c>
      <c r="I78" s="10" t="s">
        <v>24</v>
      </c>
      <c r="J78" s="10" t="s">
        <v>61</v>
      </c>
      <c r="K78" s="46" t="s">
        <v>492</v>
      </c>
      <c r="L78" s="10" t="s">
        <v>6</v>
      </c>
      <c r="M78" s="12">
        <v>3</v>
      </c>
      <c r="N78" s="12">
        <v>81982</v>
      </c>
      <c r="O78" s="12">
        <v>0</v>
      </c>
      <c r="P78" s="11">
        <v>245946</v>
      </c>
      <c r="Q78" s="11">
        <f t="shared" si="9"/>
        <v>245946</v>
      </c>
      <c r="R78" s="11">
        <v>27054.06</v>
      </c>
      <c r="S78" s="11"/>
      <c r="T78" s="11">
        <v>0</v>
      </c>
      <c r="U78" s="11">
        <f t="shared" si="10"/>
        <v>273000.06</v>
      </c>
      <c r="V78" s="42">
        <v>3</v>
      </c>
    </row>
    <row r="79" spans="1:22" s="36" customFormat="1" ht="15.45" x14ac:dyDescent="0.35">
      <c r="A79" s="19" t="s">
        <v>117</v>
      </c>
      <c r="B79" s="9">
        <v>45675</v>
      </c>
      <c r="C79" s="14" t="s">
        <v>361</v>
      </c>
      <c r="D79" s="10" t="s">
        <v>362</v>
      </c>
      <c r="E79" s="9">
        <v>45675</v>
      </c>
      <c r="F79" s="10" t="s">
        <v>68</v>
      </c>
      <c r="G79" s="10" t="s">
        <v>364</v>
      </c>
      <c r="H79" s="10" t="s">
        <v>820</v>
      </c>
      <c r="I79" s="10" t="s">
        <v>24</v>
      </c>
      <c r="J79" s="10" t="s">
        <v>61</v>
      </c>
      <c r="K79" s="46" t="s">
        <v>492</v>
      </c>
      <c r="L79" s="10" t="s">
        <v>6</v>
      </c>
      <c r="M79" s="12">
        <v>2</v>
      </c>
      <c r="N79" s="12">
        <v>6757</v>
      </c>
      <c r="O79" s="12">
        <v>0</v>
      </c>
      <c r="P79" s="11">
        <v>13514</v>
      </c>
      <c r="Q79" s="11">
        <f t="shared" ref="Q79:Q110" si="11">P79</f>
        <v>13514</v>
      </c>
      <c r="R79" s="11">
        <v>1486.54</v>
      </c>
      <c r="S79" s="11"/>
      <c r="T79" s="11">
        <v>0</v>
      </c>
      <c r="U79" s="11">
        <f t="shared" si="10"/>
        <v>15000.54</v>
      </c>
      <c r="V79" s="42">
        <v>2</v>
      </c>
    </row>
    <row r="80" spans="1:22" s="36" customFormat="1" ht="15.45" x14ac:dyDescent="0.35">
      <c r="A80" s="19" t="s">
        <v>117</v>
      </c>
      <c r="B80" s="9">
        <v>45675</v>
      </c>
      <c r="C80" s="14" t="s">
        <v>361</v>
      </c>
      <c r="D80" s="10" t="s">
        <v>362</v>
      </c>
      <c r="E80" s="9">
        <v>45675</v>
      </c>
      <c r="F80" s="10" t="s">
        <v>68</v>
      </c>
      <c r="G80" s="10" t="s">
        <v>144</v>
      </c>
      <c r="H80" s="10" t="s">
        <v>820</v>
      </c>
      <c r="I80" s="10" t="s">
        <v>24</v>
      </c>
      <c r="J80" s="10" t="s">
        <v>61</v>
      </c>
      <c r="K80" s="46" t="s">
        <v>492</v>
      </c>
      <c r="L80" s="10" t="s">
        <v>145</v>
      </c>
      <c r="M80" s="12">
        <v>10</v>
      </c>
      <c r="N80" s="12">
        <v>119820</v>
      </c>
      <c r="O80" s="12">
        <v>0</v>
      </c>
      <c r="P80" s="11">
        <v>1198200</v>
      </c>
      <c r="Q80" s="11">
        <f t="shared" si="11"/>
        <v>1198200</v>
      </c>
      <c r="R80" s="11">
        <v>131802</v>
      </c>
      <c r="S80" s="11"/>
      <c r="T80" s="11">
        <v>0</v>
      </c>
      <c r="U80" s="11">
        <f t="shared" si="10"/>
        <v>1330002</v>
      </c>
      <c r="V80" s="42">
        <v>10</v>
      </c>
    </row>
    <row r="81" spans="1:22" s="36" customFormat="1" ht="15.45" x14ac:dyDescent="0.35">
      <c r="A81" s="19" t="s">
        <v>117</v>
      </c>
      <c r="B81" s="9">
        <v>45675</v>
      </c>
      <c r="C81" s="14" t="s">
        <v>361</v>
      </c>
      <c r="D81" s="10" t="s">
        <v>362</v>
      </c>
      <c r="E81" s="9">
        <v>45675</v>
      </c>
      <c r="F81" s="10" t="s">
        <v>68</v>
      </c>
      <c r="G81" s="10" t="s">
        <v>234</v>
      </c>
      <c r="H81" s="10" t="s">
        <v>820</v>
      </c>
      <c r="I81" s="10" t="s">
        <v>24</v>
      </c>
      <c r="J81" s="10" t="s">
        <v>61</v>
      </c>
      <c r="K81" s="46" t="s">
        <v>492</v>
      </c>
      <c r="L81" s="10" t="s">
        <v>6</v>
      </c>
      <c r="M81" s="12">
        <v>2</v>
      </c>
      <c r="N81" s="12">
        <v>5856</v>
      </c>
      <c r="O81" s="12">
        <v>0</v>
      </c>
      <c r="P81" s="11">
        <v>11712</v>
      </c>
      <c r="Q81" s="11">
        <f t="shared" si="11"/>
        <v>11712</v>
      </c>
      <c r="R81" s="11">
        <v>1288.32</v>
      </c>
      <c r="S81" s="11"/>
      <c r="T81" s="11">
        <v>0</v>
      </c>
      <c r="U81" s="11">
        <f t="shared" si="10"/>
        <v>13000.32</v>
      </c>
      <c r="V81" s="42">
        <v>2</v>
      </c>
    </row>
    <row r="82" spans="1:22" s="36" customFormat="1" ht="15.45" x14ac:dyDescent="0.35">
      <c r="A82" s="19" t="s">
        <v>115</v>
      </c>
      <c r="B82" s="9">
        <v>45676</v>
      </c>
      <c r="C82" s="14" t="s">
        <v>365</v>
      </c>
      <c r="D82" s="10" t="s">
        <v>246</v>
      </c>
      <c r="E82" s="9">
        <v>45657</v>
      </c>
      <c r="F82" s="10" t="s">
        <v>81</v>
      </c>
      <c r="G82" s="10" t="s">
        <v>89</v>
      </c>
      <c r="H82" s="10" t="s">
        <v>818</v>
      </c>
      <c r="I82" s="10" t="s">
        <v>25</v>
      </c>
      <c r="J82" s="10" t="s">
        <v>79</v>
      </c>
      <c r="K82" s="46" t="s">
        <v>533</v>
      </c>
      <c r="L82" s="10" t="s">
        <v>1</v>
      </c>
      <c r="M82" s="12">
        <v>28180</v>
      </c>
      <c r="N82" s="12">
        <v>1565</v>
      </c>
      <c r="O82" s="12">
        <v>0</v>
      </c>
      <c r="P82" s="11">
        <v>44101700</v>
      </c>
      <c r="Q82" s="11">
        <f t="shared" si="11"/>
        <v>44101700</v>
      </c>
      <c r="R82" s="11">
        <v>4851187</v>
      </c>
      <c r="S82" s="11">
        <f>Q82*1.5%</f>
        <v>661525.5</v>
      </c>
      <c r="T82" s="11">
        <v>0</v>
      </c>
      <c r="U82" s="11">
        <f t="shared" si="10"/>
        <v>48291361.5</v>
      </c>
      <c r="V82" s="42">
        <v>28180</v>
      </c>
    </row>
    <row r="83" spans="1:22" s="36" customFormat="1" ht="15.45" x14ac:dyDescent="0.35">
      <c r="A83" s="19" t="s">
        <v>159</v>
      </c>
      <c r="B83" s="9">
        <v>45665</v>
      </c>
      <c r="C83" s="14" t="s">
        <v>260</v>
      </c>
      <c r="D83" s="10" t="s">
        <v>261</v>
      </c>
      <c r="E83" s="9">
        <v>45665</v>
      </c>
      <c r="F83" s="10" t="s">
        <v>157</v>
      </c>
      <c r="G83" s="10" t="s">
        <v>158</v>
      </c>
      <c r="H83" s="10" t="s">
        <v>888</v>
      </c>
      <c r="I83" s="10" t="s">
        <v>23</v>
      </c>
      <c r="J83" s="10" t="s">
        <v>45</v>
      </c>
      <c r="K83" s="46" t="s">
        <v>499</v>
      </c>
      <c r="L83" s="10" t="s">
        <v>1</v>
      </c>
      <c r="M83" s="12">
        <f t="shared" ref="M83:M90" si="12">IF(LEFT(C83,2)="RP",V83*-1,V83)</f>
        <v>25</v>
      </c>
      <c r="N83" s="12">
        <v>75000</v>
      </c>
      <c r="O83" s="12">
        <v>0</v>
      </c>
      <c r="P83" s="11">
        <v>1875000</v>
      </c>
      <c r="Q83" s="11">
        <f t="shared" si="11"/>
        <v>1875000</v>
      </c>
      <c r="R83" s="11">
        <v>206250</v>
      </c>
      <c r="S83" s="11"/>
      <c r="T83" s="11">
        <v>0</v>
      </c>
      <c r="U83" s="11">
        <f t="shared" si="10"/>
        <v>2081250</v>
      </c>
      <c r="V83" s="42">
        <v>25</v>
      </c>
    </row>
    <row r="84" spans="1:22" s="36" customFormat="1" ht="15.45" x14ac:dyDescent="0.35">
      <c r="A84" s="19" t="s">
        <v>170</v>
      </c>
      <c r="B84" s="9">
        <v>45674</v>
      </c>
      <c r="C84" s="14" t="s">
        <v>351</v>
      </c>
      <c r="D84" s="10" t="s">
        <v>352</v>
      </c>
      <c r="E84" s="9">
        <v>45672</v>
      </c>
      <c r="F84" s="10" t="s">
        <v>36</v>
      </c>
      <c r="G84" s="10" t="s">
        <v>203</v>
      </c>
      <c r="H84" s="10" t="s">
        <v>891</v>
      </c>
      <c r="I84" s="10" t="s">
        <v>23</v>
      </c>
      <c r="J84" s="10" t="s">
        <v>45</v>
      </c>
      <c r="K84" s="46" t="s">
        <v>486</v>
      </c>
      <c r="L84" s="10" t="s">
        <v>1</v>
      </c>
      <c r="M84" s="12">
        <f t="shared" si="12"/>
        <v>200</v>
      </c>
      <c r="N84" s="12">
        <v>9753</v>
      </c>
      <c r="O84" s="12">
        <v>16255</v>
      </c>
      <c r="P84" s="11">
        <v>1950600</v>
      </c>
      <c r="Q84" s="11">
        <f t="shared" si="11"/>
        <v>1950600</v>
      </c>
      <c r="R84" s="11">
        <v>214566</v>
      </c>
      <c r="S84" s="11"/>
      <c r="T84" s="11">
        <v>0</v>
      </c>
      <c r="U84" s="11">
        <f t="shared" si="10"/>
        <v>2165166</v>
      </c>
      <c r="V84" s="42">
        <v>200</v>
      </c>
    </row>
    <row r="85" spans="1:22" s="36" customFormat="1" ht="15.45" x14ac:dyDescent="0.35">
      <c r="A85" s="19" t="s">
        <v>106</v>
      </c>
      <c r="B85" s="9">
        <v>45670</v>
      </c>
      <c r="C85" s="14" t="s">
        <v>307</v>
      </c>
      <c r="D85" s="10" t="s">
        <v>308</v>
      </c>
      <c r="E85" s="9">
        <v>45667</v>
      </c>
      <c r="F85" s="10" t="s">
        <v>66</v>
      </c>
      <c r="G85" s="10" t="s">
        <v>207</v>
      </c>
      <c r="H85" s="10" t="s">
        <v>885</v>
      </c>
      <c r="I85" s="10" t="s">
        <v>23</v>
      </c>
      <c r="J85" s="10" t="s">
        <v>45</v>
      </c>
      <c r="K85" s="46" t="s">
        <v>525</v>
      </c>
      <c r="L85" s="10" t="s">
        <v>1</v>
      </c>
      <c r="M85" s="12">
        <f t="shared" si="12"/>
        <v>175</v>
      </c>
      <c r="N85" s="12">
        <v>11500</v>
      </c>
      <c r="O85" s="12">
        <v>0</v>
      </c>
      <c r="P85" s="11">
        <v>2012500</v>
      </c>
      <c r="Q85" s="11">
        <f t="shared" si="11"/>
        <v>2012500</v>
      </c>
      <c r="R85" s="11">
        <v>221375</v>
      </c>
      <c r="S85" s="11"/>
      <c r="T85" s="11">
        <v>0</v>
      </c>
      <c r="U85" s="11">
        <f t="shared" si="10"/>
        <v>2233875</v>
      </c>
      <c r="V85" s="42">
        <v>175</v>
      </c>
    </row>
    <row r="86" spans="1:22" s="36" customFormat="1" ht="15.45" x14ac:dyDescent="0.35">
      <c r="A86" s="19" t="s">
        <v>97</v>
      </c>
      <c r="B86" s="9">
        <v>45666</v>
      </c>
      <c r="C86" s="14" t="s">
        <v>266</v>
      </c>
      <c r="D86" s="10" t="s">
        <v>267</v>
      </c>
      <c r="E86" s="9">
        <v>45665</v>
      </c>
      <c r="F86" s="10" t="s">
        <v>63</v>
      </c>
      <c r="G86" s="10" t="s">
        <v>52</v>
      </c>
      <c r="H86" s="10" t="s">
        <v>820</v>
      </c>
      <c r="I86" s="10" t="s">
        <v>24</v>
      </c>
      <c r="J86" s="10" t="s">
        <v>45</v>
      </c>
      <c r="K86" s="46" t="s">
        <v>390</v>
      </c>
      <c r="L86" s="10" t="s">
        <v>12</v>
      </c>
      <c r="M86" s="12">
        <f t="shared" si="12"/>
        <v>1</v>
      </c>
      <c r="N86" s="12">
        <v>2825000</v>
      </c>
      <c r="O86" s="12">
        <v>0</v>
      </c>
      <c r="P86" s="11">
        <v>5650000</v>
      </c>
      <c r="Q86" s="11">
        <f t="shared" si="11"/>
        <v>5650000</v>
      </c>
      <c r="R86" s="11">
        <v>621500</v>
      </c>
      <c r="S86" s="11"/>
      <c r="T86" s="11">
        <v>0</v>
      </c>
      <c r="U86" s="11">
        <f t="shared" si="10"/>
        <v>6271500</v>
      </c>
      <c r="V86" s="42">
        <v>1</v>
      </c>
    </row>
    <row r="87" spans="1:22" s="36" customFormat="1" ht="15.45" x14ac:dyDescent="0.35">
      <c r="A87" s="19" t="s">
        <v>138</v>
      </c>
      <c r="B87" s="9">
        <v>45667</v>
      </c>
      <c r="C87" s="14" t="s">
        <v>286</v>
      </c>
      <c r="D87" s="10" t="s">
        <v>287</v>
      </c>
      <c r="E87" s="9">
        <v>45665</v>
      </c>
      <c r="F87" s="10" t="s">
        <v>137</v>
      </c>
      <c r="G87" s="10" t="s">
        <v>188</v>
      </c>
      <c r="H87" s="10" t="s">
        <v>890</v>
      </c>
      <c r="I87" s="10" t="s">
        <v>23</v>
      </c>
      <c r="J87" s="10" t="s">
        <v>45</v>
      </c>
      <c r="K87" s="46" t="s">
        <v>487</v>
      </c>
      <c r="L87" s="10" t="s">
        <v>1</v>
      </c>
      <c r="M87" s="12">
        <f t="shared" si="12"/>
        <v>500</v>
      </c>
      <c r="N87" s="12">
        <v>15500</v>
      </c>
      <c r="O87" s="12">
        <v>0</v>
      </c>
      <c r="P87" s="11">
        <v>7750000</v>
      </c>
      <c r="Q87" s="11">
        <f t="shared" si="11"/>
        <v>7750000</v>
      </c>
      <c r="R87" s="11">
        <v>852500</v>
      </c>
      <c r="S87" s="11"/>
      <c r="T87" s="11">
        <v>0</v>
      </c>
      <c r="U87" s="11">
        <f t="shared" si="10"/>
        <v>8602500</v>
      </c>
      <c r="V87" s="42">
        <v>500</v>
      </c>
    </row>
    <row r="88" spans="1:22" s="36" customFormat="1" ht="15.45" x14ac:dyDescent="0.35">
      <c r="A88" s="19" t="s">
        <v>225</v>
      </c>
      <c r="B88" s="9">
        <v>45667</v>
      </c>
      <c r="C88" s="14" t="s">
        <v>288</v>
      </c>
      <c r="D88" s="10" t="s">
        <v>289</v>
      </c>
      <c r="E88" s="9">
        <v>45665</v>
      </c>
      <c r="F88" s="10" t="s">
        <v>221</v>
      </c>
      <c r="G88" s="10" t="s">
        <v>222</v>
      </c>
      <c r="H88" s="10" t="s">
        <v>885</v>
      </c>
      <c r="I88" s="10" t="s">
        <v>23</v>
      </c>
      <c r="J88" s="10" t="s">
        <v>45</v>
      </c>
      <c r="K88" s="46" t="s">
        <v>383</v>
      </c>
      <c r="L88" s="10" t="s">
        <v>1</v>
      </c>
      <c r="M88" s="12">
        <f t="shared" si="12"/>
        <v>400</v>
      </c>
      <c r="N88" s="12">
        <v>9058</v>
      </c>
      <c r="O88" s="12">
        <v>16175</v>
      </c>
      <c r="P88" s="11">
        <v>3623200</v>
      </c>
      <c r="Q88" s="11">
        <f t="shared" si="11"/>
        <v>3623200</v>
      </c>
      <c r="R88" s="11">
        <v>398552</v>
      </c>
      <c r="S88" s="11"/>
      <c r="T88" s="11">
        <v>0</v>
      </c>
      <c r="U88" s="11">
        <f t="shared" si="10"/>
        <v>4021752</v>
      </c>
      <c r="V88" s="42">
        <v>400</v>
      </c>
    </row>
    <row r="89" spans="1:22" s="36" customFormat="1" ht="15.45" x14ac:dyDescent="0.35">
      <c r="A89" s="19" t="s">
        <v>232</v>
      </c>
      <c r="B89" s="9">
        <v>45674</v>
      </c>
      <c r="C89" s="14" t="s">
        <v>349</v>
      </c>
      <c r="D89" s="10" t="s">
        <v>350</v>
      </c>
      <c r="E89" s="9">
        <v>45672</v>
      </c>
      <c r="F89" s="10" t="s">
        <v>230</v>
      </c>
      <c r="G89" s="10" t="s">
        <v>231</v>
      </c>
      <c r="H89" s="10" t="s">
        <v>890</v>
      </c>
      <c r="I89" s="10" t="s">
        <v>23</v>
      </c>
      <c r="J89" s="10" t="s">
        <v>45</v>
      </c>
      <c r="K89" s="46" t="s">
        <v>523</v>
      </c>
      <c r="L89" s="10" t="s">
        <v>1</v>
      </c>
      <c r="M89" s="12">
        <f t="shared" si="12"/>
        <v>200</v>
      </c>
      <c r="N89" s="12">
        <v>28000</v>
      </c>
      <c r="O89" s="12">
        <v>0</v>
      </c>
      <c r="P89" s="11">
        <v>5600000</v>
      </c>
      <c r="Q89" s="11">
        <f t="shared" si="11"/>
        <v>5600000</v>
      </c>
      <c r="R89" s="11">
        <v>616000</v>
      </c>
      <c r="S89" s="11"/>
      <c r="T89" s="11">
        <v>0</v>
      </c>
      <c r="U89" s="11">
        <f t="shared" si="10"/>
        <v>6216000</v>
      </c>
      <c r="V89" s="42">
        <v>200</v>
      </c>
    </row>
    <row r="90" spans="1:22" s="36" customFormat="1" ht="15.45" x14ac:dyDescent="0.35">
      <c r="A90" s="19" t="s">
        <v>184</v>
      </c>
      <c r="B90" s="9">
        <v>45673</v>
      </c>
      <c r="C90" s="14" t="s">
        <v>345</v>
      </c>
      <c r="D90" s="10" t="s">
        <v>346</v>
      </c>
      <c r="E90" s="9">
        <v>45672</v>
      </c>
      <c r="F90" s="10" t="s">
        <v>183</v>
      </c>
      <c r="G90" s="10" t="s">
        <v>213</v>
      </c>
      <c r="H90" s="10" t="s">
        <v>890</v>
      </c>
      <c r="I90" s="10" t="s">
        <v>23</v>
      </c>
      <c r="J90" s="10" t="s">
        <v>45</v>
      </c>
      <c r="K90" s="46" t="s">
        <v>427</v>
      </c>
      <c r="L90" s="10" t="s">
        <v>1</v>
      </c>
      <c r="M90" s="12">
        <f t="shared" si="12"/>
        <v>120</v>
      </c>
      <c r="N90" s="12">
        <v>55267</v>
      </c>
      <c r="O90" s="12">
        <v>16255</v>
      </c>
      <c r="P90" s="11">
        <v>6632040</v>
      </c>
      <c r="Q90" s="11">
        <f t="shared" si="11"/>
        <v>6632040</v>
      </c>
      <c r="R90" s="11">
        <v>729524.4</v>
      </c>
      <c r="S90" s="11"/>
      <c r="T90" s="11">
        <v>0</v>
      </c>
      <c r="U90" s="11">
        <f t="shared" si="10"/>
        <v>7361564.4000000004</v>
      </c>
      <c r="V90" s="42">
        <v>120</v>
      </c>
    </row>
    <row r="91" spans="1:22" s="36" customFormat="1" ht="15.45" x14ac:dyDescent="0.35">
      <c r="A91" s="48" t="s">
        <v>99</v>
      </c>
      <c r="B91" s="9">
        <v>45677</v>
      </c>
      <c r="C91" s="14" t="s">
        <v>375</v>
      </c>
      <c r="D91" s="10" t="s">
        <v>376</v>
      </c>
      <c r="E91" s="9">
        <v>45673</v>
      </c>
      <c r="F91" s="10" t="s">
        <v>64</v>
      </c>
      <c r="G91" s="10" t="s">
        <v>43</v>
      </c>
      <c r="H91" s="10" t="s">
        <v>887</v>
      </c>
      <c r="I91" s="10" t="s">
        <v>23</v>
      </c>
      <c r="J91" s="10" t="s">
        <v>45</v>
      </c>
      <c r="K91" s="46" t="s">
        <v>480</v>
      </c>
      <c r="L91" s="10" t="s">
        <v>1</v>
      </c>
      <c r="M91" s="12">
        <v>1</v>
      </c>
      <c r="N91" s="12">
        <v>1500000</v>
      </c>
      <c r="O91" s="12">
        <v>0</v>
      </c>
      <c r="P91" s="11">
        <v>1500000</v>
      </c>
      <c r="Q91" s="11">
        <f t="shared" si="11"/>
        <v>1500000</v>
      </c>
      <c r="R91" s="11">
        <v>165000</v>
      </c>
      <c r="S91" s="11"/>
      <c r="T91" s="11">
        <v>0</v>
      </c>
      <c r="U91" s="11">
        <f t="shared" si="10"/>
        <v>1665000</v>
      </c>
      <c r="V91" s="42">
        <v>1</v>
      </c>
    </row>
    <row r="92" spans="1:22" s="36" customFormat="1" ht="15.45" x14ac:dyDescent="0.35">
      <c r="A92" s="19" t="s">
        <v>187</v>
      </c>
      <c r="B92" s="9">
        <v>45678</v>
      </c>
      <c r="C92" s="14" t="s">
        <v>379</v>
      </c>
      <c r="D92" s="10" t="s">
        <v>380</v>
      </c>
      <c r="E92" s="9">
        <v>45679</v>
      </c>
      <c r="F92" s="10" t="s">
        <v>186</v>
      </c>
      <c r="G92" s="10" t="s">
        <v>89</v>
      </c>
      <c r="H92" s="10" t="s">
        <v>818</v>
      </c>
      <c r="I92" s="10" t="s">
        <v>25</v>
      </c>
      <c r="J92" s="10" t="s">
        <v>79</v>
      </c>
      <c r="K92" s="46" t="s">
        <v>476</v>
      </c>
      <c r="L92" s="10" t="s">
        <v>1</v>
      </c>
      <c r="M92" s="12">
        <v>29280</v>
      </c>
      <c r="N92" s="12">
        <v>1575</v>
      </c>
      <c r="O92" s="12">
        <v>0</v>
      </c>
      <c r="P92" s="11">
        <v>46116000</v>
      </c>
      <c r="Q92" s="11">
        <f t="shared" si="11"/>
        <v>46116000</v>
      </c>
      <c r="R92" s="11">
        <v>5072760</v>
      </c>
      <c r="S92" s="11">
        <f>Q92*1.5%</f>
        <v>691740</v>
      </c>
      <c r="T92" s="11">
        <v>0</v>
      </c>
      <c r="U92" s="11">
        <f t="shared" si="10"/>
        <v>50497020</v>
      </c>
      <c r="V92" s="42">
        <v>29280</v>
      </c>
    </row>
    <row r="93" spans="1:22" s="36" customFormat="1" ht="15.45" x14ac:dyDescent="0.35">
      <c r="A93" s="19" t="s">
        <v>99</v>
      </c>
      <c r="B93" s="9">
        <v>45677</v>
      </c>
      <c r="C93" s="14" t="s">
        <v>375</v>
      </c>
      <c r="D93" s="10" t="s">
        <v>376</v>
      </c>
      <c r="E93" s="9">
        <v>45673</v>
      </c>
      <c r="F93" s="10" t="s">
        <v>64</v>
      </c>
      <c r="G93" s="10" t="s">
        <v>126</v>
      </c>
      <c r="H93" s="10" t="s">
        <v>887</v>
      </c>
      <c r="I93" s="10" t="s">
        <v>23</v>
      </c>
      <c r="J93" s="10" t="s">
        <v>45</v>
      </c>
      <c r="K93" s="46" t="s">
        <v>480</v>
      </c>
      <c r="L93" s="10" t="s">
        <v>0</v>
      </c>
      <c r="M93" s="12">
        <v>300</v>
      </c>
      <c r="N93" s="12">
        <v>13180</v>
      </c>
      <c r="O93" s="12">
        <v>0</v>
      </c>
      <c r="P93" s="11">
        <v>3954000</v>
      </c>
      <c r="Q93" s="11">
        <f t="shared" si="11"/>
        <v>3954000</v>
      </c>
      <c r="R93" s="11">
        <v>434940</v>
      </c>
      <c r="S93" s="11"/>
      <c r="T93" s="11">
        <v>0</v>
      </c>
      <c r="U93" s="11">
        <f t="shared" si="10"/>
        <v>4388940</v>
      </c>
      <c r="V93" s="42">
        <v>300</v>
      </c>
    </row>
    <row r="94" spans="1:22" s="36" customFormat="1" ht="15.45" x14ac:dyDescent="0.35">
      <c r="A94" s="19" t="s">
        <v>109</v>
      </c>
      <c r="B94" s="9">
        <v>45679</v>
      </c>
      <c r="C94" s="14" t="s">
        <v>382</v>
      </c>
      <c r="D94" s="10" t="s">
        <v>251</v>
      </c>
      <c r="E94" s="9">
        <v>45663</v>
      </c>
      <c r="F94" s="10" t="s">
        <v>54</v>
      </c>
      <c r="G94" s="10" t="s">
        <v>49</v>
      </c>
      <c r="H94" s="10" t="s">
        <v>820</v>
      </c>
      <c r="I94" s="10" t="s">
        <v>24</v>
      </c>
      <c r="J94" s="10" t="s">
        <v>61</v>
      </c>
      <c r="K94" s="46" t="s">
        <v>428</v>
      </c>
      <c r="L94" s="10" t="s">
        <v>15</v>
      </c>
      <c r="M94" s="12">
        <v>288</v>
      </c>
      <c r="N94" s="12">
        <v>6454</v>
      </c>
      <c r="O94" s="12">
        <v>0</v>
      </c>
      <c r="P94" s="11">
        <v>1858752</v>
      </c>
      <c r="Q94" s="11">
        <f t="shared" si="11"/>
        <v>1858752</v>
      </c>
      <c r="R94" s="11">
        <v>204462.72</v>
      </c>
      <c r="S94" s="11"/>
      <c r="T94" s="11">
        <v>0</v>
      </c>
      <c r="U94" s="11">
        <f t="shared" si="10"/>
        <v>2063214.72</v>
      </c>
      <c r="V94" s="42">
        <v>288</v>
      </c>
    </row>
    <row r="95" spans="1:22" s="36" customFormat="1" ht="15.45" x14ac:dyDescent="0.35">
      <c r="A95" s="19" t="s">
        <v>218</v>
      </c>
      <c r="B95" s="9">
        <v>45677</v>
      </c>
      <c r="C95" s="14" t="s">
        <v>367</v>
      </c>
      <c r="D95" s="10" t="s">
        <v>368</v>
      </c>
      <c r="E95" s="9">
        <v>45667</v>
      </c>
      <c r="F95" s="10" t="s">
        <v>44</v>
      </c>
      <c r="G95" s="10" t="s">
        <v>41</v>
      </c>
      <c r="H95" s="61" t="s">
        <v>890</v>
      </c>
      <c r="I95" s="10" t="s">
        <v>23</v>
      </c>
      <c r="J95" s="10" t="s">
        <v>45</v>
      </c>
      <c r="K95" s="46" t="s">
        <v>516</v>
      </c>
      <c r="L95" s="10" t="s">
        <v>1</v>
      </c>
      <c r="M95" s="12">
        <v>4000</v>
      </c>
      <c r="N95" s="12">
        <v>21028</v>
      </c>
      <c r="O95" s="12">
        <v>16175</v>
      </c>
      <c r="P95" s="11">
        <v>84112000</v>
      </c>
      <c r="Q95" s="11">
        <f t="shared" si="11"/>
        <v>84112000</v>
      </c>
      <c r="R95" s="11">
        <v>9252320</v>
      </c>
      <c r="S95" s="11"/>
      <c r="T95" s="11">
        <v>0</v>
      </c>
      <c r="U95" s="11">
        <f t="shared" si="10"/>
        <v>93364320</v>
      </c>
      <c r="V95" s="42">
        <v>4000</v>
      </c>
    </row>
    <row r="96" spans="1:22" s="36" customFormat="1" ht="15.45" x14ac:dyDescent="0.35">
      <c r="A96" s="19" t="s">
        <v>99</v>
      </c>
      <c r="B96" s="9">
        <v>45665</v>
      </c>
      <c r="C96" s="14" t="s">
        <v>254</v>
      </c>
      <c r="D96" s="10" t="s">
        <v>255</v>
      </c>
      <c r="E96" s="9">
        <v>45665</v>
      </c>
      <c r="F96" s="10" t="s">
        <v>64</v>
      </c>
      <c r="G96" s="10" t="s">
        <v>238</v>
      </c>
      <c r="H96" s="10" t="s">
        <v>887</v>
      </c>
      <c r="I96" s="10" t="s">
        <v>23</v>
      </c>
      <c r="J96" s="10" t="s">
        <v>45</v>
      </c>
      <c r="K96" s="46" t="s">
        <v>259</v>
      </c>
      <c r="L96" s="10" t="s">
        <v>1</v>
      </c>
      <c r="M96" s="12">
        <f>IF(LEFT(C96,2)="RP",V96*-1,V96)</f>
        <v>250</v>
      </c>
      <c r="N96" s="12">
        <v>33000</v>
      </c>
      <c r="O96" s="12">
        <v>0</v>
      </c>
      <c r="P96" s="11">
        <v>8250000</v>
      </c>
      <c r="Q96" s="11">
        <f t="shared" si="11"/>
        <v>8250000</v>
      </c>
      <c r="R96" s="11">
        <v>907500</v>
      </c>
      <c r="S96" s="11"/>
      <c r="T96" s="11">
        <v>0</v>
      </c>
      <c r="U96" s="11">
        <f t="shared" si="10"/>
        <v>9157500</v>
      </c>
      <c r="V96" s="42">
        <v>250</v>
      </c>
    </row>
    <row r="97" spans="1:22" s="36" customFormat="1" ht="15.45" x14ac:dyDescent="0.35">
      <c r="A97" s="19" t="s">
        <v>96</v>
      </c>
      <c r="B97" s="9">
        <v>45679</v>
      </c>
      <c r="C97" s="14" t="s">
        <v>397</v>
      </c>
      <c r="D97" s="10" t="s">
        <v>398</v>
      </c>
      <c r="E97" s="9">
        <v>45679</v>
      </c>
      <c r="F97" s="10" t="s">
        <v>39</v>
      </c>
      <c r="G97" s="10" t="s">
        <v>399</v>
      </c>
      <c r="H97" s="10" t="s">
        <v>820</v>
      </c>
      <c r="I97" s="10" t="s">
        <v>24</v>
      </c>
      <c r="J97" s="10" t="s">
        <v>61</v>
      </c>
      <c r="K97" s="46"/>
      <c r="L97" s="10" t="s">
        <v>6</v>
      </c>
      <c r="M97" s="12">
        <v>2</v>
      </c>
      <c r="N97" s="12">
        <v>300000</v>
      </c>
      <c r="O97" s="12">
        <v>0</v>
      </c>
      <c r="P97" s="11">
        <v>600000</v>
      </c>
      <c r="Q97" s="11">
        <f t="shared" si="11"/>
        <v>600000</v>
      </c>
      <c r="R97" s="11">
        <v>0</v>
      </c>
      <c r="S97" s="11"/>
      <c r="T97" s="11">
        <v>0</v>
      </c>
      <c r="U97" s="11">
        <f t="shared" si="10"/>
        <v>600000</v>
      </c>
      <c r="V97" s="42">
        <v>2</v>
      </c>
    </row>
    <row r="98" spans="1:22" s="36" customFormat="1" ht="15.45" x14ac:dyDescent="0.35">
      <c r="A98" s="19" t="s">
        <v>96</v>
      </c>
      <c r="B98" s="9">
        <v>45679</v>
      </c>
      <c r="C98" s="14" t="s">
        <v>400</v>
      </c>
      <c r="D98" s="10" t="s">
        <v>401</v>
      </c>
      <c r="E98" s="9">
        <v>45679</v>
      </c>
      <c r="F98" s="10" t="s">
        <v>39</v>
      </c>
      <c r="G98" s="10" t="s">
        <v>189</v>
      </c>
      <c r="H98" s="10" t="s">
        <v>820</v>
      </c>
      <c r="I98" s="10" t="s">
        <v>24</v>
      </c>
      <c r="J98" s="10" t="s">
        <v>61</v>
      </c>
      <c r="K98" s="46"/>
      <c r="L98" s="10" t="s">
        <v>16</v>
      </c>
      <c r="M98" s="12">
        <v>1</v>
      </c>
      <c r="N98" s="12">
        <v>600000</v>
      </c>
      <c r="O98" s="12">
        <v>0</v>
      </c>
      <c r="P98" s="11">
        <v>600000</v>
      </c>
      <c r="Q98" s="11">
        <f t="shared" si="11"/>
        <v>600000</v>
      </c>
      <c r="R98" s="11">
        <v>0</v>
      </c>
      <c r="S98" s="11"/>
      <c r="T98" s="11">
        <v>0</v>
      </c>
      <c r="U98" s="11">
        <f t="shared" si="10"/>
        <v>600000</v>
      </c>
      <c r="V98" s="42">
        <v>1</v>
      </c>
    </row>
    <row r="99" spans="1:22" s="36" customFormat="1" ht="15.45" x14ac:dyDescent="0.35">
      <c r="A99" s="19" t="s">
        <v>100</v>
      </c>
      <c r="B99" s="9">
        <v>45679</v>
      </c>
      <c r="C99" s="14" t="s">
        <v>402</v>
      </c>
      <c r="D99" s="10" t="s">
        <v>403</v>
      </c>
      <c r="E99" s="9">
        <v>45679</v>
      </c>
      <c r="F99" s="10" t="s">
        <v>56</v>
      </c>
      <c r="G99" s="10" t="s">
        <v>178</v>
      </c>
      <c r="H99" s="10" t="s">
        <v>769</v>
      </c>
      <c r="I99" s="10" t="s">
        <v>27</v>
      </c>
      <c r="J99" s="10" t="s">
        <v>69</v>
      </c>
      <c r="K99" s="46"/>
      <c r="L99" s="10" t="s">
        <v>177</v>
      </c>
      <c r="M99" s="12">
        <v>2</v>
      </c>
      <c r="N99" s="12">
        <v>445000</v>
      </c>
      <c r="O99" s="12">
        <v>0</v>
      </c>
      <c r="P99" s="11">
        <v>890000</v>
      </c>
      <c r="Q99" s="11">
        <f t="shared" si="11"/>
        <v>890000</v>
      </c>
      <c r="R99" s="11">
        <v>0</v>
      </c>
      <c r="S99" s="11"/>
      <c r="T99" s="11">
        <v>0</v>
      </c>
      <c r="U99" s="11">
        <f t="shared" si="10"/>
        <v>890000</v>
      </c>
      <c r="V99" s="42">
        <v>2</v>
      </c>
    </row>
    <row r="100" spans="1:22" s="36" customFormat="1" ht="15.45" x14ac:dyDescent="0.35">
      <c r="A100" s="19" t="s">
        <v>100</v>
      </c>
      <c r="B100" s="9">
        <v>45679</v>
      </c>
      <c r="C100" s="14" t="s">
        <v>402</v>
      </c>
      <c r="D100" s="10" t="s">
        <v>403</v>
      </c>
      <c r="E100" s="9">
        <v>45679</v>
      </c>
      <c r="F100" s="10" t="s">
        <v>56</v>
      </c>
      <c r="G100" s="10" t="s">
        <v>176</v>
      </c>
      <c r="H100" s="10" t="s">
        <v>769</v>
      </c>
      <c r="I100" s="10" t="s">
        <v>27</v>
      </c>
      <c r="J100" s="10" t="s">
        <v>69</v>
      </c>
      <c r="K100" s="46"/>
      <c r="L100" s="10" t="s">
        <v>177</v>
      </c>
      <c r="M100" s="12">
        <v>2</v>
      </c>
      <c r="N100" s="12">
        <v>430000</v>
      </c>
      <c r="O100" s="12">
        <v>0</v>
      </c>
      <c r="P100" s="11">
        <v>860000</v>
      </c>
      <c r="Q100" s="11">
        <f t="shared" si="11"/>
        <v>860000</v>
      </c>
      <c r="R100" s="11">
        <v>0</v>
      </c>
      <c r="S100" s="11"/>
      <c r="T100" s="11">
        <v>0</v>
      </c>
      <c r="U100" s="11">
        <f t="shared" si="10"/>
        <v>860000</v>
      </c>
      <c r="V100" s="42">
        <v>2</v>
      </c>
    </row>
    <row r="101" spans="1:22" s="36" customFormat="1" ht="15.45" x14ac:dyDescent="0.35">
      <c r="A101" s="19" t="s">
        <v>98</v>
      </c>
      <c r="B101" s="9">
        <v>45679</v>
      </c>
      <c r="C101" s="14" t="s">
        <v>404</v>
      </c>
      <c r="D101" s="10" t="s">
        <v>244</v>
      </c>
      <c r="E101" s="9">
        <v>45657</v>
      </c>
      <c r="F101" s="10" t="s">
        <v>84</v>
      </c>
      <c r="G101" s="10" t="s">
        <v>175</v>
      </c>
      <c r="H101" s="10" t="s">
        <v>818</v>
      </c>
      <c r="I101" s="10" t="s">
        <v>25</v>
      </c>
      <c r="J101" s="10" t="s">
        <v>79</v>
      </c>
      <c r="K101" s="46" t="s">
        <v>497</v>
      </c>
      <c r="L101" s="10" t="s">
        <v>1</v>
      </c>
      <c r="M101" s="12">
        <v>34830</v>
      </c>
      <c r="N101" s="12">
        <v>1250</v>
      </c>
      <c r="O101" s="12">
        <v>0</v>
      </c>
      <c r="P101" s="11">
        <v>43537500</v>
      </c>
      <c r="Q101" s="11">
        <f t="shared" si="11"/>
        <v>43537500</v>
      </c>
      <c r="R101" s="11">
        <v>4789125</v>
      </c>
      <c r="S101" s="11">
        <f>Q101*1.5%</f>
        <v>653062.5</v>
      </c>
      <c r="T101" s="11">
        <v>0</v>
      </c>
      <c r="U101" s="11">
        <f t="shared" si="10"/>
        <v>47673562.5</v>
      </c>
      <c r="V101" s="42">
        <v>34830</v>
      </c>
    </row>
    <row r="102" spans="1:22" s="36" customFormat="1" ht="15.45" x14ac:dyDescent="0.35">
      <c r="A102" s="19" t="s">
        <v>160</v>
      </c>
      <c r="B102" s="9">
        <v>45681</v>
      </c>
      <c r="C102" s="14" t="s">
        <v>405</v>
      </c>
      <c r="D102" s="10" t="s">
        <v>406</v>
      </c>
      <c r="E102" s="9">
        <v>45677</v>
      </c>
      <c r="F102" s="10" t="s">
        <v>153</v>
      </c>
      <c r="G102" s="10" t="s">
        <v>154</v>
      </c>
      <c r="H102" s="10" t="s">
        <v>820</v>
      </c>
      <c r="I102" s="10" t="s">
        <v>24</v>
      </c>
      <c r="J102" s="10" t="s">
        <v>61</v>
      </c>
      <c r="K102" s="46" t="s">
        <v>498</v>
      </c>
      <c r="L102" s="10" t="s">
        <v>4</v>
      </c>
      <c r="M102" s="12">
        <v>40</v>
      </c>
      <c r="N102" s="12">
        <v>337500</v>
      </c>
      <c r="O102" s="12">
        <v>0</v>
      </c>
      <c r="P102" s="11">
        <v>13500000</v>
      </c>
      <c r="Q102" s="11">
        <f t="shared" si="11"/>
        <v>13500000</v>
      </c>
      <c r="R102" s="11">
        <v>1485000</v>
      </c>
      <c r="S102" s="49">
        <f>Q102*0.3%</f>
        <v>40500</v>
      </c>
      <c r="T102" s="49">
        <v>0</v>
      </c>
      <c r="U102" s="49">
        <f>Q102+R102-T102+S102</f>
        <v>15025500</v>
      </c>
      <c r="V102" s="42">
        <v>40</v>
      </c>
    </row>
    <row r="103" spans="1:22" s="36" customFormat="1" ht="15.45" x14ac:dyDescent="0.35">
      <c r="A103" s="19" t="s">
        <v>99</v>
      </c>
      <c r="B103" s="9">
        <v>45677</v>
      </c>
      <c r="C103" s="14" t="s">
        <v>366</v>
      </c>
      <c r="D103" s="10" t="s">
        <v>255</v>
      </c>
      <c r="E103" s="9">
        <v>45665</v>
      </c>
      <c r="F103" s="10" t="s">
        <v>64</v>
      </c>
      <c r="G103" s="10" t="s">
        <v>238</v>
      </c>
      <c r="H103" s="10" t="s">
        <v>887</v>
      </c>
      <c r="I103" s="10" t="s">
        <v>23</v>
      </c>
      <c r="J103" s="10" t="s">
        <v>45</v>
      </c>
      <c r="K103" s="46" t="s">
        <v>479</v>
      </c>
      <c r="L103" s="10" t="s">
        <v>1</v>
      </c>
      <c r="M103" s="12">
        <v>250</v>
      </c>
      <c r="N103" s="12">
        <v>33000</v>
      </c>
      <c r="O103" s="12">
        <v>0</v>
      </c>
      <c r="P103" s="11">
        <v>8250000</v>
      </c>
      <c r="Q103" s="11">
        <f t="shared" si="11"/>
        <v>8250000</v>
      </c>
      <c r="R103" s="11">
        <v>907500</v>
      </c>
      <c r="S103" s="11"/>
      <c r="T103" s="11">
        <v>0</v>
      </c>
      <c r="U103" s="11">
        <f t="shared" ref="U103:U118" si="13">Q103+R103-T103-S103</f>
        <v>9157500</v>
      </c>
      <c r="V103" s="42">
        <v>250</v>
      </c>
    </row>
    <row r="104" spans="1:22" s="36" customFormat="1" ht="15.45" x14ac:dyDescent="0.35">
      <c r="A104" s="19" t="s">
        <v>115</v>
      </c>
      <c r="B104" s="9">
        <v>45684</v>
      </c>
      <c r="C104" s="14" t="s">
        <v>408</v>
      </c>
      <c r="D104" s="10" t="s">
        <v>246</v>
      </c>
      <c r="E104" s="9">
        <v>45657</v>
      </c>
      <c r="F104" s="10" t="s">
        <v>81</v>
      </c>
      <c r="G104" s="10" t="s">
        <v>89</v>
      </c>
      <c r="H104" s="10" t="s">
        <v>818</v>
      </c>
      <c r="I104" s="10" t="s">
        <v>25</v>
      </c>
      <c r="J104" s="10" t="s">
        <v>79</v>
      </c>
      <c r="K104" s="46" t="s">
        <v>534</v>
      </c>
      <c r="L104" s="10" t="s">
        <v>1</v>
      </c>
      <c r="M104" s="12">
        <v>30370</v>
      </c>
      <c r="N104" s="12">
        <v>1565</v>
      </c>
      <c r="O104" s="12">
        <v>0</v>
      </c>
      <c r="P104" s="11">
        <v>47529050</v>
      </c>
      <c r="Q104" s="11">
        <f t="shared" si="11"/>
        <v>47529050</v>
      </c>
      <c r="R104" s="11">
        <v>5228195.5</v>
      </c>
      <c r="S104" s="11">
        <f>Q104*1.5%</f>
        <v>712935.75</v>
      </c>
      <c r="T104" s="11">
        <v>0</v>
      </c>
      <c r="U104" s="11">
        <f t="shared" si="13"/>
        <v>52044309.75</v>
      </c>
      <c r="V104" s="42">
        <v>30370</v>
      </c>
    </row>
    <row r="105" spans="1:22" s="36" customFormat="1" ht="15.45" x14ac:dyDescent="0.35">
      <c r="A105" s="19" t="s">
        <v>132</v>
      </c>
      <c r="B105" s="9">
        <v>45687</v>
      </c>
      <c r="C105" s="14" t="s">
        <v>409</v>
      </c>
      <c r="D105" s="10" t="s">
        <v>410</v>
      </c>
      <c r="E105" s="9">
        <v>45687</v>
      </c>
      <c r="F105" s="10" t="s">
        <v>129</v>
      </c>
      <c r="G105" s="10" t="s">
        <v>173</v>
      </c>
      <c r="H105" s="10" t="s">
        <v>820</v>
      </c>
      <c r="I105" s="10" t="s">
        <v>24</v>
      </c>
      <c r="J105" s="10" t="s">
        <v>61</v>
      </c>
      <c r="K105" s="46"/>
      <c r="L105" s="10" t="s">
        <v>10</v>
      </c>
      <c r="M105" s="12">
        <f t="shared" ref="M105:M114" si="14">IF(LEFT(C105,2)="RP",V105*-1,V105)</f>
        <v>10</v>
      </c>
      <c r="N105" s="12">
        <v>3000</v>
      </c>
      <c r="O105" s="12">
        <v>0</v>
      </c>
      <c r="P105" s="11">
        <v>30000</v>
      </c>
      <c r="Q105" s="11">
        <f t="shared" si="11"/>
        <v>30000</v>
      </c>
      <c r="R105" s="11">
        <v>0</v>
      </c>
      <c r="S105" s="11"/>
      <c r="T105" s="11">
        <v>0</v>
      </c>
      <c r="U105" s="11">
        <f t="shared" si="13"/>
        <v>30000</v>
      </c>
      <c r="V105" s="42">
        <v>10</v>
      </c>
    </row>
    <row r="106" spans="1:22" s="36" customFormat="1" ht="15.45" x14ac:dyDescent="0.35">
      <c r="A106" s="19" t="s">
        <v>132</v>
      </c>
      <c r="B106" s="9">
        <v>45687</v>
      </c>
      <c r="C106" s="14" t="s">
        <v>409</v>
      </c>
      <c r="D106" s="10" t="s">
        <v>410</v>
      </c>
      <c r="E106" s="9">
        <v>45687</v>
      </c>
      <c r="F106" s="10" t="s">
        <v>129</v>
      </c>
      <c r="G106" s="10" t="s">
        <v>193</v>
      </c>
      <c r="H106" s="10" t="s">
        <v>820</v>
      </c>
      <c r="I106" s="10" t="s">
        <v>24</v>
      </c>
      <c r="J106" s="10" t="s">
        <v>61</v>
      </c>
      <c r="K106" s="46"/>
      <c r="L106" s="10" t="s">
        <v>151</v>
      </c>
      <c r="M106" s="12">
        <f t="shared" si="14"/>
        <v>2</v>
      </c>
      <c r="N106" s="12">
        <v>34000</v>
      </c>
      <c r="O106" s="12">
        <v>0</v>
      </c>
      <c r="P106" s="11">
        <v>68000</v>
      </c>
      <c r="Q106" s="11">
        <f t="shared" si="11"/>
        <v>68000</v>
      </c>
      <c r="R106" s="11">
        <v>0</v>
      </c>
      <c r="S106" s="11"/>
      <c r="T106" s="11">
        <v>0</v>
      </c>
      <c r="U106" s="11">
        <f t="shared" si="13"/>
        <v>68000</v>
      </c>
      <c r="V106" s="42">
        <v>2</v>
      </c>
    </row>
    <row r="107" spans="1:22" s="36" customFormat="1" ht="15.45" x14ac:dyDescent="0.35">
      <c r="A107" s="19" t="s">
        <v>132</v>
      </c>
      <c r="B107" s="9">
        <v>45687</v>
      </c>
      <c r="C107" s="14" t="s">
        <v>409</v>
      </c>
      <c r="D107" s="10" t="s">
        <v>410</v>
      </c>
      <c r="E107" s="9">
        <v>45687</v>
      </c>
      <c r="F107" s="10" t="s">
        <v>129</v>
      </c>
      <c r="G107" s="10" t="s">
        <v>411</v>
      </c>
      <c r="H107" s="10" t="s">
        <v>820</v>
      </c>
      <c r="I107" s="10" t="s">
        <v>24</v>
      </c>
      <c r="J107" s="10" t="s">
        <v>61</v>
      </c>
      <c r="K107" s="46"/>
      <c r="L107" s="10" t="s">
        <v>10</v>
      </c>
      <c r="M107" s="12">
        <f t="shared" si="14"/>
        <v>75</v>
      </c>
      <c r="N107" s="12">
        <v>1400</v>
      </c>
      <c r="O107" s="12">
        <v>0</v>
      </c>
      <c r="P107" s="11">
        <v>105000</v>
      </c>
      <c r="Q107" s="11">
        <f t="shared" si="11"/>
        <v>105000</v>
      </c>
      <c r="R107" s="11">
        <v>0</v>
      </c>
      <c r="S107" s="11"/>
      <c r="T107" s="11">
        <v>0</v>
      </c>
      <c r="U107" s="11">
        <f t="shared" si="13"/>
        <v>105000</v>
      </c>
      <c r="V107" s="42">
        <v>75</v>
      </c>
    </row>
    <row r="108" spans="1:22" s="36" customFormat="1" ht="15.45" x14ac:dyDescent="0.35">
      <c r="A108" s="19" t="s">
        <v>113</v>
      </c>
      <c r="B108" s="9">
        <v>45687</v>
      </c>
      <c r="C108" s="14" t="s">
        <v>412</v>
      </c>
      <c r="D108" s="10" t="s">
        <v>413</v>
      </c>
      <c r="E108" s="9">
        <v>45687</v>
      </c>
      <c r="F108" s="10" t="s">
        <v>42</v>
      </c>
      <c r="G108" s="10" t="s">
        <v>197</v>
      </c>
      <c r="H108" s="10" t="s">
        <v>820</v>
      </c>
      <c r="I108" s="10" t="s">
        <v>24</v>
      </c>
      <c r="J108" s="10" t="s">
        <v>61</v>
      </c>
      <c r="K108" s="46"/>
      <c r="L108" s="10" t="s">
        <v>6</v>
      </c>
      <c r="M108" s="12">
        <f t="shared" si="14"/>
        <v>100</v>
      </c>
      <c r="N108" s="12">
        <v>4000</v>
      </c>
      <c r="O108" s="12">
        <v>0</v>
      </c>
      <c r="P108" s="11">
        <v>400000</v>
      </c>
      <c r="Q108" s="11">
        <f t="shared" si="11"/>
        <v>400000</v>
      </c>
      <c r="R108" s="11">
        <v>0</v>
      </c>
      <c r="S108" s="11"/>
      <c r="T108" s="11">
        <v>0</v>
      </c>
      <c r="U108" s="11">
        <f t="shared" si="13"/>
        <v>400000</v>
      </c>
      <c r="V108" s="42">
        <v>100</v>
      </c>
    </row>
    <row r="109" spans="1:22" s="36" customFormat="1" ht="15.45" x14ac:dyDescent="0.35">
      <c r="A109" s="19" t="s">
        <v>113</v>
      </c>
      <c r="B109" s="9">
        <v>45687</v>
      </c>
      <c r="C109" s="14" t="s">
        <v>412</v>
      </c>
      <c r="D109" s="10" t="s">
        <v>413</v>
      </c>
      <c r="E109" s="9">
        <v>45687</v>
      </c>
      <c r="F109" s="10" t="s">
        <v>42</v>
      </c>
      <c r="G109" s="10" t="s">
        <v>214</v>
      </c>
      <c r="H109" s="10" t="s">
        <v>820</v>
      </c>
      <c r="I109" s="10" t="s">
        <v>24</v>
      </c>
      <c r="J109" s="10" t="s">
        <v>61</v>
      </c>
      <c r="K109" s="46"/>
      <c r="L109" s="10" t="s">
        <v>6</v>
      </c>
      <c r="M109" s="12">
        <f t="shared" si="14"/>
        <v>2</v>
      </c>
      <c r="N109" s="12">
        <v>100000</v>
      </c>
      <c r="O109" s="12">
        <v>0</v>
      </c>
      <c r="P109" s="11">
        <v>200000</v>
      </c>
      <c r="Q109" s="11">
        <f t="shared" si="11"/>
        <v>200000</v>
      </c>
      <c r="R109" s="11">
        <v>0</v>
      </c>
      <c r="S109" s="11"/>
      <c r="T109" s="11">
        <v>0</v>
      </c>
      <c r="U109" s="11">
        <f t="shared" si="13"/>
        <v>200000</v>
      </c>
      <c r="V109" s="42">
        <v>2</v>
      </c>
    </row>
    <row r="110" spans="1:22" s="36" customFormat="1" ht="15.45" x14ac:dyDescent="0.35">
      <c r="A110" s="19" t="s">
        <v>116</v>
      </c>
      <c r="B110" s="9">
        <v>45687</v>
      </c>
      <c r="C110" s="14" t="s">
        <v>414</v>
      </c>
      <c r="D110" s="10" t="s">
        <v>415</v>
      </c>
      <c r="E110" s="9">
        <v>45687</v>
      </c>
      <c r="F110" s="10" t="s">
        <v>40</v>
      </c>
      <c r="G110" s="10" t="s">
        <v>182</v>
      </c>
      <c r="H110" s="10" t="s">
        <v>820</v>
      </c>
      <c r="I110" s="10" t="s">
        <v>24</v>
      </c>
      <c r="J110" s="10" t="s">
        <v>61</v>
      </c>
      <c r="K110" s="46"/>
      <c r="L110" s="10" t="s">
        <v>6</v>
      </c>
      <c r="M110" s="12">
        <f t="shared" si="14"/>
        <v>10</v>
      </c>
      <c r="N110" s="12">
        <v>35000</v>
      </c>
      <c r="O110" s="12">
        <v>0</v>
      </c>
      <c r="P110" s="11">
        <v>350000</v>
      </c>
      <c r="Q110" s="11">
        <f t="shared" si="11"/>
        <v>350000</v>
      </c>
      <c r="R110" s="11">
        <v>0</v>
      </c>
      <c r="S110" s="11"/>
      <c r="T110" s="11">
        <v>0</v>
      </c>
      <c r="U110" s="11">
        <f t="shared" si="13"/>
        <v>350000</v>
      </c>
      <c r="V110" s="42">
        <v>10</v>
      </c>
    </row>
    <row r="111" spans="1:22" s="36" customFormat="1" ht="15.45" x14ac:dyDescent="0.35">
      <c r="A111" s="19" t="s">
        <v>116</v>
      </c>
      <c r="B111" s="9">
        <v>45687</v>
      </c>
      <c r="C111" s="14" t="s">
        <v>414</v>
      </c>
      <c r="D111" s="10" t="s">
        <v>415</v>
      </c>
      <c r="E111" s="9">
        <v>45687</v>
      </c>
      <c r="F111" s="10" t="s">
        <v>40</v>
      </c>
      <c r="G111" s="10" t="s">
        <v>416</v>
      </c>
      <c r="H111" s="10" t="s">
        <v>820</v>
      </c>
      <c r="I111" s="10" t="s">
        <v>24</v>
      </c>
      <c r="J111" s="10" t="s">
        <v>61</v>
      </c>
      <c r="K111" s="46"/>
      <c r="L111" s="10" t="s">
        <v>6</v>
      </c>
      <c r="M111" s="12">
        <f t="shared" si="14"/>
        <v>10</v>
      </c>
      <c r="N111" s="12">
        <v>60000</v>
      </c>
      <c r="O111" s="12">
        <v>0</v>
      </c>
      <c r="P111" s="11">
        <v>600000</v>
      </c>
      <c r="Q111" s="11">
        <f t="shared" ref="Q111:Q131" si="15">P111</f>
        <v>600000</v>
      </c>
      <c r="R111" s="11">
        <v>0</v>
      </c>
      <c r="S111" s="11"/>
      <c r="T111" s="11">
        <v>0</v>
      </c>
      <c r="U111" s="11">
        <f t="shared" si="13"/>
        <v>600000</v>
      </c>
      <c r="V111" s="42">
        <v>10</v>
      </c>
    </row>
    <row r="112" spans="1:22" s="36" customFormat="1" ht="15.45" x14ac:dyDescent="0.35">
      <c r="A112" s="19" t="s">
        <v>111</v>
      </c>
      <c r="B112" s="9">
        <v>45687</v>
      </c>
      <c r="C112" s="14" t="s">
        <v>417</v>
      </c>
      <c r="D112" s="10" t="s">
        <v>418</v>
      </c>
      <c r="E112" s="9">
        <v>45687</v>
      </c>
      <c r="F112" s="10" t="s">
        <v>55</v>
      </c>
      <c r="G112" s="10" t="s">
        <v>87</v>
      </c>
      <c r="H112" s="10" t="s">
        <v>820</v>
      </c>
      <c r="I112" s="10" t="s">
        <v>24</v>
      </c>
      <c r="J112" s="10" t="s">
        <v>61</v>
      </c>
      <c r="K112" s="46"/>
      <c r="L112" s="10" t="s">
        <v>10</v>
      </c>
      <c r="M112" s="12">
        <f t="shared" si="14"/>
        <v>29</v>
      </c>
      <c r="N112" s="12">
        <v>12500</v>
      </c>
      <c r="O112" s="12">
        <v>0</v>
      </c>
      <c r="P112" s="11">
        <v>362500</v>
      </c>
      <c r="Q112" s="11">
        <f t="shared" si="15"/>
        <v>362500</v>
      </c>
      <c r="R112" s="11">
        <v>0</v>
      </c>
      <c r="S112" s="11"/>
      <c r="T112" s="11">
        <v>0</v>
      </c>
      <c r="U112" s="11">
        <f t="shared" si="13"/>
        <v>362500</v>
      </c>
      <c r="V112" s="42">
        <v>29</v>
      </c>
    </row>
    <row r="113" spans="1:24" s="36" customFormat="1" ht="15.45" x14ac:dyDescent="0.35">
      <c r="A113" s="19" t="s">
        <v>100</v>
      </c>
      <c r="B113" s="9">
        <v>45687</v>
      </c>
      <c r="C113" s="14" t="s">
        <v>419</v>
      </c>
      <c r="D113" s="10" t="s">
        <v>420</v>
      </c>
      <c r="E113" s="9">
        <v>45687</v>
      </c>
      <c r="F113" s="10" t="s">
        <v>56</v>
      </c>
      <c r="G113" s="10" t="s">
        <v>179</v>
      </c>
      <c r="H113" s="10" t="s">
        <v>769</v>
      </c>
      <c r="I113" s="10" t="s">
        <v>27</v>
      </c>
      <c r="J113" s="10" t="s">
        <v>69</v>
      </c>
      <c r="K113" s="46"/>
      <c r="L113" s="10" t="s">
        <v>11</v>
      </c>
      <c r="M113" s="12">
        <f t="shared" si="14"/>
        <v>20</v>
      </c>
      <c r="N113" s="12">
        <v>17500</v>
      </c>
      <c r="O113" s="12">
        <v>0</v>
      </c>
      <c r="P113" s="11">
        <v>350000</v>
      </c>
      <c r="Q113" s="11">
        <f t="shared" si="15"/>
        <v>350000</v>
      </c>
      <c r="R113" s="11">
        <v>0</v>
      </c>
      <c r="S113" s="11"/>
      <c r="T113" s="11">
        <v>0</v>
      </c>
      <c r="U113" s="11">
        <f t="shared" si="13"/>
        <v>350000</v>
      </c>
      <c r="V113" s="42">
        <v>20</v>
      </c>
    </row>
    <row r="114" spans="1:24" s="36" customFormat="1" ht="15.45" x14ac:dyDescent="0.35">
      <c r="A114" s="19" t="s">
        <v>100</v>
      </c>
      <c r="B114" s="9">
        <v>45687</v>
      </c>
      <c r="C114" s="14" t="s">
        <v>419</v>
      </c>
      <c r="D114" s="10" t="s">
        <v>420</v>
      </c>
      <c r="E114" s="9">
        <v>45687</v>
      </c>
      <c r="F114" s="10" t="s">
        <v>56</v>
      </c>
      <c r="G114" s="10" t="s">
        <v>185</v>
      </c>
      <c r="H114" s="10" t="s">
        <v>769</v>
      </c>
      <c r="I114" s="10" t="s">
        <v>27</v>
      </c>
      <c r="J114" s="10" t="s">
        <v>69</v>
      </c>
      <c r="K114" s="46"/>
      <c r="L114" s="10" t="s">
        <v>145</v>
      </c>
      <c r="M114" s="12">
        <f t="shared" si="14"/>
        <v>1000</v>
      </c>
      <c r="N114" s="12">
        <v>750</v>
      </c>
      <c r="O114" s="12">
        <v>0</v>
      </c>
      <c r="P114" s="11">
        <v>750000</v>
      </c>
      <c r="Q114" s="11">
        <f t="shared" si="15"/>
        <v>750000</v>
      </c>
      <c r="R114" s="11">
        <v>0</v>
      </c>
      <c r="S114" s="11"/>
      <c r="T114" s="11">
        <v>0</v>
      </c>
      <c r="U114" s="11">
        <f t="shared" si="13"/>
        <v>750000</v>
      </c>
      <c r="V114" s="42">
        <v>1000</v>
      </c>
    </row>
    <row r="115" spans="1:24" s="36" customFormat="1" ht="15.45" x14ac:dyDescent="0.35">
      <c r="A115" s="19" t="s">
        <v>99</v>
      </c>
      <c r="B115" s="9">
        <v>45677</v>
      </c>
      <c r="C115" s="14" t="s">
        <v>375</v>
      </c>
      <c r="D115" s="10" t="s">
        <v>376</v>
      </c>
      <c r="E115" s="9">
        <v>45673</v>
      </c>
      <c r="F115" s="10" t="s">
        <v>64</v>
      </c>
      <c r="G115" s="10" t="s">
        <v>237</v>
      </c>
      <c r="H115" s="10" t="s">
        <v>887</v>
      </c>
      <c r="I115" s="10" t="s">
        <v>23</v>
      </c>
      <c r="J115" s="10" t="s">
        <v>45</v>
      </c>
      <c r="K115" s="46" t="s">
        <v>480</v>
      </c>
      <c r="L115" s="10" t="s">
        <v>1</v>
      </c>
      <c r="M115" s="12">
        <v>250</v>
      </c>
      <c r="N115" s="12">
        <v>47500</v>
      </c>
      <c r="O115" s="12">
        <v>0</v>
      </c>
      <c r="P115" s="11">
        <v>11875000</v>
      </c>
      <c r="Q115" s="11">
        <f t="shared" si="15"/>
        <v>11875000</v>
      </c>
      <c r="R115" s="11">
        <v>1306250</v>
      </c>
      <c r="S115" s="11"/>
      <c r="T115" s="11">
        <v>0</v>
      </c>
      <c r="U115" s="11">
        <f t="shared" si="13"/>
        <v>13181250</v>
      </c>
      <c r="V115" s="42">
        <v>250</v>
      </c>
    </row>
    <row r="116" spans="1:24" s="36" customFormat="1" ht="15.45" x14ac:dyDescent="0.35">
      <c r="A116" s="19" t="s">
        <v>112</v>
      </c>
      <c r="B116" s="9">
        <v>45670</v>
      </c>
      <c r="C116" s="14" t="s">
        <v>303</v>
      </c>
      <c r="D116" s="10" t="s">
        <v>304</v>
      </c>
      <c r="E116" s="9">
        <v>45667</v>
      </c>
      <c r="F116" s="10" t="s">
        <v>50</v>
      </c>
      <c r="G116" s="10" t="s">
        <v>35</v>
      </c>
      <c r="H116" s="10" t="s">
        <v>773</v>
      </c>
      <c r="I116" s="10" t="s">
        <v>23</v>
      </c>
      <c r="J116" s="10" t="s">
        <v>45</v>
      </c>
      <c r="K116" s="46" t="s">
        <v>387</v>
      </c>
      <c r="L116" s="10" t="s">
        <v>1</v>
      </c>
      <c r="M116" s="12">
        <f>IF(LEFT(C116,2)="RP",V116*-1,V116)</f>
        <v>120</v>
      </c>
      <c r="N116" s="12">
        <v>21028</v>
      </c>
      <c r="O116" s="12">
        <v>16175</v>
      </c>
      <c r="P116" s="11">
        <v>2523360</v>
      </c>
      <c r="Q116" s="11">
        <f t="shared" si="15"/>
        <v>2523360</v>
      </c>
      <c r="R116" s="11">
        <v>277569.59999999998</v>
      </c>
      <c r="S116" s="11"/>
      <c r="T116" s="11">
        <v>0</v>
      </c>
      <c r="U116" s="11">
        <f t="shared" si="13"/>
        <v>2800929.6</v>
      </c>
      <c r="V116" s="42">
        <v>120</v>
      </c>
    </row>
    <row r="117" spans="1:24" s="36" customFormat="1" ht="15.45" x14ac:dyDescent="0.35">
      <c r="A117" s="19" t="s">
        <v>187</v>
      </c>
      <c r="B117" s="9">
        <v>45687</v>
      </c>
      <c r="C117" s="14" t="s">
        <v>423</v>
      </c>
      <c r="D117" s="10" t="s">
        <v>424</v>
      </c>
      <c r="E117" s="9">
        <v>45687</v>
      </c>
      <c r="F117" s="10" t="s">
        <v>186</v>
      </c>
      <c r="G117" s="10" t="s">
        <v>89</v>
      </c>
      <c r="H117" s="10" t="s">
        <v>818</v>
      </c>
      <c r="I117" s="10" t="s">
        <v>25</v>
      </c>
      <c r="J117" s="10" t="s">
        <v>79</v>
      </c>
      <c r="K117" s="46" t="s">
        <v>477</v>
      </c>
      <c r="L117" s="10" t="s">
        <v>1</v>
      </c>
      <c r="M117" s="12">
        <f>IF(LEFT(C117,2)="RP",V117*-1,V117)</f>
        <v>30020</v>
      </c>
      <c r="N117" s="12">
        <v>1575</v>
      </c>
      <c r="O117" s="12">
        <v>0</v>
      </c>
      <c r="P117" s="11">
        <v>47281500</v>
      </c>
      <c r="Q117" s="11">
        <f t="shared" si="15"/>
        <v>47281500</v>
      </c>
      <c r="R117" s="11">
        <v>5200965</v>
      </c>
      <c r="S117" s="11">
        <f>Q117*1.5%</f>
        <v>709222.5</v>
      </c>
      <c r="T117" s="11">
        <v>0</v>
      </c>
      <c r="U117" s="11">
        <f t="shared" si="13"/>
        <v>51773242.5</v>
      </c>
      <c r="V117" s="42">
        <v>30020</v>
      </c>
    </row>
    <row r="118" spans="1:24" s="36" customFormat="1" ht="15.45" x14ac:dyDescent="0.35">
      <c r="A118" s="20" t="s">
        <v>472</v>
      </c>
      <c r="B118" s="9">
        <v>45687</v>
      </c>
      <c r="C118" s="14" t="s">
        <v>468</v>
      </c>
      <c r="D118" s="10" t="s">
        <v>469</v>
      </c>
      <c r="E118" s="9">
        <v>45675</v>
      </c>
      <c r="F118" s="10" t="s">
        <v>470</v>
      </c>
      <c r="G118" s="10" t="s">
        <v>471</v>
      </c>
      <c r="H118" s="10" t="s">
        <v>769</v>
      </c>
      <c r="I118" s="10" t="s">
        <v>190</v>
      </c>
      <c r="J118" s="10" t="s">
        <v>191</v>
      </c>
      <c r="K118" s="46"/>
      <c r="L118" s="10" t="s">
        <v>16</v>
      </c>
      <c r="M118" s="12">
        <f>IF(LEFT(C118,2)="RP",V118*-1,V118)</f>
        <v>1</v>
      </c>
      <c r="N118" s="12">
        <v>12000000</v>
      </c>
      <c r="O118" s="12">
        <v>0</v>
      </c>
      <c r="P118" s="11">
        <v>12000000</v>
      </c>
      <c r="Q118" s="11">
        <f t="shared" si="15"/>
        <v>12000000</v>
      </c>
      <c r="R118" s="11">
        <v>0</v>
      </c>
      <c r="S118" s="11"/>
      <c r="T118" s="11">
        <v>0</v>
      </c>
      <c r="U118" s="11">
        <f t="shared" si="13"/>
        <v>12000000</v>
      </c>
      <c r="V118" s="42">
        <v>1</v>
      </c>
    </row>
    <row r="119" spans="1:24" s="36" customFormat="1" ht="15.45" x14ac:dyDescent="0.35">
      <c r="A119" s="19" t="s">
        <v>118</v>
      </c>
      <c r="B119" s="21">
        <v>45672</v>
      </c>
      <c r="C119" s="22" t="s">
        <v>502</v>
      </c>
      <c r="D119" s="23"/>
      <c r="E119" s="21"/>
      <c r="F119" s="23" t="s">
        <v>217</v>
      </c>
      <c r="G119" s="23" t="s">
        <v>503</v>
      </c>
      <c r="H119" s="23" t="s">
        <v>769</v>
      </c>
      <c r="I119" s="23" t="s">
        <v>119</v>
      </c>
      <c r="J119" s="23" t="s">
        <v>120</v>
      </c>
      <c r="K119" s="26"/>
      <c r="L119" s="23" t="s">
        <v>135</v>
      </c>
      <c r="M119" s="24">
        <v>1757</v>
      </c>
      <c r="N119" s="24">
        <v>7500</v>
      </c>
      <c r="O119" s="24"/>
      <c r="P119" s="25">
        <f>M119*N119</f>
        <v>13177500</v>
      </c>
      <c r="Q119" s="25">
        <f t="shared" si="15"/>
        <v>13177500</v>
      </c>
      <c r="R119" s="25"/>
      <c r="S119" s="25"/>
      <c r="T119" s="25"/>
      <c r="U119" s="25">
        <f>Q119</f>
        <v>13177500</v>
      </c>
      <c r="V119" s="29"/>
      <c r="W119" s="28"/>
      <c r="X119" s="28"/>
    </row>
    <row r="120" spans="1:24" customFormat="1" ht="15.45" x14ac:dyDescent="0.4">
      <c r="A120" s="19" t="s">
        <v>166</v>
      </c>
      <c r="B120" s="9">
        <v>45666</v>
      </c>
      <c r="C120" s="27" t="s">
        <v>430</v>
      </c>
      <c r="D120" s="23" t="s">
        <v>167</v>
      </c>
      <c r="E120" s="21"/>
      <c r="F120" s="23" t="s">
        <v>210</v>
      </c>
      <c r="G120" s="23" t="s">
        <v>168</v>
      </c>
      <c r="H120" s="23" t="s">
        <v>771</v>
      </c>
      <c r="I120" s="23" t="s">
        <v>169</v>
      </c>
      <c r="J120" s="23" t="s">
        <v>192</v>
      </c>
      <c r="K120" s="46" t="s">
        <v>535</v>
      </c>
      <c r="L120" s="23" t="s">
        <v>0</v>
      </c>
      <c r="M120" s="24">
        <v>6450</v>
      </c>
      <c r="N120" s="31">
        <v>225.23</v>
      </c>
      <c r="O120" s="24"/>
      <c r="P120" s="25">
        <f>M120*N120</f>
        <v>1452733.5</v>
      </c>
      <c r="Q120" s="44">
        <f t="shared" si="15"/>
        <v>1452733.5</v>
      </c>
      <c r="R120" s="45">
        <f>Q120*0.11</f>
        <v>159800.685</v>
      </c>
      <c r="S120" s="44">
        <f>Q120*2%</f>
        <v>29054.670000000002</v>
      </c>
      <c r="T120" s="44"/>
      <c r="U120" s="43">
        <f t="shared" ref="U120:U131" si="16">Q120+R120-T120-S120</f>
        <v>1583479.5150000001</v>
      </c>
    </row>
    <row r="121" spans="1:24" customFormat="1" ht="15.45" x14ac:dyDescent="0.4">
      <c r="A121" s="19" t="s">
        <v>166</v>
      </c>
      <c r="B121" s="9">
        <v>45667</v>
      </c>
      <c r="C121" s="27" t="s">
        <v>431</v>
      </c>
      <c r="D121" s="23" t="s">
        <v>167</v>
      </c>
      <c r="E121" s="21"/>
      <c r="F121" s="23" t="s">
        <v>210</v>
      </c>
      <c r="G121" s="23" t="s">
        <v>168</v>
      </c>
      <c r="H121" s="23" t="s">
        <v>771</v>
      </c>
      <c r="I121" s="23" t="s">
        <v>169</v>
      </c>
      <c r="J121" s="23" t="s">
        <v>192</v>
      </c>
      <c r="K121" s="46" t="s">
        <v>536</v>
      </c>
      <c r="L121" s="23" t="s">
        <v>0</v>
      </c>
      <c r="M121" s="24">
        <v>6400</v>
      </c>
      <c r="N121" s="31">
        <v>225.23</v>
      </c>
      <c r="O121" s="24"/>
      <c r="P121" s="25">
        <f t="shared" ref="P121:P130" si="17">M121*N121</f>
        <v>1441472</v>
      </c>
      <c r="Q121" s="25">
        <f t="shared" si="15"/>
        <v>1441472</v>
      </c>
      <c r="R121" s="32">
        <f t="shared" ref="R121:R129" si="18">Q121*0.11</f>
        <v>158561.92000000001</v>
      </c>
      <c r="S121" s="25">
        <f t="shared" ref="S121:S129" si="19">Q121*2%</f>
        <v>28829.440000000002</v>
      </c>
      <c r="T121" s="25"/>
      <c r="U121" s="11">
        <f t="shared" si="16"/>
        <v>1571204.48</v>
      </c>
    </row>
    <row r="122" spans="1:24" customFormat="1" ht="15.45" x14ac:dyDescent="0.4">
      <c r="A122" s="19" t="s">
        <v>166</v>
      </c>
      <c r="B122" s="9">
        <v>45670</v>
      </c>
      <c r="C122" s="27" t="s">
        <v>432</v>
      </c>
      <c r="D122" s="23" t="s">
        <v>167</v>
      </c>
      <c r="E122" s="21"/>
      <c r="F122" s="23" t="s">
        <v>210</v>
      </c>
      <c r="G122" s="23" t="s">
        <v>168</v>
      </c>
      <c r="H122" s="23" t="s">
        <v>771</v>
      </c>
      <c r="I122" s="23" t="s">
        <v>169</v>
      </c>
      <c r="J122" s="23" t="s">
        <v>192</v>
      </c>
      <c r="K122" s="46" t="s">
        <v>537</v>
      </c>
      <c r="L122" s="23" t="s">
        <v>0</v>
      </c>
      <c r="M122" s="24">
        <v>6260</v>
      </c>
      <c r="N122" s="31">
        <v>225.23</v>
      </c>
      <c r="O122" s="24"/>
      <c r="P122" s="25">
        <f t="shared" si="17"/>
        <v>1409939.8</v>
      </c>
      <c r="Q122" s="25">
        <f t="shared" si="15"/>
        <v>1409939.8</v>
      </c>
      <c r="R122" s="32">
        <f t="shared" si="18"/>
        <v>155093.378</v>
      </c>
      <c r="S122" s="25">
        <f t="shared" si="19"/>
        <v>28198.796000000002</v>
      </c>
      <c r="T122" s="25"/>
      <c r="U122" s="11">
        <f t="shared" si="16"/>
        <v>1536834.382</v>
      </c>
    </row>
    <row r="123" spans="1:24" customFormat="1" ht="15.45" x14ac:dyDescent="0.4">
      <c r="A123" s="19" t="s">
        <v>166</v>
      </c>
      <c r="B123" s="9">
        <v>45672</v>
      </c>
      <c r="C123" s="27" t="s">
        <v>433</v>
      </c>
      <c r="D123" s="23" t="s">
        <v>167</v>
      </c>
      <c r="E123" s="21"/>
      <c r="F123" s="23" t="s">
        <v>210</v>
      </c>
      <c r="G123" s="23" t="s">
        <v>168</v>
      </c>
      <c r="H123" s="23" t="s">
        <v>771</v>
      </c>
      <c r="I123" s="23" t="s">
        <v>169</v>
      </c>
      <c r="J123" s="23" t="s">
        <v>192</v>
      </c>
      <c r="K123" s="46" t="s">
        <v>538</v>
      </c>
      <c r="L123" s="23" t="s">
        <v>0</v>
      </c>
      <c r="M123" s="24">
        <v>6000</v>
      </c>
      <c r="N123" s="31">
        <v>225.23</v>
      </c>
      <c r="O123" s="24"/>
      <c r="P123" s="25">
        <f t="shared" si="17"/>
        <v>1351380</v>
      </c>
      <c r="Q123" s="25">
        <f t="shared" si="15"/>
        <v>1351380</v>
      </c>
      <c r="R123" s="32">
        <f t="shared" si="18"/>
        <v>148651.79999999999</v>
      </c>
      <c r="S123" s="25">
        <f t="shared" si="19"/>
        <v>27027.600000000002</v>
      </c>
      <c r="T123" s="25"/>
      <c r="U123" s="11">
        <f t="shared" si="16"/>
        <v>1473004.2</v>
      </c>
    </row>
    <row r="124" spans="1:24" customFormat="1" ht="15.45" x14ac:dyDescent="0.4">
      <c r="A124" s="19" t="s">
        <v>166</v>
      </c>
      <c r="B124" s="9">
        <v>45673</v>
      </c>
      <c r="C124" s="27" t="s">
        <v>434</v>
      </c>
      <c r="D124" s="23" t="s">
        <v>167</v>
      </c>
      <c r="E124" s="21"/>
      <c r="F124" s="23" t="s">
        <v>210</v>
      </c>
      <c r="G124" s="23" t="s">
        <v>168</v>
      </c>
      <c r="H124" s="23" t="s">
        <v>771</v>
      </c>
      <c r="I124" s="23" t="s">
        <v>169</v>
      </c>
      <c r="J124" s="23" t="s">
        <v>192</v>
      </c>
      <c r="K124" s="46" t="s">
        <v>539</v>
      </c>
      <c r="L124" s="23" t="s">
        <v>0</v>
      </c>
      <c r="M124" s="24">
        <v>6050</v>
      </c>
      <c r="N124" s="31">
        <v>225.23</v>
      </c>
      <c r="O124" s="24"/>
      <c r="P124" s="25">
        <f t="shared" si="17"/>
        <v>1362641.5</v>
      </c>
      <c r="Q124" s="25">
        <f t="shared" si="15"/>
        <v>1362641.5</v>
      </c>
      <c r="R124" s="32">
        <f t="shared" si="18"/>
        <v>149890.565</v>
      </c>
      <c r="S124" s="25">
        <f t="shared" si="19"/>
        <v>27252.83</v>
      </c>
      <c r="T124" s="25"/>
      <c r="U124" s="11">
        <f t="shared" si="16"/>
        <v>1485279.2349999999</v>
      </c>
    </row>
    <row r="125" spans="1:24" customFormat="1" ht="15.45" x14ac:dyDescent="0.4">
      <c r="A125" s="19" t="s">
        <v>166</v>
      </c>
      <c r="B125" s="9">
        <v>45677</v>
      </c>
      <c r="C125" s="27" t="s">
        <v>435</v>
      </c>
      <c r="D125" s="23" t="s">
        <v>167</v>
      </c>
      <c r="E125" s="21"/>
      <c r="F125" s="23" t="s">
        <v>210</v>
      </c>
      <c r="G125" s="23" t="s">
        <v>168</v>
      </c>
      <c r="H125" s="23" t="s">
        <v>771</v>
      </c>
      <c r="I125" s="23" t="s">
        <v>169</v>
      </c>
      <c r="J125" s="23" t="s">
        <v>192</v>
      </c>
      <c r="K125" s="46" t="s">
        <v>540</v>
      </c>
      <c r="L125" s="23" t="s">
        <v>0</v>
      </c>
      <c r="M125" s="24">
        <v>6580</v>
      </c>
      <c r="N125" s="31">
        <v>225.23</v>
      </c>
      <c r="O125" s="24"/>
      <c r="P125" s="25">
        <f t="shared" si="17"/>
        <v>1482013.4</v>
      </c>
      <c r="Q125" s="25">
        <f t="shared" si="15"/>
        <v>1482013.4</v>
      </c>
      <c r="R125" s="32">
        <f t="shared" si="18"/>
        <v>163021.47399999999</v>
      </c>
      <c r="S125" s="25">
        <f t="shared" si="19"/>
        <v>29640.268</v>
      </c>
      <c r="T125" s="25"/>
      <c r="U125" s="11">
        <f t="shared" si="16"/>
        <v>1615394.6059999999</v>
      </c>
    </row>
    <row r="126" spans="1:24" customFormat="1" ht="15.45" x14ac:dyDescent="0.4">
      <c r="A126" s="19" t="s">
        <v>166</v>
      </c>
      <c r="B126" s="9">
        <v>45679</v>
      </c>
      <c r="C126" s="27" t="s">
        <v>436</v>
      </c>
      <c r="D126" s="23" t="s">
        <v>167</v>
      </c>
      <c r="E126" s="21"/>
      <c r="F126" s="23" t="s">
        <v>210</v>
      </c>
      <c r="G126" s="23" t="s">
        <v>168</v>
      </c>
      <c r="H126" s="23" t="s">
        <v>771</v>
      </c>
      <c r="I126" s="23" t="s">
        <v>169</v>
      </c>
      <c r="J126" s="23" t="s">
        <v>192</v>
      </c>
      <c r="K126" s="46" t="s">
        <v>541</v>
      </c>
      <c r="L126" s="23" t="s">
        <v>0</v>
      </c>
      <c r="M126" s="24">
        <v>6320</v>
      </c>
      <c r="N126" s="31">
        <v>225.23</v>
      </c>
      <c r="O126" s="24"/>
      <c r="P126" s="25">
        <f t="shared" si="17"/>
        <v>1423453.5999999999</v>
      </c>
      <c r="Q126" s="25">
        <f t="shared" si="15"/>
        <v>1423453.5999999999</v>
      </c>
      <c r="R126" s="32">
        <f t="shared" si="18"/>
        <v>156579.89599999998</v>
      </c>
      <c r="S126" s="25">
        <f t="shared" si="19"/>
        <v>28469.071999999996</v>
      </c>
      <c r="T126" s="25"/>
      <c r="U126" s="11">
        <f t="shared" si="16"/>
        <v>1551564.4239999999</v>
      </c>
    </row>
    <row r="127" spans="1:24" customFormat="1" ht="15.45" x14ac:dyDescent="0.4">
      <c r="A127" s="19" t="s">
        <v>166</v>
      </c>
      <c r="B127" s="9">
        <v>45680</v>
      </c>
      <c r="C127" s="27" t="s">
        <v>437</v>
      </c>
      <c r="D127" s="23" t="s">
        <v>167</v>
      </c>
      <c r="E127" s="21"/>
      <c r="F127" s="23" t="s">
        <v>210</v>
      </c>
      <c r="G127" s="23" t="s">
        <v>168</v>
      </c>
      <c r="H127" s="23" t="s">
        <v>771</v>
      </c>
      <c r="I127" s="23" t="s">
        <v>169</v>
      </c>
      <c r="J127" s="23" t="s">
        <v>192</v>
      </c>
      <c r="K127" s="46" t="s">
        <v>542</v>
      </c>
      <c r="L127" s="23" t="s">
        <v>0</v>
      </c>
      <c r="M127" s="24">
        <v>5170</v>
      </c>
      <c r="N127" s="31">
        <v>225.23</v>
      </c>
      <c r="O127" s="24"/>
      <c r="P127" s="25">
        <f t="shared" si="17"/>
        <v>1164439.0999999999</v>
      </c>
      <c r="Q127" s="25">
        <f t="shared" si="15"/>
        <v>1164439.0999999999</v>
      </c>
      <c r="R127" s="32">
        <f t="shared" si="18"/>
        <v>128088.30099999999</v>
      </c>
      <c r="S127" s="25">
        <f t="shared" si="19"/>
        <v>23288.781999999999</v>
      </c>
      <c r="T127" s="25"/>
      <c r="U127" s="11">
        <f t="shared" si="16"/>
        <v>1269238.6189999999</v>
      </c>
    </row>
    <row r="128" spans="1:24" customFormat="1" ht="15.45" x14ac:dyDescent="0.4">
      <c r="A128" s="19" t="s">
        <v>166</v>
      </c>
      <c r="B128" s="9">
        <v>45686</v>
      </c>
      <c r="C128" s="27" t="s">
        <v>438</v>
      </c>
      <c r="D128" s="23" t="s">
        <v>167</v>
      </c>
      <c r="E128" s="21"/>
      <c r="F128" s="23" t="s">
        <v>210</v>
      </c>
      <c r="G128" s="23" t="s">
        <v>168</v>
      </c>
      <c r="H128" s="23" t="s">
        <v>771</v>
      </c>
      <c r="I128" s="23" t="s">
        <v>169</v>
      </c>
      <c r="J128" s="23" t="s">
        <v>192</v>
      </c>
      <c r="K128" s="46" t="s">
        <v>543</v>
      </c>
      <c r="L128" s="23" t="s">
        <v>0</v>
      </c>
      <c r="M128" s="24">
        <v>6500</v>
      </c>
      <c r="N128" s="31">
        <v>225.23</v>
      </c>
      <c r="O128" s="24"/>
      <c r="P128" s="25">
        <f t="shared" si="17"/>
        <v>1463995</v>
      </c>
      <c r="Q128" s="25">
        <f t="shared" si="15"/>
        <v>1463995</v>
      </c>
      <c r="R128" s="32">
        <f t="shared" si="18"/>
        <v>161039.45000000001</v>
      </c>
      <c r="S128" s="25">
        <f t="shared" si="19"/>
        <v>29279.9</v>
      </c>
      <c r="T128" s="25"/>
      <c r="U128" s="11">
        <f t="shared" si="16"/>
        <v>1595754.55</v>
      </c>
    </row>
    <row r="129" spans="1:24" customFormat="1" ht="15.45" x14ac:dyDescent="0.4">
      <c r="A129" s="19" t="s">
        <v>166</v>
      </c>
      <c r="B129" s="9">
        <v>45687</v>
      </c>
      <c r="C129" s="27" t="s">
        <v>439</v>
      </c>
      <c r="D129" s="23" t="s">
        <v>167</v>
      </c>
      <c r="E129" s="21"/>
      <c r="F129" s="23" t="s">
        <v>210</v>
      </c>
      <c r="G129" s="23" t="s">
        <v>168</v>
      </c>
      <c r="H129" s="23" t="s">
        <v>771</v>
      </c>
      <c r="I129" s="23" t="s">
        <v>169</v>
      </c>
      <c r="J129" s="23" t="s">
        <v>192</v>
      </c>
      <c r="K129" s="46" t="s">
        <v>544</v>
      </c>
      <c r="L129" s="23" t="s">
        <v>0</v>
      </c>
      <c r="M129" s="24">
        <v>6680</v>
      </c>
      <c r="N129" s="31">
        <v>225.23</v>
      </c>
      <c r="O129" s="24"/>
      <c r="P129" s="25">
        <f t="shared" si="17"/>
        <v>1504536.4</v>
      </c>
      <c r="Q129" s="25">
        <f t="shared" si="15"/>
        <v>1504536.4</v>
      </c>
      <c r="R129" s="32">
        <f t="shared" si="18"/>
        <v>165499.00399999999</v>
      </c>
      <c r="S129" s="25">
        <f t="shared" si="19"/>
        <v>30090.727999999999</v>
      </c>
      <c r="T129" s="25"/>
      <c r="U129" s="11">
        <f t="shared" si="16"/>
        <v>1639944.676</v>
      </c>
    </row>
    <row r="130" spans="1:24" s="36" customFormat="1" ht="15.45" x14ac:dyDescent="0.35">
      <c r="A130" s="20" t="s">
        <v>161</v>
      </c>
      <c r="B130" s="21">
        <v>45672</v>
      </c>
      <c r="C130" s="22"/>
      <c r="D130" s="23"/>
      <c r="E130" s="21"/>
      <c r="F130" s="23" t="s">
        <v>162</v>
      </c>
      <c r="G130" s="23" t="s">
        <v>481</v>
      </c>
      <c r="H130" s="23" t="s">
        <v>772</v>
      </c>
      <c r="I130" s="23" t="s">
        <v>163</v>
      </c>
      <c r="J130" s="23" t="s">
        <v>164</v>
      </c>
      <c r="K130" s="46" t="s">
        <v>482</v>
      </c>
      <c r="L130" s="23" t="s">
        <v>165</v>
      </c>
      <c r="M130" s="24">
        <v>5</v>
      </c>
      <c r="N130" s="31">
        <v>4800000</v>
      </c>
      <c r="O130" s="24">
        <v>0</v>
      </c>
      <c r="P130" s="25">
        <f t="shared" si="17"/>
        <v>24000000</v>
      </c>
      <c r="Q130" s="25">
        <f t="shared" si="15"/>
        <v>24000000</v>
      </c>
      <c r="R130" s="32">
        <f>Q130*0.11</f>
        <v>2640000</v>
      </c>
      <c r="S130" s="25">
        <v>480000</v>
      </c>
      <c r="T130" s="25"/>
      <c r="U130" s="11">
        <f t="shared" si="16"/>
        <v>26160000</v>
      </c>
      <c r="V130" s="33"/>
      <c r="W130" s="30"/>
      <c r="X130" s="30"/>
    </row>
    <row r="131" spans="1:24" s="36" customFormat="1" ht="15.45" x14ac:dyDescent="0.35">
      <c r="A131" s="48" t="s">
        <v>501</v>
      </c>
      <c r="B131" s="52">
        <v>45661</v>
      </c>
      <c r="C131" s="55"/>
      <c r="D131" s="51"/>
      <c r="E131" s="52"/>
      <c r="F131" s="51" t="s">
        <v>483</v>
      </c>
      <c r="G131" s="51" t="s">
        <v>484</v>
      </c>
      <c r="H131" s="51" t="s">
        <v>770</v>
      </c>
      <c r="I131" s="51"/>
      <c r="J131" s="51"/>
      <c r="K131" s="46" t="s">
        <v>485</v>
      </c>
      <c r="L131" s="51" t="s">
        <v>0</v>
      </c>
      <c r="M131" s="53">
        <v>1193.55</v>
      </c>
      <c r="N131" s="54">
        <v>31981.98</v>
      </c>
      <c r="O131" s="24">
        <v>0</v>
      </c>
      <c r="P131" s="25">
        <f>M131*N131</f>
        <v>38172092.228999995</v>
      </c>
      <c r="Q131" s="25">
        <f t="shared" si="15"/>
        <v>38172092.228999995</v>
      </c>
      <c r="R131" s="32">
        <f>Q131*0.11</f>
        <v>4198930.1451899996</v>
      </c>
      <c r="S131" s="25"/>
      <c r="T131" s="25"/>
      <c r="U131" s="11">
        <f t="shared" si="16"/>
        <v>42371022.374189995</v>
      </c>
      <c r="V131" s="33"/>
      <c r="W131" s="30" t="s">
        <v>500</v>
      </c>
      <c r="X131" s="30"/>
    </row>
    <row r="132" spans="1:24" ht="15.45" x14ac:dyDescent="0.4">
      <c r="A132" s="19" t="s">
        <v>108</v>
      </c>
      <c r="B132" s="9">
        <v>45688</v>
      </c>
      <c r="C132" s="14" t="s">
        <v>504</v>
      </c>
      <c r="D132" s="10" t="s">
        <v>456</v>
      </c>
      <c r="E132" s="9">
        <v>45687</v>
      </c>
      <c r="F132" s="10" t="s">
        <v>51</v>
      </c>
      <c r="G132" s="10" t="s">
        <v>58</v>
      </c>
      <c r="H132" s="10" t="s">
        <v>820</v>
      </c>
      <c r="I132" s="10" t="s">
        <v>24</v>
      </c>
      <c r="J132" s="10" t="s">
        <v>61</v>
      </c>
      <c r="K132" s="50" t="s">
        <v>478</v>
      </c>
      <c r="L132" s="10" t="s">
        <v>6</v>
      </c>
      <c r="M132" s="12">
        <v>25</v>
      </c>
      <c r="N132" s="12">
        <v>80000</v>
      </c>
      <c r="O132" s="12">
        <v>0</v>
      </c>
      <c r="P132" s="11">
        <v>2000000</v>
      </c>
      <c r="Q132" s="11">
        <v>2000000</v>
      </c>
      <c r="R132" s="11">
        <v>220000</v>
      </c>
      <c r="S132" s="11"/>
      <c r="T132" s="11">
        <v>0</v>
      </c>
      <c r="U132" s="11">
        <v>2220000</v>
      </c>
      <c r="V132" s="42">
        <v>25</v>
      </c>
    </row>
    <row r="133" spans="1:24" s="28" customFormat="1" ht="15.45" x14ac:dyDescent="0.4">
      <c r="A133" s="19" t="s">
        <v>510</v>
      </c>
      <c r="B133" s="21">
        <v>45679</v>
      </c>
      <c r="C133" s="22"/>
      <c r="D133" s="23"/>
      <c r="E133" s="21"/>
      <c r="F133" s="23" t="s">
        <v>511</v>
      </c>
      <c r="G133" s="23" t="s">
        <v>512</v>
      </c>
      <c r="H133" s="23" t="s">
        <v>769</v>
      </c>
      <c r="I133" s="23" t="s">
        <v>513</v>
      </c>
      <c r="J133" s="23" t="s">
        <v>514</v>
      </c>
      <c r="K133" s="46" t="s">
        <v>518</v>
      </c>
      <c r="L133" s="23" t="s">
        <v>16</v>
      </c>
      <c r="M133" s="24">
        <v>1</v>
      </c>
      <c r="N133" s="31">
        <v>450000</v>
      </c>
      <c r="O133" s="24">
        <v>0</v>
      </c>
      <c r="P133" s="25">
        <f t="shared" ref="P133:P138" si="20">M133*N133</f>
        <v>450000</v>
      </c>
      <c r="Q133" s="25">
        <f>P133</f>
        <v>450000</v>
      </c>
      <c r="R133" s="32">
        <f t="shared" ref="R133:R138" si="21">Q133*0.11</f>
        <v>49500</v>
      </c>
      <c r="S133" s="25">
        <f t="shared" ref="S133:S138" si="22">Q133*2%</f>
        <v>9000</v>
      </c>
      <c r="T133" s="25">
        <v>0</v>
      </c>
      <c r="U133" s="25">
        <f t="shared" ref="U133:U138" si="23">Q133+R133-S133</f>
        <v>490500</v>
      </c>
      <c r="W133" s="57" t="s">
        <v>594</v>
      </c>
      <c r="X133" s="57"/>
    </row>
    <row r="134" spans="1:24" s="28" customFormat="1" ht="15.45" x14ac:dyDescent="0.4">
      <c r="A134" s="19" t="s">
        <v>510</v>
      </c>
      <c r="B134" s="21">
        <v>45679</v>
      </c>
      <c r="C134" s="22"/>
      <c r="D134" s="23"/>
      <c r="E134" s="21"/>
      <c r="F134" s="23" t="s">
        <v>511</v>
      </c>
      <c r="G134" s="23" t="s">
        <v>515</v>
      </c>
      <c r="H134" s="23" t="s">
        <v>769</v>
      </c>
      <c r="I134" s="23" t="s">
        <v>513</v>
      </c>
      <c r="J134" s="23" t="s">
        <v>514</v>
      </c>
      <c r="K134" s="46" t="s">
        <v>518</v>
      </c>
      <c r="L134" s="23" t="s">
        <v>145</v>
      </c>
      <c r="M134" s="24">
        <v>40</v>
      </c>
      <c r="N134" s="31">
        <v>85</v>
      </c>
      <c r="O134" s="24">
        <v>0</v>
      </c>
      <c r="P134" s="25">
        <f t="shared" si="20"/>
        <v>3400</v>
      </c>
      <c r="Q134" s="25">
        <f>P134</f>
        <v>3400</v>
      </c>
      <c r="R134" s="32">
        <f t="shared" si="21"/>
        <v>374</v>
      </c>
      <c r="S134" s="25">
        <f t="shared" si="22"/>
        <v>68</v>
      </c>
      <c r="T134" s="25">
        <v>0</v>
      </c>
      <c r="U134" s="25">
        <f t="shared" si="23"/>
        <v>3706</v>
      </c>
      <c r="W134" s="57" t="s">
        <v>594</v>
      </c>
      <c r="X134" s="57"/>
    </row>
    <row r="135" spans="1:24" s="28" customFormat="1" ht="15.45" x14ac:dyDescent="0.4">
      <c r="A135" s="19" t="s">
        <v>768</v>
      </c>
      <c r="B135" s="21"/>
      <c r="C135" s="22"/>
      <c r="D135" s="23"/>
      <c r="E135" s="21"/>
      <c r="F135" s="23" t="s">
        <v>595</v>
      </c>
      <c r="G135" s="23" t="s">
        <v>596</v>
      </c>
      <c r="H135" s="23" t="s">
        <v>769</v>
      </c>
      <c r="I135" s="23" t="s">
        <v>119</v>
      </c>
      <c r="J135" s="23" t="s">
        <v>120</v>
      </c>
      <c r="K135" s="46" t="s">
        <v>600</v>
      </c>
      <c r="L135" s="23"/>
      <c r="M135" s="24">
        <v>1</v>
      </c>
      <c r="N135" s="31">
        <v>625000</v>
      </c>
      <c r="O135" s="24">
        <v>0</v>
      </c>
      <c r="P135" s="25">
        <f t="shared" si="20"/>
        <v>625000</v>
      </c>
      <c r="Q135" s="25">
        <f>P135-T135</f>
        <v>562500</v>
      </c>
      <c r="R135" s="32">
        <f t="shared" si="21"/>
        <v>61875</v>
      </c>
      <c r="S135" s="25">
        <f t="shared" si="22"/>
        <v>11250</v>
      </c>
      <c r="T135" s="25">
        <f>P135*10%</f>
        <v>62500</v>
      </c>
      <c r="U135" s="25">
        <f t="shared" si="23"/>
        <v>613125</v>
      </c>
      <c r="W135" s="57"/>
      <c r="X135" s="57"/>
    </row>
    <row r="136" spans="1:24" s="28" customFormat="1" ht="15.45" x14ac:dyDescent="0.4">
      <c r="A136" s="19" t="s">
        <v>768</v>
      </c>
      <c r="B136" s="21">
        <v>45659</v>
      </c>
      <c r="C136" s="22"/>
      <c r="D136" s="23"/>
      <c r="E136" s="21"/>
      <c r="F136" s="23" t="s">
        <v>595</v>
      </c>
      <c r="G136" s="23" t="s">
        <v>597</v>
      </c>
      <c r="H136" s="23" t="s">
        <v>769</v>
      </c>
      <c r="I136" s="23" t="s">
        <v>119</v>
      </c>
      <c r="J136" s="23" t="s">
        <v>120</v>
      </c>
      <c r="K136" s="46" t="s">
        <v>600</v>
      </c>
      <c r="L136" s="23"/>
      <c r="M136" s="24">
        <v>3</v>
      </c>
      <c r="N136" s="31">
        <v>1170000</v>
      </c>
      <c r="O136" s="24">
        <v>0</v>
      </c>
      <c r="P136" s="25">
        <f t="shared" si="20"/>
        <v>3510000</v>
      </c>
      <c r="Q136" s="25">
        <f>P136-T136</f>
        <v>3159000</v>
      </c>
      <c r="R136" s="32">
        <f t="shared" si="21"/>
        <v>347490</v>
      </c>
      <c r="S136" s="25">
        <f t="shared" si="22"/>
        <v>63180</v>
      </c>
      <c r="T136" s="25">
        <f>P136*10%</f>
        <v>351000</v>
      </c>
      <c r="U136" s="25">
        <f t="shared" si="23"/>
        <v>3443310</v>
      </c>
      <c r="W136" s="57"/>
      <c r="X136" s="57"/>
    </row>
    <row r="137" spans="1:24" s="28" customFormat="1" ht="15.45" x14ac:dyDescent="0.4">
      <c r="A137" s="19" t="s">
        <v>768</v>
      </c>
      <c r="B137" s="21"/>
      <c r="C137" s="22"/>
      <c r="D137" s="23"/>
      <c r="E137" s="21"/>
      <c r="F137" s="23" t="s">
        <v>595</v>
      </c>
      <c r="G137" s="23" t="s">
        <v>598</v>
      </c>
      <c r="H137" s="23" t="s">
        <v>769</v>
      </c>
      <c r="I137" s="23" t="s">
        <v>119</v>
      </c>
      <c r="J137" s="23" t="s">
        <v>120</v>
      </c>
      <c r="K137" s="46" t="s">
        <v>600</v>
      </c>
      <c r="L137" s="23"/>
      <c r="M137" s="24">
        <v>2</v>
      </c>
      <c r="N137" s="31">
        <v>1950000</v>
      </c>
      <c r="O137" s="24">
        <v>0</v>
      </c>
      <c r="P137" s="25">
        <f t="shared" si="20"/>
        <v>3900000</v>
      </c>
      <c r="Q137" s="25">
        <f>P137-T137</f>
        <v>3510000</v>
      </c>
      <c r="R137" s="32">
        <f t="shared" si="21"/>
        <v>386100</v>
      </c>
      <c r="S137" s="25">
        <f t="shared" si="22"/>
        <v>70200</v>
      </c>
      <c r="T137" s="25">
        <f>P137*10%</f>
        <v>390000</v>
      </c>
      <c r="U137" s="25">
        <f t="shared" si="23"/>
        <v>3825900</v>
      </c>
      <c r="W137" s="57"/>
      <c r="X137" s="57"/>
    </row>
    <row r="138" spans="1:24" s="28" customFormat="1" ht="15.45" x14ac:dyDescent="0.4">
      <c r="A138" s="19" t="s">
        <v>768</v>
      </c>
      <c r="B138" s="21"/>
      <c r="C138" s="22"/>
      <c r="D138" s="23"/>
      <c r="E138" s="21"/>
      <c r="F138" s="23" t="s">
        <v>595</v>
      </c>
      <c r="G138" s="23" t="s">
        <v>599</v>
      </c>
      <c r="H138" s="23" t="s">
        <v>769</v>
      </c>
      <c r="I138" s="23" t="s">
        <v>119</v>
      </c>
      <c r="J138" s="23" t="s">
        <v>120</v>
      </c>
      <c r="K138" s="46" t="s">
        <v>600</v>
      </c>
      <c r="L138" s="23"/>
      <c r="M138" s="24">
        <v>1</v>
      </c>
      <c r="N138" s="31">
        <v>1200000</v>
      </c>
      <c r="O138" s="24">
        <v>0</v>
      </c>
      <c r="P138" s="25">
        <f t="shared" si="20"/>
        <v>1200000</v>
      </c>
      <c r="Q138" s="25">
        <f>P138</f>
        <v>1200000</v>
      </c>
      <c r="R138" s="32">
        <f t="shared" si="21"/>
        <v>132000</v>
      </c>
      <c r="S138" s="25">
        <f t="shared" si="22"/>
        <v>24000</v>
      </c>
      <c r="T138" s="25">
        <v>0</v>
      </c>
      <c r="U138" s="25">
        <f t="shared" si="23"/>
        <v>1308000</v>
      </c>
      <c r="W138" s="57"/>
      <c r="X138" s="57"/>
    </row>
    <row r="145" spans="18:19" x14ac:dyDescent="0.4">
      <c r="R145" s="56">
        <f>+R6</f>
        <v>131817515.11819001</v>
      </c>
      <c r="S145" s="57" t="s">
        <v>505</v>
      </c>
    </row>
    <row r="146" spans="18:19" x14ac:dyDescent="0.4">
      <c r="R146" s="56">
        <v>131817514</v>
      </c>
      <c r="S146" s="57" t="s">
        <v>506</v>
      </c>
    </row>
    <row r="147" spans="18:19" x14ac:dyDescent="0.4">
      <c r="R147" s="56">
        <v>214852590</v>
      </c>
      <c r="S147" s="57" t="s">
        <v>507</v>
      </c>
    </row>
    <row r="148" spans="18:19" x14ac:dyDescent="0.4">
      <c r="R148" s="58">
        <f>R145-R146</f>
        <v>1.1181900054216385</v>
      </c>
      <c r="S148" s="57" t="s">
        <v>508</v>
      </c>
    </row>
    <row r="149" spans="18:19" x14ac:dyDescent="0.4">
      <c r="R149" s="58">
        <f>R146-R147</f>
        <v>-83035076</v>
      </c>
      <c r="S149" s="57" t="s">
        <v>509</v>
      </c>
    </row>
  </sheetData>
  <autoFilter ref="A7:X138" xr:uid="{78F51D1E-3DB8-4369-A8BF-DE4D86CE9F2B}"/>
  <conditionalFormatting sqref="A8">
    <cfRule type="duplicateValues" dxfId="1360" priority="173"/>
  </conditionalFormatting>
  <conditionalFormatting sqref="A14">
    <cfRule type="duplicateValues" dxfId="1359" priority="141"/>
  </conditionalFormatting>
  <conditionalFormatting sqref="A16">
    <cfRule type="duplicateValues" dxfId="1358" priority="163"/>
  </conditionalFormatting>
  <conditionalFormatting sqref="A17">
    <cfRule type="duplicateValues" dxfId="1357" priority="159"/>
  </conditionalFormatting>
  <conditionalFormatting sqref="A18">
    <cfRule type="duplicateValues" dxfId="1356" priority="135"/>
  </conditionalFormatting>
  <conditionalFormatting sqref="A21 A10:A13">
    <cfRule type="duplicateValues" dxfId="1355" priority="169"/>
  </conditionalFormatting>
  <conditionalFormatting sqref="A21">
    <cfRule type="duplicateValues" dxfId="1354" priority="170"/>
  </conditionalFormatting>
  <conditionalFormatting sqref="A23">
    <cfRule type="duplicateValues" dxfId="1353" priority="171"/>
  </conditionalFormatting>
  <conditionalFormatting sqref="A24">
    <cfRule type="duplicateValues" dxfId="1352" priority="167"/>
  </conditionalFormatting>
  <conditionalFormatting sqref="A25">
    <cfRule type="duplicateValues" dxfId="1351" priority="153"/>
  </conditionalFormatting>
  <conditionalFormatting sqref="A26:A29">
    <cfRule type="duplicateValues" dxfId="1350" priority="161"/>
  </conditionalFormatting>
  <conditionalFormatting sqref="A30">
    <cfRule type="duplicateValues" dxfId="1349" priority="117"/>
  </conditionalFormatting>
  <conditionalFormatting sqref="A31">
    <cfRule type="duplicateValues" dxfId="1348" priority="129"/>
  </conditionalFormatting>
  <conditionalFormatting sqref="A32">
    <cfRule type="duplicateValues" dxfId="1347" priority="127"/>
  </conditionalFormatting>
  <conditionalFormatting sqref="A33">
    <cfRule type="duplicateValues" dxfId="1346" priority="133"/>
  </conditionalFormatting>
  <conditionalFormatting sqref="A34">
    <cfRule type="duplicateValues" dxfId="1345" priority="151"/>
  </conditionalFormatting>
  <conditionalFormatting sqref="A35">
    <cfRule type="duplicateValues" dxfId="1344" priority="137"/>
  </conditionalFormatting>
  <conditionalFormatting sqref="A36:A37">
    <cfRule type="duplicateValues" dxfId="1343" priority="149"/>
  </conditionalFormatting>
  <conditionalFormatting sqref="A39 A19">
    <cfRule type="duplicateValues" dxfId="1342" priority="165"/>
  </conditionalFormatting>
  <conditionalFormatting sqref="A39">
    <cfRule type="duplicateValues" dxfId="1341" priority="166"/>
  </conditionalFormatting>
  <conditionalFormatting sqref="A40">
    <cfRule type="duplicateValues" dxfId="1340" priority="157"/>
  </conditionalFormatting>
  <conditionalFormatting sqref="A41">
    <cfRule type="duplicateValues" dxfId="1339" priority="145"/>
  </conditionalFormatting>
  <conditionalFormatting sqref="A43">
    <cfRule type="duplicateValues" dxfId="1338" priority="103"/>
  </conditionalFormatting>
  <conditionalFormatting sqref="A44">
    <cfRule type="duplicateValues" dxfId="1337" priority="131"/>
  </conditionalFormatting>
  <conditionalFormatting sqref="A45">
    <cfRule type="duplicateValues" dxfId="1336" priority="143"/>
  </conditionalFormatting>
  <conditionalFormatting sqref="A46 A42 A15">
    <cfRule type="duplicateValues" dxfId="1335" priority="147"/>
  </conditionalFormatting>
  <conditionalFormatting sqref="A46">
    <cfRule type="duplicateValues" dxfId="1334" priority="148"/>
  </conditionalFormatting>
  <conditionalFormatting sqref="A47 A38 A22 A9">
    <cfRule type="duplicateValues" dxfId="1333" priority="123"/>
  </conditionalFormatting>
  <conditionalFormatting sqref="A47">
    <cfRule type="duplicateValues" dxfId="1332" priority="124"/>
  </conditionalFormatting>
  <conditionalFormatting sqref="A48:A49">
    <cfRule type="duplicateValues" dxfId="1331" priority="155"/>
  </conditionalFormatting>
  <conditionalFormatting sqref="A50">
    <cfRule type="duplicateValues" dxfId="1330" priority="115"/>
  </conditionalFormatting>
  <conditionalFormatting sqref="A51">
    <cfRule type="duplicateValues" dxfId="1329" priority="113"/>
  </conditionalFormatting>
  <conditionalFormatting sqref="A52">
    <cfRule type="duplicateValues" dxfId="1328" priority="107"/>
  </conditionalFormatting>
  <conditionalFormatting sqref="A53">
    <cfRule type="duplicateValues" dxfId="1327" priority="139"/>
  </conditionalFormatting>
  <conditionalFormatting sqref="A54">
    <cfRule type="duplicateValues" dxfId="1326" priority="119"/>
  </conditionalFormatting>
  <conditionalFormatting sqref="A55:A56">
    <cfRule type="duplicateValues" dxfId="1325" priority="111"/>
  </conditionalFormatting>
  <conditionalFormatting sqref="A57:A60">
    <cfRule type="duplicateValues" dxfId="1324" priority="105"/>
  </conditionalFormatting>
  <conditionalFormatting sqref="A61 A20">
    <cfRule type="duplicateValues" dxfId="1323" priority="109"/>
  </conditionalFormatting>
  <conditionalFormatting sqref="A61">
    <cfRule type="duplicateValues" dxfId="1322" priority="110"/>
  </conditionalFormatting>
  <conditionalFormatting sqref="A62:A63">
    <cfRule type="duplicateValues" dxfId="1321" priority="97"/>
  </conditionalFormatting>
  <conditionalFormatting sqref="A64">
    <cfRule type="duplicateValues" dxfId="1320" priority="89"/>
  </conditionalFormatting>
  <conditionalFormatting sqref="A65">
    <cfRule type="duplicateValues" dxfId="1319" priority="87"/>
  </conditionalFormatting>
  <conditionalFormatting sqref="A66:A67">
    <cfRule type="duplicateValues" dxfId="1318" priority="91"/>
  </conditionalFormatting>
  <conditionalFormatting sqref="A68">
    <cfRule type="duplicateValues" dxfId="1317" priority="81"/>
  </conditionalFormatting>
  <conditionalFormatting sqref="A69">
    <cfRule type="duplicateValues" dxfId="1316" priority="101"/>
  </conditionalFormatting>
  <conditionalFormatting sqref="A70">
    <cfRule type="duplicateValues" dxfId="1315" priority="99"/>
  </conditionalFormatting>
  <conditionalFormatting sqref="A71">
    <cfRule type="duplicateValues" dxfId="1314" priority="85"/>
  </conditionalFormatting>
  <conditionalFormatting sqref="A72">
    <cfRule type="duplicateValues" dxfId="1313" priority="83"/>
  </conditionalFormatting>
  <conditionalFormatting sqref="A73">
    <cfRule type="duplicateValues" dxfId="1312" priority="77"/>
  </conditionalFormatting>
  <conditionalFormatting sqref="A74:A75">
    <cfRule type="duplicateValues" dxfId="1311" priority="79"/>
  </conditionalFormatting>
  <conditionalFormatting sqref="A76">
    <cfRule type="duplicateValues" dxfId="1310" priority="93"/>
  </conditionalFormatting>
  <conditionalFormatting sqref="A77 A91">
    <cfRule type="duplicateValues" dxfId="1309" priority="2190"/>
  </conditionalFormatting>
  <conditionalFormatting sqref="A78:A81">
    <cfRule type="duplicateValues" dxfId="1308" priority="59"/>
  </conditionalFormatting>
  <conditionalFormatting sqref="A82">
    <cfRule type="duplicateValues" dxfId="1307" priority="65"/>
  </conditionalFormatting>
  <conditionalFormatting sqref="A84">
    <cfRule type="duplicateValues" dxfId="1306" priority="69"/>
  </conditionalFormatting>
  <conditionalFormatting sqref="A85">
    <cfRule type="duplicateValues" dxfId="1305" priority="67"/>
  </conditionalFormatting>
  <conditionalFormatting sqref="A87">
    <cfRule type="duplicateValues" dxfId="1304" priority="71"/>
  </conditionalFormatting>
  <conditionalFormatting sqref="A88:A90 A83">
    <cfRule type="duplicateValues" dxfId="1303" priority="75"/>
  </conditionalFormatting>
  <conditionalFormatting sqref="A92">
    <cfRule type="duplicateValues" dxfId="1302" priority="61"/>
  </conditionalFormatting>
  <conditionalFormatting sqref="A93 A86">
    <cfRule type="duplicateValues" dxfId="1301" priority="63"/>
  </conditionalFormatting>
  <conditionalFormatting sqref="A94">
    <cfRule type="duplicateValues" dxfId="1300" priority="2191"/>
  </conditionalFormatting>
  <conditionalFormatting sqref="A95">
    <cfRule type="duplicateValues" dxfId="1299" priority="47"/>
  </conditionalFormatting>
  <conditionalFormatting sqref="A96">
    <cfRule type="duplicateValues" dxfId="1298" priority="45"/>
  </conditionalFormatting>
  <conditionalFormatting sqref="A97">
    <cfRule type="duplicateValues" dxfId="1297" priority="57"/>
  </conditionalFormatting>
  <conditionalFormatting sqref="A98">
    <cfRule type="duplicateValues" dxfId="1296" priority="55"/>
  </conditionalFormatting>
  <conditionalFormatting sqref="A99">
    <cfRule type="duplicateValues" dxfId="1295" priority="51"/>
  </conditionalFormatting>
  <conditionalFormatting sqref="A100">
    <cfRule type="duplicateValues" dxfId="1294" priority="49"/>
  </conditionalFormatting>
  <conditionalFormatting sqref="A101">
    <cfRule type="duplicateValues" dxfId="1293" priority="53"/>
  </conditionalFormatting>
  <conditionalFormatting sqref="A102">
    <cfRule type="duplicateValues" dxfId="1292" priority="39"/>
  </conditionalFormatting>
  <conditionalFormatting sqref="A103">
    <cfRule type="duplicateValues" dxfId="1291" priority="43"/>
  </conditionalFormatting>
  <conditionalFormatting sqref="A104">
    <cfRule type="duplicateValues" dxfId="1290" priority="2193"/>
  </conditionalFormatting>
  <conditionalFormatting sqref="A105:A107">
    <cfRule type="duplicateValues" dxfId="1289" priority="34"/>
  </conditionalFormatting>
  <conditionalFormatting sqref="A108:A109">
    <cfRule type="duplicateValues" dxfId="1288" priority="28"/>
  </conditionalFormatting>
  <conditionalFormatting sqref="A110:A111">
    <cfRule type="duplicateValues" dxfId="1287" priority="24"/>
  </conditionalFormatting>
  <conditionalFormatting sqref="A112">
    <cfRule type="duplicateValues" dxfId="1286" priority="30"/>
  </conditionalFormatting>
  <conditionalFormatting sqref="A113:A114">
    <cfRule type="duplicateValues" dxfId="1285" priority="36"/>
  </conditionalFormatting>
  <conditionalFormatting sqref="A115:A116">
    <cfRule type="duplicateValues" dxfId="1284" priority="32"/>
  </conditionalFormatting>
  <conditionalFormatting sqref="A117">
    <cfRule type="duplicateValues" dxfId="1283" priority="26"/>
  </conditionalFormatting>
  <conditionalFormatting sqref="A118:A119">
    <cfRule type="duplicateValues" dxfId="1282" priority="22"/>
  </conditionalFormatting>
  <conditionalFormatting sqref="A119">
    <cfRule type="duplicateValues" dxfId="1281" priority="20"/>
  </conditionalFormatting>
  <conditionalFormatting sqref="A120:A131">
    <cfRule type="duplicateValues" dxfId="1280" priority="2194"/>
  </conditionalFormatting>
  <conditionalFormatting sqref="A130:A131">
    <cfRule type="duplicateValues" dxfId="1279" priority="21"/>
  </conditionalFormatting>
  <conditionalFormatting sqref="A132">
    <cfRule type="duplicateValues" dxfId="1278" priority="18"/>
  </conditionalFormatting>
  <conditionalFormatting sqref="A133">
    <cfRule type="duplicateValues" dxfId="1277" priority="15"/>
  </conditionalFormatting>
  <conditionalFormatting sqref="A134">
    <cfRule type="duplicateValues" dxfId="1276" priority="13"/>
  </conditionalFormatting>
  <conditionalFormatting sqref="A135">
    <cfRule type="duplicateValues" dxfId="1275" priority="12"/>
  </conditionalFormatting>
  <conditionalFormatting sqref="A135:A138">
    <cfRule type="duplicateValues" dxfId="1274" priority="2"/>
    <cfRule type="duplicateValues" dxfId="1273" priority="1"/>
  </conditionalFormatting>
  <conditionalFormatting sqref="A136">
    <cfRule type="duplicateValues" dxfId="1272" priority="8"/>
  </conditionalFormatting>
  <conditionalFormatting sqref="A136:A138">
    <cfRule type="duplicateValues" dxfId="1271" priority="11"/>
  </conditionalFormatting>
  <conditionalFormatting sqref="A137">
    <cfRule type="duplicateValues" dxfId="1270" priority="6"/>
  </conditionalFormatting>
  <conditionalFormatting sqref="A138">
    <cfRule type="duplicateValues" dxfId="1269" priority="4"/>
  </conditionalFormatting>
  <pageMargins left="0.7" right="0.7" top="0.75" bottom="0.75" header="0.3" footer="0.3"/>
  <pageSetup paperSize="9" orientation="portrait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FC3B-D067-4776-BAFD-DA71BB447FCA}">
  <dimension ref="A1:X192"/>
  <sheetViews>
    <sheetView showGridLines="0" topLeftCell="F1" zoomScaleNormal="100" workbookViewId="0">
      <pane ySplit="7" topLeftCell="A8" activePane="bottomLeft" state="frozen"/>
      <selection pane="bottomLeft" activeCell="G7" sqref="G7"/>
    </sheetView>
  </sheetViews>
  <sheetFormatPr defaultColWidth="9.15234375" defaultRowHeight="14.6" x14ac:dyDescent="0.4"/>
  <cols>
    <col min="1" max="1" width="9.3828125" style="35" customWidth="1"/>
    <col min="2" max="2" width="11.84375" style="35" customWidth="1"/>
    <col min="3" max="3" width="16.84375" style="35" customWidth="1"/>
    <col min="4" max="4" width="10.15234375" style="35" hidden="1" customWidth="1"/>
    <col min="5" max="5" width="11.3828125" style="35" hidden="1" customWidth="1"/>
    <col min="6" max="7" width="26.3828125" style="35" customWidth="1"/>
    <col min="8" max="8" width="12" style="35" customWidth="1"/>
    <col min="9" max="9" width="9.84375" style="35" customWidth="1"/>
    <col min="10" max="10" width="26.3828125" style="35" customWidth="1"/>
    <col min="11" max="11" width="19.53515625" style="35" customWidth="1"/>
    <col min="12" max="13" width="9.84375" style="35" customWidth="1"/>
    <col min="14" max="14" width="14.53515625" style="35" customWidth="1"/>
    <col min="15" max="15" width="9.84375" style="35" customWidth="1"/>
    <col min="16" max="17" width="19" style="35" customWidth="1"/>
    <col min="18" max="18" width="18.3046875" style="35" customWidth="1"/>
    <col min="19" max="19" width="14.15234375" style="35" bestFit="1" customWidth="1"/>
    <col min="20" max="20" width="5" style="35" customWidth="1"/>
    <col min="21" max="21" width="19.53515625" style="35" customWidth="1"/>
    <col min="22" max="22" width="12.84375" style="35" customWidth="1"/>
    <col min="23" max="16384" width="9.15234375" style="35"/>
  </cols>
  <sheetData>
    <row r="1" spans="1:24" x14ac:dyDescent="0.4">
      <c r="B1" s="1" t="s">
        <v>75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4" x14ac:dyDescent="0.4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4" s="36" customFormat="1" ht="17.600000000000001" x14ac:dyDescent="0.4">
      <c r="B3" s="13" t="s">
        <v>92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4" s="36" customFormat="1" ht="12.9" x14ac:dyDescent="0.35">
      <c r="B4" s="3" t="s">
        <v>30</v>
      </c>
      <c r="C4" s="37" t="s">
        <v>440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4" s="36" customFormat="1" ht="12.9" x14ac:dyDescent="0.35">
      <c r="B5" s="3" t="s">
        <v>171</v>
      </c>
      <c r="C5" s="37" t="s">
        <v>172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6"/>
      <c r="S5" s="6"/>
      <c r="T5" s="4"/>
      <c r="U5" s="4"/>
      <c r="V5" s="4"/>
    </row>
    <row r="6" spans="1:24" s="36" customFormat="1" ht="12.9" x14ac:dyDescent="0.35">
      <c r="B6" s="15" t="s">
        <v>62</v>
      </c>
      <c r="C6" s="7"/>
      <c r="D6" s="38"/>
      <c r="E6" s="3"/>
      <c r="F6" s="8"/>
      <c r="G6" s="3"/>
      <c r="H6" s="3"/>
      <c r="I6" s="3"/>
      <c r="J6" s="3"/>
      <c r="K6" s="3"/>
      <c r="L6" s="3"/>
      <c r="M6" s="3">
        <v>47501</v>
      </c>
      <c r="N6" s="3"/>
      <c r="O6" s="3"/>
      <c r="P6" s="17">
        <f>SUM(P8:P183)</f>
        <v>1913730937.3000002</v>
      </c>
      <c r="Q6" s="17">
        <f>SUM(Q8:Q183)</f>
        <v>1913730937.3000002</v>
      </c>
      <c r="R6" s="17">
        <f>SUM(R8:R183)</f>
        <v>200716492.82300001</v>
      </c>
      <c r="S6" s="17">
        <f>SUM(S8:S183)</f>
        <v>12743406.378</v>
      </c>
      <c r="T6" s="3"/>
      <c r="U6" s="17">
        <f>SUM(U8:U183)</f>
        <v>2101704023.7450001</v>
      </c>
      <c r="V6" s="3"/>
    </row>
    <row r="7" spans="1:24" s="36" customFormat="1" ht="24" customHeight="1" x14ac:dyDescent="0.35">
      <c r="A7" s="18" t="s">
        <v>95</v>
      </c>
      <c r="B7" s="40" t="s">
        <v>31</v>
      </c>
      <c r="C7" s="41" t="s">
        <v>32</v>
      </c>
      <c r="D7" s="39" t="s">
        <v>17</v>
      </c>
      <c r="E7" s="39" t="s">
        <v>22</v>
      </c>
      <c r="F7" s="40" t="s">
        <v>33</v>
      </c>
      <c r="G7" s="40" t="s">
        <v>38</v>
      </c>
      <c r="H7" s="40" t="s">
        <v>774</v>
      </c>
      <c r="I7" s="40" t="s">
        <v>20</v>
      </c>
      <c r="J7" s="40" t="s">
        <v>28</v>
      </c>
      <c r="K7" s="34" t="s">
        <v>94</v>
      </c>
      <c r="L7" s="40" t="s">
        <v>21</v>
      </c>
      <c r="M7" s="40" t="s">
        <v>9</v>
      </c>
      <c r="N7" s="40" t="s">
        <v>34</v>
      </c>
      <c r="O7" s="40" t="s">
        <v>13</v>
      </c>
      <c r="P7" s="40" t="s">
        <v>18</v>
      </c>
      <c r="Q7" s="40" t="s">
        <v>2</v>
      </c>
      <c r="R7" s="39" t="s">
        <v>7</v>
      </c>
      <c r="S7" s="39" t="s">
        <v>93</v>
      </c>
      <c r="T7" s="39" t="s">
        <v>14</v>
      </c>
      <c r="U7" s="39" t="s">
        <v>37</v>
      </c>
      <c r="V7" s="16"/>
    </row>
    <row r="8" spans="1:24" s="36" customFormat="1" ht="15.45" x14ac:dyDescent="0.35">
      <c r="A8" s="19" t="s">
        <v>200</v>
      </c>
      <c r="B8" s="9">
        <v>45692</v>
      </c>
      <c r="C8" s="14" t="s">
        <v>458</v>
      </c>
      <c r="D8" s="10" t="s">
        <v>459</v>
      </c>
      <c r="E8" s="9">
        <v>45691</v>
      </c>
      <c r="F8" s="10" t="s">
        <v>194</v>
      </c>
      <c r="G8" s="10" t="s">
        <v>195</v>
      </c>
      <c r="H8" s="10" t="s">
        <v>888</v>
      </c>
      <c r="I8" s="10" t="s">
        <v>23</v>
      </c>
      <c r="J8" s="10" t="s">
        <v>45</v>
      </c>
      <c r="K8" s="50" t="s">
        <v>881</v>
      </c>
      <c r="L8" s="10" t="s">
        <v>1</v>
      </c>
      <c r="M8" s="12">
        <f>IF(LEFT(C8,2)="RP",V8*-1,V8)</f>
        <v>300</v>
      </c>
      <c r="N8" s="12">
        <v>17000</v>
      </c>
      <c r="O8" s="12">
        <v>0</v>
      </c>
      <c r="P8" s="11">
        <v>5100000</v>
      </c>
      <c r="Q8" s="11">
        <f t="shared" ref="Q8:Q39" si="0">P8</f>
        <v>5100000</v>
      </c>
      <c r="R8" s="11">
        <v>561000</v>
      </c>
      <c r="S8" s="11"/>
      <c r="T8" s="11">
        <v>0</v>
      </c>
      <c r="U8" s="11">
        <f>Q8+R8-T8-S8</f>
        <v>5661000</v>
      </c>
      <c r="V8" s="42">
        <v>300</v>
      </c>
    </row>
    <row r="9" spans="1:24" s="36" customFormat="1" ht="15.45" x14ac:dyDescent="0.35">
      <c r="A9" s="19" t="s">
        <v>161</v>
      </c>
      <c r="B9" s="21">
        <v>45703</v>
      </c>
      <c r="C9" s="22"/>
      <c r="D9" s="23"/>
      <c r="E9" s="21"/>
      <c r="F9" s="23" t="s">
        <v>162</v>
      </c>
      <c r="G9" s="23" t="s">
        <v>880</v>
      </c>
      <c r="H9" s="23" t="s">
        <v>892</v>
      </c>
      <c r="I9" s="23" t="s">
        <v>163</v>
      </c>
      <c r="J9" s="23" t="s">
        <v>164</v>
      </c>
      <c r="K9" s="46" t="s">
        <v>991</v>
      </c>
      <c r="L9" s="23" t="s">
        <v>165</v>
      </c>
      <c r="M9" s="24">
        <v>5</v>
      </c>
      <c r="N9" s="31">
        <v>4800000</v>
      </c>
      <c r="O9" s="24">
        <v>0</v>
      </c>
      <c r="P9" s="25">
        <f>M9*N9</f>
        <v>24000000</v>
      </c>
      <c r="Q9" s="25">
        <f t="shared" si="0"/>
        <v>24000000</v>
      </c>
      <c r="R9" s="25">
        <f>Q9*0.11</f>
        <v>2640000</v>
      </c>
      <c r="S9" s="25">
        <v>480000</v>
      </c>
      <c r="T9" s="25"/>
      <c r="U9" s="11">
        <f>Q9+R9-T9-S9</f>
        <v>26160000</v>
      </c>
      <c r="V9" s="33"/>
      <c r="W9" s="30"/>
      <c r="X9" s="30"/>
    </row>
    <row r="10" spans="1:24" s="36" customFormat="1" ht="15.45" x14ac:dyDescent="0.35">
      <c r="A10" s="19" t="s">
        <v>97</v>
      </c>
      <c r="B10" s="9">
        <v>45691</v>
      </c>
      <c r="C10" s="14" t="s">
        <v>448</v>
      </c>
      <c r="D10" s="10" t="s">
        <v>449</v>
      </c>
      <c r="E10" s="9">
        <v>45691</v>
      </c>
      <c r="F10" s="10" t="s">
        <v>63</v>
      </c>
      <c r="G10" s="10" t="s">
        <v>136</v>
      </c>
      <c r="H10" s="10" t="s">
        <v>888</v>
      </c>
      <c r="I10" s="10" t="s">
        <v>24</v>
      </c>
      <c r="J10" s="10" t="s">
        <v>61</v>
      </c>
      <c r="K10" s="50" t="s">
        <v>699</v>
      </c>
      <c r="L10" s="10" t="s">
        <v>5</v>
      </c>
      <c r="M10" s="12">
        <f t="shared" ref="M10:M49" si="1">IF(LEFT(C10,2)="RP",V10*-1,V10)</f>
        <v>1000</v>
      </c>
      <c r="N10" s="12">
        <v>39000</v>
      </c>
      <c r="O10" s="12">
        <v>0</v>
      </c>
      <c r="P10" s="11">
        <v>39000000</v>
      </c>
      <c r="Q10" s="11">
        <f t="shared" si="0"/>
        <v>39000000</v>
      </c>
      <c r="R10" s="11">
        <v>4290000</v>
      </c>
      <c r="S10" s="11"/>
      <c r="T10" s="11">
        <v>0</v>
      </c>
      <c r="U10" s="11">
        <f>Q10+R10-T10-S10</f>
        <v>43290000</v>
      </c>
      <c r="V10" s="42">
        <v>1000</v>
      </c>
    </row>
    <row r="11" spans="1:24" s="36" customFormat="1" ht="15.45" x14ac:dyDescent="0.35">
      <c r="A11" s="19" t="s">
        <v>97</v>
      </c>
      <c r="B11" s="9">
        <v>45702</v>
      </c>
      <c r="C11" s="14" t="s">
        <v>644</v>
      </c>
      <c r="D11" s="10" t="s">
        <v>645</v>
      </c>
      <c r="E11" s="9">
        <v>45702</v>
      </c>
      <c r="F11" s="10" t="s">
        <v>63</v>
      </c>
      <c r="G11" s="10" t="s">
        <v>646</v>
      </c>
      <c r="H11" s="10" t="s">
        <v>820</v>
      </c>
      <c r="I11" s="10" t="s">
        <v>24</v>
      </c>
      <c r="J11" s="10" t="s">
        <v>61</v>
      </c>
      <c r="K11" s="50" t="s">
        <v>702</v>
      </c>
      <c r="L11" s="10" t="s">
        <v>15</v>
      </c>
      <c r="M11" s="12">
        <f t="shared" si="1"/>
        <v>5</v>
      </c>
      <c r="N11" s="12">
        <v>200000</v>
      </c>
      <c r="O11" s="12">
        <v>0</v>
      </c>
      <c r="P11" s="11">
        <v>1000000</v>
      </c>
      <c r="Q11" s="11">
        <f t="shared" si="0"/>
        <v>1000000</v>
      </c>
      <c r="R11" s="11">
        <v>110000</v>
      </c>
      <c r="S11" s="11"/>
      <c r="T11" s="11">
        <v>0</v>
      </c>
      <c r="U11" s="11">
        <f>Q11+R11-T11</f>
        <v>1110000</v>
      </c>
      <c r="V11" s="42">
        <v>5</v>
      </c>
    </row>
    <row r="12" spans="1:24" s="36" customFormat="1" ht="15.45" x14ac:dyDescent="0.35">
      <c r="A12" s="19" t="s">
        <v>97</v>
      </c>
      <c r="B12" s="9">
        <v>45709</v>
      </c>
      <c r="C12" s="14" t="s">
        <v>759</v>
      </c>
      <c r="D12" s="10" t="s">
        <v>760</v>
      </c>
      <c r="E12" s="9">
        <v>45707</v>
      </c>
      <c r="F12" s="10" t="s">
        <v>63</v>
      </c>
      <c r="G12" s="10" t="s">
        <v>83</v>
      </c>
      <c r="H12" s="10" t="s">
        <v>888</v>
      </c>
      <c r="I12" s="10" t="s">
        <v>24</v>
      </c>
      <c r="J12" s="10" t="s">
        <v>61</v>
      </c>
      <c r="K12" s="50" t="s">
        <v>902</v>
      </c>
      <c r="L12" s="10" t="s">
        <v>5</v>
      </c>
      <c r="M12" s="12">
        <f t="shared" si="1"/>
        <v>1004</v>
      </c>
      <c r="N12" s="12">
        <v>27000</v>
      </c>
      <c r="O12" s="12">
        <v>0</v>
      </c>
      <c r="P12" s="11">
        <v>27108000</v>
      </c>
      <c r="Q12" s="11">
        <f t="shared" si="0"/>
        <v>27108000</v>
      </c>
      <c r="R12" s="11">
        <v>2981880</v>
      </c>
      <c r="S12" s="11">
        <v>0</v>
      </c>
      <c r="T12" s="59"/>
      <c r="U12" s="11">
        <f>Q12+R12-S12</f>
        <v>30089880</v>
      </c>
      <c r="V12" s="42">
        <v>1004</v>
      </c>
    </row>
    <row r="13" spans="1:24" s="36" customFormat="1" ht="15.45" x14ac:dyDescent="0.35">
      <c r="A13" s="19" t="s">
        <v>591</v>
      </c>
      <c r="B13" s="9">
        <v>45695</v>
      </c>
      <c r="C13" s="14" t="s">
        <v>568</v>
      </c>
      <c r="D13" s="10" t="s">
        <v>569</v>
      </c>
      <c r="E13" s="9">
        <v>45691</v>
      </c>
      <c r="F13" s="10" t="s">
        <v>63</v>
      </c>
      <c r="G13" s="10" t="s">
        <v>570</v>
      </c>
      <c r="H13" s="10" t="s">
        <v>890</v>
      </c>
      <c r="I13" s="10" t="s">
        <v>23</v>
      </c>
      <c r="J13" s="10" t="s">
        <v>45</v>
      </c>
      <c r="K13" s="50" t="s">
        <v>700</v>
      </c>
      <c r="L13" s="10" t="s">
        <v>1</v>
      </c>
      <c r="M13" s="12">
        <f t="shared" si="1"/>
        <v>50</v>
      </c>
      <c r="N13" s="12">
        <v>197220</v>
      </c>
      <c r="O13" s="12">
        <v>16435</v>
      </c>
      <c r="P13" s="11">
        <v>9861000</v>
      </c>
      <c r="Q13" s="11">
        <f t="shared" si="0"/>
        <v>9861000</v>
      </c>
      <c r="R13" s="11">
        <v>1084710</v>
      </c>
      <c r="S13" s="11"/>
      <c r="T13" s="11">
        <v>0</v>
      </c>
      <c r="U13" s="11">
        <f>Q13+R13-T13</f>
        <v>10945710</v>
      </c>
      <c r="V13" s="42">
        <v>50</v>
      </c>
    </row>
    <row r="14" spans="1:24" s="36" customFormat="1" ht="15.45" x14ac:dyDescent="0.35">
      <c r="A14" s="19" t="s">
        <v>97</v>
      </c>
      <c r="B14" s="9">
        <v>45715</v>
      </c>
      <c r="C14" s="14" t="s">
        <v>829</v>
      </c>
      <c r="D14" s="10" t="s">
        <v>830</v>
      </c>
      <c r="E14" s="9">
        <v>45714</v>
      </c>
      <c r="F14" s="10" t="s">
        <v>63</v>
      </c>
      <c r="G14" s="10" t="s">
        <v>74</v>
      </c>
      <c r="H14" s="10" t="s">
        <v>820</v>
      </c>
      <c r="I14" s="10" t="s">
        <v>24</v>
      </c>
      <c r="J14" s="10" t="s">
        <v>61</v>
      </c>
      <c r="K14" s="50" t="s">
        <v>895</v>
      </c>
      <c r="L14" s="10" t="s">
        <v>6</v>
      </c>
      <c r="M14" s="12">
        <f t="shared" si="1"/>
        <v>5</v>
      </c>
      <c r="N14" s="12">
        <v>250000</v>
      </c>
      <c r="O14" s="12">
        <v>0</v>
      </c>
      <c r="P14" s="11">
        <v>1250000</v>
      </c>
      <c r="Q14" s="11">
        <f t="shared" si="0"/>
        <v>1250000</v>
      </c>
      <c r="R14" s="11">
        <v>137500</v>
      </c>
      <c r="S14" s="11"/>
      <c r="T14" s="11">
        <v>0</v>
      </c>
      <c r="U14" s="11">
        <f>Q14+R14-T14</f>
        <v>1387500</v>
      </c>
      <c r="V14" s="42">
        <v>5</v>
      </c>
    </row>
    <row r="15" spans="1:24" s="36" customFormat="1" ht="15.45" x14ac:dyDescent="0.35">
      <c r="A15" s="19" t="s">
        <v>97</v>
      </c>
      <c r="B15" s="9">
        <v>45715</v>
      </c>
      <c r="C15" s="14" t="s">
        <v>829</v>
      </c>
      <c r="D15" s="10" t="s">
        <v>830</v>
      </c>
      <c r="E15" s="9">
        <v>45714</v>
      </c>
      <c r="F15" s="10" t="s">
        <v>63</v>
      </c>
      <c r="G15" s="10" t="s">
        <v>831</v>
      </c>
      <c r="H15" s="10" t="s">
        <v>820</v>
      </c>
      <c r="I15" s="10" t="s">
        <v>24</v>
      </c>
      <c r="J15" s="10" t="s">
        <v>61</v>
      </c>
      <c r="K15" s="50" t="s">
        <v>895</v>
      </c>
      <c r="L15" s="10" t="s">
        <v>15</v>
      </c>
      <c r="M15" s="12">
        <f t="shared" si="1"/>
        <v>5</v>
      </c>
      <c r="N15" s="12">
        <v>285000</v>
      </c>
      <c r="O15" s="12">
        <v>0</v>
      </c>
      <c r="P15" s="11">
        <v>1425000</v>
      </c>
      <c r="Q15" s="11">
        <f t="shared" si="0"/>
        <v>1425000</v>
      </c>
      <c r="R15" s="11">
        <v>156750</v>
      </c>
      <c r="S15" s="11"/>
      <c r="T15" s="11">
        <v>0</v>
      </c>
      <c r="U15" s="11">
        <f>Q15+R15-T15</f>
        <v>1581750</v>
      </c>
      <c r="V15" s="42">
        <v>5</v>
      </c>
    </row>
    <row r="16" spans="1:24" s="36" customFormat="1" ht="15.45" x14ac:dyDescent="0.35">
      <c r="A16" s="19" t="s">
        <v>184</v>
      </c>
      <c r="B16" s="9">
        <v>45691</v>
      </c>
      <c r="C16" s="14" t="s">
        <v>452</v>
      </c>
      <c r="D16" s="10" t="s">
        <v>453</v>
      </c>
      <c r="E16" s="9">
        <v>45681</v>
      </c>
      <c r="F16" s="10" t="s">
        <v>183</v>
      </c>
      <c r="G16" s="10" t="s">
        <v>216</v>
      </c>
      <c r="H16" s="10" t="s">
        <v>886</v>
      </c>
      <c r="I16" s="10" t="s">
        <v>23</v>
      </c>
      <c r="J16" s="10" t="s">
        <v>45</v>
      </c>
      <c r="K16" s="50" t="s">
        <v>709</v>
      </c>
      <c r="L16" s="10" t="s">
        <v>1</v>
      </c>
      <c r="M16" s="12">
        <f t="shared" si="1"/>
        <v>30</v>
      </c>
      <c r="N16" s="12">
        <v>113225</v>
      </c>
      <c r="O16" s="12">
        <v>16175</v>
      </c>
      <c r="P16" s="11">
        <v>3396750</v>
      </c>
      <c r="Q16" s="11">
        <f t="shared" si="0"/>
        <v>3396750</v>
      </c>
      <c r="R16" s="11">
        <v>373642.5</v>
      </c>
      <c r="S16" s="11"/>
      <c r="T16" s="11">
        <v>0</v>
      </c>
      <c r="U16" s="11">
        <f t="shared" ref="U16:U23" si="2">Q16+R16-T16-S16</f>
        <v>3770392.5</v>
      </c>
      <c r="V16" s="42">
        <v>30</v>
      </c>
    </row>
    <row r="17" spans="1:22" s="36" customFormat="1" ht="15.45" x14ac:dyDescent="0.35">
      <c r="A17" s="19" t="s">
        <v>184</v>
      </c>
      <c r="B17" s="9">
        <v>45691</v>
      </c>
      <c r="C17" s="14" t="s">
        <v>452</v>
      </c>
      <c r="D17" s="10" t="s">
        <v>453</v>
      </c>
      <c r="E17" s="9">
        <v>45681</v>
      </c>
      <c r="F17" s="10" t="s">
        <v>183</v>
      </c>
      <c r="G17" s="10" t="s">
        <v>215</v>
      </c>
      <c r="H17" s="10" t="s">
        <v>886</v>
      </c>
      <c r="I17" s="10" t="s">
        <v>23</v>
      </c>
      <c r="J17" s="10" t="s">
        <v>45</v>
      </c>
      <c r="K17" s="50" t="s">
        <v>709</v>
      </c>
      <c r="L17" s="10" t="s">
        <v>1</v>
      </c>
      <c r="M17" s="12">
        <f t="shared" si="1"/>
        <v>30</v>
      </c>
      <c r="N17" s="12">
        <v>56613</v>
      </c>
      <c r="O17" s="12">
        <v>16175</v>
      </c>
      <c r="P17" s="11">
        <v>1698390</v>
      </c>
      <c r="Q17" s="11">
        <f t="shared" si="0"/>
        <v>1698390</v>
      </c>
      <c r="R17" s="11">
        <v>186822.9</v>
      </c>
      <c r="S17" s="11"/>
      <c r="T17" s="11">
        <v>0</v>
      </c>
      <c r="U17" s="11">
        <f t="shared" si="2"/>
        <v>1885212.9</v>
      </c>
      <c r="V17" s="42">
        <v>30</v>
      </c>
    </row>
    <row r="18" spans="1:22" s="36" customFormat="1" ht="15.45" x14ac:dyDescent="0.35">
      <c r="A18" s="19" t="s">
        <v>98</v>
      </c>
      <c r="B18" s="9">
        <v>45690</v>
      </c>
      <c r="C18" s="14" t="s">
        <v>444</v>
      </c>
      <c r="D18" s="10" t="s">
        <v>445</v>
      </c>
      <c r="E18" s="9">
        <v>45688</v>
      </c>
      <c r="F18" s="10" t="s">
        <v>84</v>
      </c>
      <c r="G18" s="10" t="s">
        <v>175</v>
      </c>
      <c r="H18" s="10" t="s">
        <v>818</v>
      </c>
      <c r="I18" s="10" t="s">
        <v>25</v>
      </c>
      <c r="J18" s="10" t="s">
        <v>79</v>
      </c>
      <c r="K18" s="50" t="s">
        <v>962</v>
      </c>
      <c r="L18" s="10" t="s">
        <v>1</v>
      </c>
      <c r="M18" s="12">
        <f t="shared" si="1"/>
        <v>33550</v>
      </c>
      <c r="N18" s="12">
        <v>1250</v>
      </c>
      <c r="O18" s="12">
        <v>0</v>
      </c>
      <c r="P18" s="11">
        <v>41937500</v>
      </c>
      <c r="Q18" s="11">
        <f t="shared" si="0"/>
        <v>41937500</v>
      </c>
      <c r="R18" s="11">
        <v>4613125</v>
      </c>
      <c r="S18" s="11">
        <f>Q18*1.5%</f>
        <v>629062.5</v>
      </c>
      <c r="T18" s="11">
        <v>0</v>
      </c>
      <c r="U18" s="11">
        <f t="shared" si="2"/>
        <v>45921562.5</v>
      </c>
      <c r="V18" s="42">
        <v>33550</v>
      </c>
    </row>
    <row r="19" spans="1:22" s="36" customFormat="1" ht="15.45" x14ac:dyDescent="0.35">
      <c r="A19" s="19" t="s">
        <v>98</v>
      </c>
      <c r="B19" s="9">
        <v>45693</v>
      </c>
      <c r="C19" s="14" t="s">
        <v>467</v>
      </c>
      <c r="D19" s="10" t="s">
        <v>445</v>
      </c>
      <c r="E19" s="9">
        <v>45688</v>
      </c>
      <c r="F19" s="10" t="s">
        <v>84</v>
      </c>
      <c r="G19" s="10" t="s">
        <v>175</v>
      </c>
      <c r="H19" s="10" t="s">
        <v>818</v>
      </c>
      <c r="I19" s="10" t="s">
        <v>25</v>
      </c>
      <c r="J19" s="10" t="s">
        <v>79</v>
      </c>
      <c r="K19" s="50" t="s">
        <v>962</v>
      </c>
      <c r="L19" s="10" t="s">
        <v>1</v>
      </c>
      <c r="M19" s="12">
        <f t="shared" si="1"/>
        <v>34680</v>
      </c>
      <c r="N19" s="12">
        <v>1250</v>
      </c>
      <c r="O19" s="12">
        <v>0</v>
      </c>
      <c r="P19" s="11">
        <v>43350000</v>
      </c>
      <c r="Q19" s="11">
        <f t="shared" si="0"/>
        <v>43350000</v>
      </c>
      <c r="R19" s="11">
        <v>4768500</v>
      </c>
      <c r="S19" s="11">
        <f>Q19*1.5%</f>
        <v>650250</v>
      </c>
      <c r="T19" s="11">
        <v>0</v>
      </c>
      <c r="U19" s="11">
        <f t="shared" si="2"/>
        <v>47468250</v>
      </c>
      <c r="V19" s="42">
        <v>34680</v>
      </c>
    </row>
    <row r="20" spans="1:22" s="36" customFormat="1" ht="15.45" x14ac:dyDescent="0.35">
      <c r="A20" s="19" t="s">
        <v>98</v>
      </c>
      <c r="B20" s="9">
        <v>45697</v>
      </c>
      <c r="C20" s="14" t="s">
        <v>574</v>
      </c>
      <c r="D20" s="10" t="s">
        <v>445</v>
      </c>
      <c r="E20" s="9">
        <v>45688</v>
      </c>
      <c r="F20" s="10" t="s">
        <v>84</v>
      </c>
      <c r="G20" s="10" t="s">
        <v>175</v>
      </c>
      <c r="H20" s="10" t="s">
        <v>818</v>
      </c>
      <c r="I20" s="10" t="s">
        <v>25</v>
      </c>
      <c r="J20" s="10" t="s">
        <v>79</v>
      </c>
      <c r="K20" s="50" t="s">
        <v>962</v>
      </c>
      <c r="L20" s="10" t="s">
        <v>1</v>
      </c>
      <c r="M20" s="12">
        <f t="shared" si="1"/>
        <v>32520</v>
      </c>
      <c r="N20" s="12">
        <v>1250</v>
      </c>
      <c r="O20" s="12">
        <v>0</v>
      </c>
      <c r="P20" s="11">
        <v>40650000</v>
      </c>
      <c r="Q20" s="11">
        <f t="shared" si="0"/>
        <v>40650000</v>
      </c>
      <c r="R20" s="11">
        <v>4471500</v>
      </c>
      <c r="S20" s="11">
        <f>Q20*1.5%</f>
        <v>609750</v>
      </c>
      <c r="T20" s="11">
        <v>0</v>
      </c>
      <c r="U20" s="11">
        <f t="shared" si="2"/>
        <v>44511750</v>
      </c>
      <c r="V20" s="42">
        <v>32520</v>
      </c>
    </row>
    <row r="21" spans="1:22" s="36" customFormat="1" ht="15.45" x14ac:dyDescent="0.35">
      <c r="A21" s="19" t="s">
        <v>236</v>
      </c>
      <c r="B21" s="9">
        <v>45693</v>
      </c>
      <c r="C21" s="14" t="s">
        <v>464</v>
      </c>
      <c r="D21" s="10" t="s">
        <v>465</v>
      </c>
      <c r="E21" s="9">
        <v>45693</v>
      </c>
      <c r="F21" s="10" t="s">
        <v>235</v>
      </c>
      <c r="G21" s="10" t="s">
        <v>155</v>
      </c>
      <c r="H21" s="10" t="s">
        <v>820</v>
      </c>
      <c r="I21" s="10" t="s">
        <v>24</v>
      </c>
      <c r="J21" s="10" t="s">
        <v>61</v>
      </c>
      <c r="K21" s="10"/>
      <c r="L21" s="10" t="s">
        <v>156</v>
      </c>
      <c r="M21" s="12">
        <f t="shared" si="1"/>
        <v>5</v>
      </c>
      <c r="N21" s="12">
        <v>730000</v>
      </c>
      <c r="O21" s="12">
        <v>0</v>
      </c>
      <c r="P21" s="11">
        <v>3650000</v>
      </c>
      <c r="Q21" s="11">
        <f t="shared" si="0"/>
        <v>3650000</v>
      </c>
      <c r="R21" s="11">
        <v>0</v>
      </c>
      <c r="S21" s="11"/>
      <c r="T21" s="11">
        <v>0</v>
      </c>
      <c r="U21" s="11">
        <f t="shared" si="2"/>
        <v>3650000</v>
      </c>
      <c r="V21" s="42">
        <v>5</v>
      </c>
    </row>
    <row r="22" spans="1:22" s="36" customFormat="1" ht="15.45" x14ac:dyDescent="0.35">
      <c r="A22" s="19" t="s">
        <v>98</v>
      </c>
      <c r="B22" s="9">
        <v>45701</v>
      </c>
      <c r="C22" s="14" t="s">
        <v>638</v>
      </c>
      <c r="D22" s="10" t="s">
        <v>445</v>
      </c>
      <c r="E22" s="9">
        <v>45688</v>
      </c>
      <c r="F22" s="10" t="s">
        <v>84</v>
      </c>
      <c r="G22" s="10" t="s">
        <v>175</v>
      </c>
      <c r="H22" s="10" t="s">
        <v>818</v>
      </c>
      <c r="I22" s="10" t="s">
        <v>25</v>
      </c>
      <c r="J22" s="10" t="s">
        <v>79</v>
      </c>
      <c r="K22" s="50" t="s">
        <v>962</v>
      </c>
      <c r="L22" s="10" t="s">
        <v>1</v>
      </c>
      <c r="M22" s="12">
        <f t="shared" si="1"/>
        <v>35150</v>
      </c>
      <c r="N22" s="12">
        <v>1250</v>
      </c>
      <c r="O22" s="12">
        <v>0</v>
      </c>
      <c r="P22" s="11">
        <v>43937500</v>
      </c>
      <c r="Q22" s="11">
        <f t="shared" si="0"/>
        <v>43937500</v>
      </c>
      <c r="R22" s="11">
        <v>4833125</v>
      </c>
      <c r="S22" s="11">
        <f>Q22*1.5%</f>
        <v>659062.5</v>
      </c>
      <c r="T22" s="11">
        <v>0</v>
      </c>
      <c r="U22" s="11">
        <f t="shared" si="2"/>
        <v>48111562.5</v>
      </c>
      <c r="V22" s="42">
        <v>35150</v>
      </c>
    </row>
    <row r="23" spans="1:22" s="36" customFormat="1" ht="15.45" x14ac:dyDescent="0.35">
      <c r="A23" s="19" t="s">
        <v>98</v>
      </c>
      <c r="B23" s="9">
        <v>45706</v>
      </c>
      <c r="C23" s="14" t="s">
        <v>672</v>
      </c>
      <c r="D23" s="10" t="s">
        <v>673</v>
      </c>
      <c r="E23" s="9">
        <v>45706</v>
      </c>
      <c r="F23" s="10" t="s">
        <v>84</v>
      </c>
      <c r="G23" s="10" t="s">
        <v>89</v>
      </c>
      <c r="H23" s="10" t="s">
        <v>818</v>
      </c>
      <c r="I23" s="10" t="s">
        <v>25</v>
      </c>
      <c r="J23" s="10" t="s">
        <v>79</v>
      </c>
      <c r="K23" s="50" t="s">
        <v>960</v>
      </c>
      <c r="L23" s="10" t="s">
        <v>1</v>
      </c>
      <c r="M23" s="12">
        <f t="shared" si="1"/>
        <v>35580</v>
      </c>
      <c r="N23" s="12">
        <v>1535</v>
      </c>
      <c r="O23" s="12">
        <v>0</v>
      </c>
      <c r="P23" s="11">
        <v>54615300</v>
      </c>
      <c r="Q23" s="11">
        <f t="shared" si="0"/>
        <v>54615300</v>
      </c>
      <c r="R23" s="11">
        <v>6007683</v>
      </c>
      <c r="S23" s="11">
        <f>Q23*1.5%</f>
        <v>819229.5</v>
      </c>
      <c r="T23" s="11">
        <v>0</v>
      </c>
      <c r="U23" s="11">
        <f t="shared" si="2"/>
        <v>59803753.5</v>
      </c>
      <c r="V23" s="42">
        <v>35580</v>
      </c>
    </row>
    <row r="24" spans="1:22" s="36" customFormat="1" ht="15.45" x14ac:dyDescent="0.35">
      <c r="A24" s="19" t="s">
        <v>132</v>
      </c>
      <c r="B24" s="9">
        <v>45694</v>
      </c>
      <c r="C24" s="14" t="s">
        <v>545</v>
      </c>
      <c r="D24" s="10" t="s">
        <v>546</v>
      </c>
      <c r="E24" s="9">
        <v>45694</v>
      </c>
      <c r="F24" s="10" t="s">
        <v>129</v>
      </c>
      <c r="G24" s="10" t="s">
        <v>547</v>
      </c>
      <c r="H24" s="10" t="s">
        <v>820</v>
      </c>
      <c r="I24" s="10" t="s">
        <v>24</v>
      </c>
      <c r="J24" s="10" t="s">
        <v>61</v>
      </c>
      <c r="K24" s="10"/>
      <c r="L24" s="10" t="s">
        <v>6</v>
      </c>
      <c r="M24" s="12">
        <f t="shared" si="1"/>
        <v>10</v>
      </c>
      <c r="N24" s="12">
        <v>8500</v>
      </c>
      <c r="O24" s="12">
        <v>0</v>
      </c>
      <c r="P24" s="11">
        <v>85000</v>
      </c>
      <c r="Q24" s="11">
        <f t="shared" si="0"/>
        <v>85000</v>
      </c>
      <c r="R24" s="11">
        <v>0</v>
      </c>
      <c r="S24" s="11"/>
      <c r="T24" s="11">
        <v>0</v>
      </c>
      <c r="U24" s="11">
        <f t="shared" ref="U24:U33" si="3">Q24+R24-T24</f>
        <v>85000</v>
      </c>
      <c r="V24" s="42">
        <v>10</v>
      </c>
    </row>
    <row r="25" spans="1:22" s="36" customFormat="1" ht="15.45" x14ac:dyDescent="0.35">
      <c r="A25" s="19" t="s">
        <v>132</v>
      </c>
      <c r="B25" s="9">
        <v>45694</v>
      </c>
      <c r="C25" s="14" t="s">
        <v>545</v>
      </c>
      <c r="D25" s="10" t="s">
        <v>546</v>
      </c>
      <c r="E25" s="9">
        <v>45694</v>
      </c>
      <c r="F25" s="10" t="s">
        <v>129</v>
      </c>
      <c r="G25" s="10" t="s">
        <v>548</v>
      </c>
      <c r="H25" s="10" t="s">
        <v>820</v>
      </c>
      <c r="I25" s="10" t="s">
        <v>24</v>
      </c>
      <c r="J25" s="10" t="s">
        <v>61</v>
      </c>
      <c r="K25" s="10"/>
      <c r="L25" s="10" t="s">
        <v>6</v>
      </c>
      <c r="M25" s="12">
        <f t="shared" si="1"/>
        <v>2</v>
      </c>
      <c r="N25" s="12">
        <v>9000</v>
      </c>
      <c r="O25" s="12">
        <v>0</v>
      </c>
      <c r="P25" s="11">
        <v>18000</v>
      </c>
      <c r="Q25" s="11">
        <f t="shared" si="0"/>
        <v>18000</v>
      </c>
      <c r="R25" s="11">
        <v>0</v>
      </c>
      <c r="S25" s="11"/>
      <c r="T25" s="11">
        <v>0</v>
      </c>
      <c r="U25" s="11">
        <f t="shared" si="3"/>
        <v>18000</v>
      </c>
      <c r="V25" s="42">
        <v>2</v>
      </c>
    </row>
    <row r="26" spans="1:22" s="36" customFormat="1" ht="15.45" x14ac:dyDescent="0.35">
      <c r="A26" s="19" t="s">
        <v>132</v>
      </c>
      <c r="B26" s="9">
        <v>45694</v>
      </c>
      <c r="C26" s="14" t="s">
        <v>545</v>
      </c>
      <c r="D26" s="10" t="s">
        <v>546</v>
      </c>
      <c r="E26" s="9">
        <v>45694</v>
      </c>
      <c r="F26" s="10" t="s">
        <v>129</v>
      </c>
      <c r="G26" s="10" t="s">
        <v>549</v>
      </c>
      <c r="H26" s="10" t="s">
        <v>820</v>
      </c>
      <c r="I26" s="10" t="s">
        <v>24</v>
      </c>
      <c r="J26" s="10" t="s">
        <v>61</v>
      </c>
      <c r="K26" s="10"/>
      <c r="L26" s="10" t="s">
        <v>6</v>
      </c>
      <c r="M26" s="12">
        <f t="shared" si="1"/>
        <v>5</v>
      </c>
      <c r="N26" s="12">
        <v>4000</v>
      </c>
      <c r="O26" s="12">
        <v>0</v>
      </c>
      <c r="P26" s="11">
        <v>20000</v>
      </c>
      <c r="Q26" s="11">
        <f t="shared" si="0"/>
        <v>20000</v>
      </c>
      <c r="R26" s="11">
        <v>0</v>
      </c>
      <c r="S26" s="11"/>
      <c r="T26" s="11">
        <v>0</v>
      </c>
      <c r="U26" s="11">
        <f t="shared" si="3"/>
        <v>20000</v>
      </c>
      <c r="V26" s="42">
        <v>5</v>
      </c>
    </row>
    <row r="27" spans="1:22" s="36" customFormat="1" ht="15.45" x14ac:dyDescent="0.35">
      <c r="A27" s="19" t="s">
        <v>132</v>
      </c>
      <c r="B27" s="9">
        <v>45694</v>
      </c>
      <c r="C27" s="14" t="s">
        <v>545</v>
      </c>
      <c r="D27" s="10" t="s">
        <v>546</v>
      </c>
      <c r="E27" s="9">
        <v>45694</v>
      </c>
      <c r="F27" s="10" t="s">
        <v>129</v>
      </c>
      <c r="G27" s="10" t="s">
        <v>90</v>
      </c>
      <c r="H27" s="10" t="s">
        <v>820</v>
      </c>
      <c r="I27" s="10" t="s">
        <v>24</v>
      </c>
      <c r="J27" s="10" t="s">
        <v>61</v>
      </c>
      <c r="K27" s="10"/>
      <c r="L27" s="10" t="s">
        <v>6</v>
      </c>
      <c r="M27" s="12">
        <f t="shared" si="1"/>
        <v>20</v>
      </c>
      <c r="N27" s="12">
        <v>3250</v>
      </c>
      <c r="O27" s="12">
        <v>0</v>
      </c>
      <c r="P27" s="11">
        <v>65000</v>
      </c>
      <c r="Q27" s="11">
        <f t="shared" si="0"/>
        <v>65000</v>
      </c>
      <c r="R27" s="11">
        <v>0</v>
      </c>
      <c r="S27" s="11"/>
      <c r="T27" s="11">
        <v>0</v>
      </c>
      <c r="U27" s="11">
        <f t="shared" si="3"/>
        <v>65000</v>
      </c>
      <c r="V27" s="42">
        <v>20</v>
      </c>
    </row>
    <row r="28" spans="1:22" s="36" customFormat="1" ht="15.45" x14ac:dyDescent="0.35">
      <c r="A28" s="19" t="s">
        <v>132</v>
      </c>
      <c r="B28" s="9">
        <v>45694</v>
      </c>
      <c r="C28" s="14" t="s">
        <v>545</v>
      </c>
      <c r="D28" s="10" t="s">
        <v>546</v>
      </c>
      <c r="E28" s="9">
        <v>45694</v>
      </c>
      <c r="F28" s="10" t="s">
        <v>129</v>
      </c>
      <c r="G28" s="10" t="s">
        <v>550</v>
      </c>
      <c r="H28" s="10" t="s">
        <v>820</v>
      </c>
      <c r="I28" s="10" t="s">
        <v>24</v>
      </c>
      <c r="J28" s="10" t="s">
        <v>61</v>
      </c>
      <c r="K28" s="10"/>
      <c r="L28" s="10" t="s">
        <v>6</v>
      </c>
      <c r="M28" s="12">
        <f t="shared" si="1"/>
        <v>3</v>
      </c>
      <c r="N28" s="12">
        <v>7000</v>
      </c>
      <c r="O28" s="12">
        <v>0</v>
      </c>
      <c r="P28" s="11">
        <v>21000</v>
      </c>
      <c r="Q28" s="11">
        <f t="shared" si="0"/>
        <v>21000</v>
      </c>
      <c r="R28" s="11">
        <v>0</v>
      </c>
      <c r="S28" s="11"/>
      <c r="T28" s="11">
        <v>0</v>
      </c>
      <c r="U28" s="11">
        <f t="shared" si="3"/>
        <v>21000</v>
      </c>
      <c r="V28" s="42">
        <v>3</v>
      </c>
    </row>
    <row r="29" spans="1:22" s="36" customFormat="1" ht="15.45" x14ac:dyDescent="0.35">
      <c r="A29" s="19" t="s">
        <v>113</v>
      </c>
      <c r="B29" s="9">
        <v>45694</v>
      </c>
      <c r="C29" s="14" t="s">
        <v>551</v>
      </c>
      <c r="D29" s="10" t="s">
        <v>552</v>
      </c>
      <c r="E29" s="9">
        <v>45694</v>
      </c>
      <c r="F29" s="10" t="s">
        <v>42</v>
      </c>
      <c r="G29" s="10" t="s">
        <v>553</v>
      </c>
      <c r="H29" s="10" t="s">
        <v>820</v>
      </c>
      <c r="I29" s="10" t="s">
        <v>24</v>
      </c>
      <c r="J29" s="10" t="s">
        <v>61</v>
      </c>
      <c r="K29" s="10"/>
      <c r="L29" s="10" t="s">
        <v>8</v>
      </c>
      <c r="M29" s="12">
        <f t="shared" si="1"/>
        <v>10</v>
      </c>
      <c r="N29" s="12">
        <v>60000</v>
      </c>
      <c r="O29" s="12">
        <v>0</v>
      </c>
      <c r="P29" s="11">
        <v>600000</v>
      </c>
      <c r="Q29" s="11">
        <f t="shared" si="0"/>
        <v>600000</v>
      </c>
      <c r="R29" s="11">
        <v>0</v>
      </c>
      <c r="S29" s="11"/>
      <c r="T29" s="11">
        <v>0</v>
      </c>
      <c r="U29" s="11">
        <f t="shared" si="3"/>
        <v>600000</v>
      </c>
      <c r="V29" s="42">
        <v>10</v>
      </c>
    </row>
    <row r="30" spans="1:22" s="36" customFormat="1" ht="15.45" x14ac:dyDescent="0.35">
      <c r="A30" s="19" t="s">
        <v>113</v>
      </c>
      <c r="B30" s="9">
        <v>45694</v>
      </c>
      <c r="C30" s="14" t="s">
        <v>551</v>
      </c>
      <c r="D30" s="10" t="s">
        <v>552</v>
      </c>
      <c r="E30" s="9">
        <v>45694</v>
      </c>
      <c r="F30" s="10" t="s">
        <v>42</v>
      </c>
      <c r="G30" s="10" t="s">
        <v>554</v>
      </c>
      <c r="H30" s="10" t="s">
        <v>820</v>
      </c>
      <c r="I30" s="10" t="s">
        <v>24</v>
      </c>
      <c r="J30" s="10" t="s">
        <v>61</v>
      </c>
      <c r="K30" s="10"/>
      <c r="L30" s="10" t="s">
        <v>6</v>
      </c>
      <c r="M30" s="12">
        <f t="shared" si="1"/>
        <v>1</v>
      </c>
      <c r="N30" s="12">
        <v>65000</v>
      </c>
      <c r="O30" s="12">
        <v>0</v>
      </c>
      <c r="P30" s="11">
        <v>65000</v>
      </c>
      <c r="Q30" s="11">
        <f t="shared" si="0"/>
        <v>65000</v>
      </c>
      <c r="R30" s="11">
        <v>0</v>
      </c>
      <c r="S30" s="11"/>
      <c r="T30" s="11">
        <v>0</v>
      </c>
      <c r="U30" s="11">
        <f t="shared" si="3"/>
        <v>65000</v>
      </c>
      <c r="V30" s="42">
        <v>1</v>
      </c>
    </row>
    <row r="31" spans="1:22" s="36" customFormat="1" ht="15.45" x14ac:dyDescent="0.35">
      <c r="A31" s="19" t="s">
        <v>113</v>
      </c>
      <c r="B31" s="9">
        <v>45694</v>
      </c>
      <c r="C31" s="14" t="s">
        <v>551</v>
      </c>
      <c r="D31" s="10" t="s">
        <v>552</v>
      </c>
      <c r="E31" s="9">
        <v>45694</v>
      </c>
      <c r="F31" s="10" t="s">
        <v>42</v>
      </c>
      <c r="G31" s="10" t="s">
        <v>555</v>
      </c>
      <c r="H31" s="10" t="s">
        <v>820</v>
      </c>
      <c r="I31" s="10" t="s">
        <v>24</v>
      </c>
      <c r="J31" s="10" t="s">
        <v>61</v>
      </c>
      <c r="K31" s="10"/>
      <c r="L31" s="10" t="s">
        <v>6</v>
      </c>
      <c r="M31" s="12">
        <f t="shared" si="1"/>
        <v>10</v>
      </c>
      <c r="N31" s="12">
        <v>12500</v>
      </c>
      <c r="O31" s="12">
        <v>0</v>
      </c>
      <c r="P31" s="11">
        <v>125000</v>
      </c>
      <c r="Q31" s="11">
        <f t="shared" si="0"/>
        <v>125000</v>
      </c>
      <c r="R31" s="11">
        <v>0</v>
      </c>
      <c r="S31" s="11"/>
      <c r="T31" s="11">
        <v>0</v>
      </c>
      <c r="U31" s="11">
        <f t="shared" si="3"/>
        <v>125000</v>
      </c>
      <c r="V31" s="42">
        <v>10</v>
      </c>
    </row>
    <row r="32" spans="1:22" s="36" customFormat="1" ht="15.45" x14ac:dyDescent="0.35">
      <c r="A32" s="19" t="s">
        <v>113</v>
      </c>
      <c r="B32" s="9">
        <v>45694</v>
      </c>
      <c r="C32" s="14" t="s">
        <v>551</v>
      </c>
      <c r="D32" s="10" t="s">
        <v>552</v>
      </c>
      <c r="E32" s="9">
        <v>45694</v>
      </c>
      <c r="F32" s="10" t="s">
        <v>42</v>
      </c>
      <c r="G32" s="10" t="s">
        <v>556</v>
      </c>
      <c r="H32" s="10" t="s">
        <v>820</v>
      </c>
      <c r="I32" s="10" t="s">
        <v>24</v>
      </c>
      <c r="J32" s="10" t="s">
        <v>61</v>
      </c>
      <c r="K32" s="10"/>
      <c r="L32" s="10" t="s">
        <v>6</v>
      </c>
      <c r="M32" s="12">
        <f t="shared" si="1"/>
        <v>1</v>
      </c>
      <c r="N32" s="12">
        <v>65000</v>
      </c>
      <c r="O32" s="12">
        <v>0</v>
      </c>
      <c r="P32" s="11">
        <v>65000</v>
      </c>
      <c r="Q32" s="11">
        <f t="shared" si="0"/>
        <v>65000</v>
      </c>
      <c r="R32" s="11">
        <v>0</v>
      </c>
      <c r="S32" s="11"/>
      <c r="T32" s="11">
        <v>0</v>
      </c>
      <c r="U32" s="11">
        <f t="shared" si="3"/>
        <v>65000</v>
      </c>
      <c r="V32" s="42">
        <v>1</v>
      </c>
    </row>
    <row r="33" spans="1:22" s="36" customFormat="1" ht="15.45" x14ac:dyDescent="0.35">
      <c r="A33" s="19" t="s">
        <v>116</v>
      </c>
      <c r="B33" s="9">
        <v>45694</v>
      </c>
      <c r="C33" s="14" t="s">
        <v>557</v>
      </c>
      <c r="D33" s="10" t="s">
        <v>558</v>
      </c>
      <c r="E33" s="9">
        <v>45694</v>
      </c>
      <c r="F33" s="10" t="s">
        <v>40</v>
      </c>
      <c r="G33" s="10" t="s">
        <v>559</v>
      </c>
      <c r="H33" s="10" t="s">
        <v>820</v>
      </c>
      <c r="I33" s="10" t="s">
        <v>24</v>
      </c>
      <c r="J33" s="10" t="s">
        <v>61</v>
      </c>
      <c r="K33" s="10"/>
      <c r="L33" s="10" t="s">
        <v>6</v>
      </c>
      <c r="M33" s="12">
        <f t="shared" si="1"/>
        <v>5</v>
      </c>
      <c r="N33" s="12">
        <v>430000</v>
      </c>
      <c r="O33" s="12">
        <v>0</v>
      </c>
      <c r="P33" s="11">
        <v>2150000</v>
      </c>
      <c r="Q33" s="11">
        <f t="shared" si="0"/>
        <v>2150000</v>
      </c>
      <c r="R33" s="11">
        <v>0</v>
      </c>
      <c r="S33" s="11"/>
      <c r="T33" s="11">
        <v>0</v>
      </c>
      <c r="U33" s="11">
        <f t="shared" si="3"/>
        <v>2150000</v>
      </c>
      <c r="V33" s="42">
        <v>5</v>
      </c>
    </row>
    <row r="34" spans="1:22" s="36" customFormat="1" ht="15.45" x14ac:dyDescent="0.35">
      <c r="A34" s="19" t="s">
        <v>98</v>
      </c>
      <c r="B34" s="9">
        <v>45709</v>
      </c>
      <c r="C34" s="14" t="s">
        <v>766</v>
      </c>
      <c r="D34" s="10" t="s">
        <v>445</v>
      </c>
      <c r="E34" s="9">
        <v>45688</v>
      </c>
      <c r="F34" s="10" t="s">
        <v>84</v>
      </c>
      <c r="G34" s="10" t="s">
        <v>175</v>
      </c>
      <c r="H34" s="10" t="s">
        <v>818</v>
      </c>
      <c r="I34" s="10" t="s">
        <v>25</v>
      </c>
      <c r="J34" s="10" t="s">
        <v>79</v>
      </c>
      <c r="K34" s="50" t="s">
        <v>962</v>
      </c>
      <c r="L34" s="10" t="s">
        <v>1</v>
      </c>
      <c r="M34" s="12">
        <f t="shared" si="1"/>
        <v>33320</v>
      </c>
      <c r="N34" s="12">
        <v>1250</v>
      </c>
      <c r="O34" s="12">
        <v>0</v>
      </c>
      <c r="P34" s="11">
        <v>41650000</v>
      </c>
      <c r="Q34" s="11">
        <f t="shared" si="0"/>
        <v>41650000</v>
      </c>
      <c r="R34" s="11">
        <v>4581500</v>
      </c>
      <c r="S34" s="11">
        <f>Q34*1.5%</f>
        <v>624750</v>
      </c>
      <c r="T34" s="11">
        <v>0</v>
      </c>
      <c r="U34" s="11">
        <f>Q34+R34-T34-S34</f>
        <v>45606750</v>
      </c>
      <c r="V34" s="42">
        <v>33320</v>
      </c>
    </row>
    <row r="35" spans="1:22" s="36" customFormat="1" ht="15.45" x14ac:dyDescent="0.35">
      <c r="A35" s="19" t="s">
        <v>98</v>
      </c>
      <c r="B35" s="9">
        <v>45713</v>
      </c>
      <c r="C35" s="14" t="s">
        <v>800</v>
      </c>
      <c r="D35" s="10" t="s">
        <v>801</v>
      </c>
      <c r="E35" s="9">
        <v>45714</v>
      </c>
      <c r="F35" s="10" t="s">
        <v>84</v>
      </c>
      <c r="G35" s="10" t="s">
        <v>175</v>
      </c>
      <c r="H35" s="10" t="s">
        <v>818</v>
      </c>
      <c r="I35" s="10" t="s">
        <v>25</v>
      </c>
      <c r="J35" s="10" t="s">
        <v>79</v>
      </c>
      <c r="K35" s="50" t="s">
        <v>962</v>
      </c>
      <c r="L35" s="10" t="s">
        <v>1</v>
      </c>
      <c r="M35" s="12">
        <f t="shared" si="1"/>
        <v>33910</v>
      </c>
      <c r="N35" s="12">
        <v>1250</v>
      </c>
      <c r="O35" s="12">
        <v>0</v>
      </c>
      <c r="P35" s="11">
        <v>42387500</v>
      </c>
      <c r="Q35" s="11">
        <f t="shared" si="0"/>
        <v>42387500</v>
      </c>
      <c r="R35" s="11">
        <v>4662625</v>
      </c>
      <c r="S35" s="11">
        <f>Q35*1.5%</f>
        <v>635812.5</v>
      </c>
      <c r="T35" s="11">
        <v>0</v>
      </c>
      <c r="U35" s="11">
        <f>Q35+R35-T35-S35</f>
        <v>46414312.5</v>
      </c>
      <c r="V35" s="42">
        <v>33910</v>
      </c>
    </row>
    <row r="36" spans="1:22" s="36" customFormat="1" ht="15.45" x14ac:dyDescent="0.35">
      <c r="A36" s="19" t="s">
        <v>98</v>
      </c>
      <c r="B36" s="9">
        <v>45716</v>
      </c>
      <c r="C36" s="14" t="s">
        <v>861</v>
      </c>
      <c r="D36" s="10" t="s">
        <v>862</v>
      </c>
      <c r="E36" s="9">
        <v>45714</v>
      </c>
      <c r="F36" s="10" t="s">
        <v>84</v>
      </c>
      <c r="G36" s="10" t="s">
        <v>89</v>
      </c>
      <c r="H36" s="10" t="s">
        <v>818</v>
      </c>
      <c r="I36" s="10" t="s">
        <v>25</v>
      </c>
      <c r="J36" s="10" t="s">
        <v>79</v>
      </c>
      <c r="K36" s="50" t="s">
        <v>961</v>
      </c>
      <c r="L36" s="10" t="s">
        <v>1</v>
      </c>
      <c r="M36" s="12">
        <f t="shared" si="1"/>
        <v>34780</v>
      </c>
      <c r="N36" s="12">
        <v>1535</v>
      </c>
      <c r="O36" s="12">
        <v>0</v>
      </c>
      <c r="P36" s="11">
        <v>53387300</v>
      </c>
      <c r="Q36" s="11">
        <f t="shared" si="0"/>
        <v>53387300</v>
      </c>
      <c r="R36" s="11">
        <v>5872603</v>
      </c>
      <c r="S36" s="11">
        <f>Q36*1.5%</f>
        <v>800809.5</v>
      </c>
      <c r="T36" s="11">
        <v>0</v>
      </c>
      <c r="U36" s="11">
        <f>Q36+R36-T36-S36</f>
        <v>58459093.5</v>
      </c>
      <c r="V36" s="42">
        <v>34780</v>
      </c>
    </row>
    <row r="37" spans="1:22" s="36" customFormat="1" ht="15.45" x14ac:dyDescent="0.35">
      <c r="A37" s="19" t="s">
        <v>99</v>
      </c>
      <c r="B37" s="9">
        <v>45701</v>
      </c>
      <c r="C37" s="14" t="s">
        <v>615</v>
      </c>
      <c r="D37" s="10" t="s">
        <v>616</v>
      </c>
      <c r="E37" s="9">
        <v>45700</v>
      </c>
      <c r="F37" s="10" t="s">
        <v>64</v>
      </c>
      <c r="G37" s="10" t="s">
        <v>43</v>
      </c>
      <c r="H37" s="10" t="s">
        <v>887</v>
      </c>
      <c r="I37" s="10" t="s">
        <v>23</v>
      </c>
      <c r="J37" s="10" t="s">
        <v>45</v>
      </c>
      <c r="K37" s="50" t="s">
        <v>701</v>
      </c>
      <c r="L37" s="10" t="s">
        <v>1</v>
      </c>
      <c r="M37" s="12">
        <f t="shared" si="1"/>
        <v>1</v>
      </c>
      <c r="N37" s="12">
        <v>1500000</v>
      </c>
      <c r="O37" s="12">
        <v>0</v>
      </c>
      <c r="P37" s="11">
        <v>1500000</v>
      </c>
      <c r="Q37" s="11">
        <f t="shared" si="0"/>
        <v>1500000</v>
      </c>
      <c r="R37" s="11">
        <v>165000</v>
      </c>
      <c r="S37" s="11"/>
      <c r="T37" s="11">
        <v>0</v>
      </c>
      <c r="U37" s="11">
        <f>Q37+R37-T37</f>
        <v>1665000</v>
      </c>
      <c r="V37" s="42">
        <v>1</v>
      </c>
    </row>
    <row r="38" spans="1:22" s="36" customFormat="1" ht="15.45" x14ac:dyDescent="0.35">
      <c r="A38" s="20" t="s">
        <v>99</v>
      </c>
      <c r="B38" s="9">
        <v>45701</v>
      </c>
      <c r="C38" s="14" t="s">
        <v>615</v>
      </c>
      <c r="D38" s="10" t="s">
        <v>616</v>
      </c>
      <c r="E38" s="9">
        <v>45700</v>
      </c>
      <c r="F38" s="10" t="s">
        <v>64</v>
      </c>
      <c r="G38" s="10" t="s">
        <v>126</v>
      </c>
      <c r="H38" s="10" t="s">
        <v>887</v>
      </c>
      <c r="I38" s="10" t="s">
        <v>23</v>
      </c>
      <c r="J38" s="10" t="s">
        <v>45</v>
      </c>
      <c r="K38" s="50" t="s">
        <v>701</v>
      </c>
      <c r="L38" s="10" t="s">
        <v>0</v>
      </c>
      <c r="M38" s="12">
        <f t="shared" si="1"/>
        <v>250</v>
      </c>
      <c r="N38" s="12">
        <v>13180</v>
      </c>
      <c r="O38" s="12">
        <v>0</v>
      </c>
      <c r="P38" s="11">
        <v>3295000</v>
      </c>
      <c r="Q38" s="11">
        <f t="shared" si="0"/>
        <v>3295000</v>
      </c>
      <c r="R38" s="11">
        <v>362450</v>
      </c>
      <c r="S38" s="11"/>
      <c r="T38" s="11">
        <v>0</v>
      </c>
      <c r="U38" s="11">
        <f>Q38+R38-T38</f>
        <v>3657450</v>
      </c>
      <c r="V38" s="42">
        <v>250</v>
      </c>
    </row>
    <row r="39" spans="1:22" s="36" customFormat="1" ht="15.45" x14ac:dyDescent="0.35">
      <c r="A39" s="19" t="s">
        <v>99</v>
      </c>
      <c r="B39" s="9">
        <v>45694</v>
      </c>
      <c r="C39" s="14" t="s">
        <v>560</v>
      </c>
      <c r="D39" s="10" t="s">
        <v>561</v>
      </c>
      <c r="E39" s="9">
        <v>45693</v>
      </c>
      <c r="F39" s="10" t="s">
        <v>64</v>
      </c>
      <c r="G39" s="10" t="s">
        <v>238</v>
      </c>
      <c r="H39" s="10" t="s">
        <v>887</v>
      </c>
      <c r="I39" s="10" t="s">
        <v>23</v>
      </c>
      <c r="J39" s="10" t="s">
        <v>45</v>
      </c>
      <c r="K39" s="50" t="s">
        <v>704</v>
      </c>
      <c r="L39" s="10" t="s">
        <v>1</v>
      </c>
      <c r="M39" s="12">
        <f t="shared" si="1"/>
        <v>300</v>
      </c>
      <c r="N39" s="12">
        <v>33000</v>
      </c>
      <c r="O39" s="12">
        <v>0</v>
      </c>
      <c r="P39" s="11">
        <v>9900000</v>
      </c>
      <c r="Q39" s="11">
        <f t="shared" si="0"/>
        <v>9900000</v>
      </c>
      <c r="R39" s="11">
        <v>1089000</v>
      </c>
      <c r="S39" s="11"/>
      <c r="T39" s="11">
        <v>0</v>
      </c>
      <c r="U39" s="11">
        <f>Q39+R39-T39</f>
        <v>10989000</v>
      </c>
      <c r="V39" s="42">
        <v>300</v>
      </c>
    </row>
    <row r="40" spans="1:22" s="36" customFormat="1" ht="15.45" x14ac:dyDescent="0.35">
      <c r="A40" s="19" t="s">
        <v>99</v>
      </c>
      <c r="B40" s="9">
        <v>45694</v>
      </c>
      <c r="C40" s="14" t="s">
        <v>560</v>
      </c>
      <c r="D40" s="10" t="s">
        <v>561</v>
      </c>
      <c r="E40" s="9">
        <v>45693</v>
      </c>
      <c r="F40" s="10" t="s">
        <v>64</v>
      </c>
      <c r="G40" s="10" t="s">
        <v>237</v>
      </c>
      <c r="H40" s="10" t="s">
        <v>887</v>
      </c>
      <c r="I40" s="10" t="s">
        <v>23</v>
      </c>
      <c r="J40" s="10" t="s">
        <v>45</v>
      </c>
      <c r="K40" s="50" t="s">
        <v>704</v>
      </c>
      <c r="L40" s="10" t="s">
        <v>1</v>
      </c>
      <c r="M40" s="12">
        <f t="shared" si="1"/>
        <v>200</v>
      </c>
      <c r="N40" s="12">
        <v>47500</v>
      </c>
      <c r="O40" s="12">
        <v>0</v>
      </c>
      <c r="P40" s="11">
        <v>9500000</v>
      </c>
      <c r="Q40" s="11">
        <f t="shared" ref="Q40:Q71" si="4">P40</f>
        <v>9500000</v>
      </c>
      <c r="R40" s="11">
        <v>1045000</v>
      </c>
      <c r="S40" s="11"/>
      <c r="T40" s="11">
        <v>0</v>
      </c>
      <c r="U40" s="11">
        <f>Q40+R40-T40</f>
        <v>10545000</v>
      </c>
      <c r="V40" s="42">
        <v>200</v>
      </c>
    </row>
    <row r="41" spans="1:22" s="36" customFormat="1" ht="15.45" x14ac:dyDescent="0.35">
      <c r="A41" s="19" t="s">
        <v>99</v>
      </c>
      <c r="B41" s="9">
        <v>45707</v>
      </c>
      <c r="C41" s="14" t="s">
        <v>689</v>
      </c>
      <c r="D41" s="10" t="s">
        <v>690</v>
      </c>
      <c r="E41" s="9">
        <v>45705</v>
      </c>
      <c r="F41" s="10" t="s">
        <v>64</v>
      </c>
      <c r="G41" s="10" t="s">
        <v>237</v>
      </c>
      <c r="H41" s="10" t="s">
        <v>887</v>
      </c>
      <c r="I41" s="10" t="s">
        <v>23</v>
      </c>
      <c r="J41" s="10" t="s">
        <v>45</v>
      </c>
      <c r="K41" s="50" t="s">
        <v>775</v>
      </c>
      <c r="L41" s="10" t="s">
        <v>1</v>
      </c>
      <c r="M41" s="12">
        <f t="shared" si="1"/>
        <v>300</v>
      </c>
      <c r="N41" s="12">
        <v>47500</v>
      </c>
      <c r="O41" s="12">
        <v>0</v>
      </c>
      <c r="P41" s="11">
        <v>14250000</v>
      </c>
      <c r="Q41" s="11">
        <f t="shared" si="4"/>
        <v>14250000</v>
      </c>
      <c r="R41" s="11">
        <v>1567500</v>
      </c>
      <c r="S41" s="11"/>
      <c r="T41" s="11">
        <v>0</v>
      </c>
      <c r="U41" s="11">
        <f>Q41+R41-T41</f>
        <v>15817500</v>
      </c>
      <c r="V41" s="42">
        <v>300</v>
      </c>
    </row>
    <row r="42" spans="1:22" s="36" customFormat="1" ht="15.45" x14ac:dyDescent="0.35">
      <c r="A42" s="19" t="s">
        <v>102</v>
      </c>
      <c r="B42" s="9">
        <v>45692</v>
      </c>
      <c r="C42" s="14" t="s">
        <v>457</v>
      </c>
      <c r="D42" s="10" t="s">
        <v>241</v>
      </c>
      <c r="E42" s="9">
        <v>45650</v>
      </c>
      <c r="F42" s="10" t="s">
        <v>65</v>
      </c>
      <c r="G42" s="10" t="s">
        <v>48</v>
      </c>
      <c r="H42" s="10" t="s">
        <v>820</v>
      </c>
      <c r="I42" s="10" t="s">
        <v>24</v>
      </c>
      <c r="J42" s="10" t="s">
        <v>61</v>
      </c>
      <c r="K42" s="50" t="s">
        <v>710</v>
      </c>
      <c r="L42" s="10" t="s">
        <v>15</v>
      </c>
      <c r="M42" s="12">
        <f t="shared" si="1"/>
        <v>288</v>
      </c>
      <c r="N42" s="12">
        <v>8200</v>
      </c>
      <c r="O42" s="12">
        <v>0</v>
      </c>
      <c r="P42" s="11">
        <v>2361600</v>
      </c>
      <c r="Q42" s="11">
        <f t="shared" si="4"/>
        <v>2361600</v>
      </c>
      <c r="R42" s="11">
        <v>259776</v>
      </c>
      <c r="S42" s="11"/>
      <c r="T42" s="11">
        <v>0</v>
      </c>
      <c r="U42" s="11">
        <f>Q42+R42-T42-S42</f>
        <v>2621376</v>
      </c>
      <c r="V42" s="42">
        <v>288</v>
      </c>
    </row>
    <row r="43" spans="1:22" s="36" customFormat="1" ht="15.45" x14ac:dyDescent="0.35">
      <c r="A43" s="19" t="s">
        <v>102</v>
      </c>
      <c r="B43" s="9">
        <v>45705</v>
      </c>
      <c r="C43" s="14" t="s">
        <v>651</v>
      </c>
      <c r="D43" s="10" t="s">
        <v>241</v>
      </c>
      <c r="E43" s="9">
        <v>45650</v>
      </c>
      <c r="F43" s="10" t="s">
        <v>65</v>
      </c>
      <c r="G43" s="10" t="s">
        <v>48</v>
      </c>
      <c r="H43" s="10" t="s">
        <v>820</v>
      </c>
      <c r="I43" s="10" t="s">
        <v>24</v>
      </c>
      <c r="J43" s="10" t="s">
        <v>61</v>
      </c>
      <c r="K43" s="50" t="s">
        <v>907</v>
      </c>
      <c r="L43" s="10" t="s">
        <v>15</v>
      </c>
      <c r="M43" s="12">
        <f t="shared" si="1"/>
        <v>288</v>
      </c>
      <c r="N43" s="12">
        <v>8200</v>
      </c>
      <c r="O43" s="12">
        <v>0</v>
      </c>
      <c r="P43" s="11">
        <v>2361600</v>
      </c>
      <c r="Q43" s="11">
        <f t="shared" si="4"/>
        <v>2361600</v>
      </c>
      <c r="R43" s="11">
        <v>259776</v>
      </c>
      <c r="S43" s="11"/>
      <c r="T43" s="11">
        <v>0</v>
      </c>
      <c r="U43" s="11">
        <f t="shared" ref="U43:U49" si="5">Q43+R43-T43</f>
        <v>2621376</v>
      </c>
      <c r="V43" s="42">
        <v>288</v>
      </c>
    </row>
    <row r="44" spans="1:22" s="36" customFormat="1" ht="15.45" x14ac:dyDescent="0.35">
      <c r="A44" s="19" t="s">
        <v>102</v>
      </c>
      <c r="B44" s="9">
        <v>45713</v>
      </c>
      <c r="C44" s="14" t="s">
        <v>789</v>
      </c>
      <c r="D44" s="10" t="s">
        <v>790</v>
      </c>
      <c r="E44" s="9">
        <v>45707</v>
      </c>
      <c r="F44" s="10" t="s">
        <v>65</v>
      </c>
      <c r="G44" s="10" t="s">
        <v>48</v>
      </c>
      <c r="H44" s="10" t="s">
        <v>820</v>
      </c>
      <c r="I44" s="10" t="s">
        <v>24</v>
      </c>
      <c r="J44" s="10" t="s">
        <v>61</v>
      </c>
      <c r="K44" s="50" t="s">
        <v>905</v>
      </c>
      <c r="L44" s="10" t="s">
        <v>15</v>
      </c>
      <c r="M44" s="12">
        <f t="shared" si="1"/>
        <v>288</v>
      </c>
      <c r="N44" s="12">
        <v>8200</v>
      </c>
      <c r="O44" s="12">
        <v>0</v>
      </c>
      <c r="P44" s="11">
        <v>2361600</v>
      </c>
      <c r="Q44" s="11">
        <f t="shared" si="4"/>
        <v>2361600</v>
      </c>
      <c r="R44" s="11">
        <v>259776</v>
      </c>
      <c r="S44" s="11"/>
      <c r="T44" s="11">
        <v>0</v>
      </c>
      <c r="U44" s="11">
        <f t="shared" si="5"/>
        <v>2621376</v>
      </c>
      <c r="V44" s="42">
        <v>288</v>
      </c>
    </row>
    <row r="45" spans="1:22" s="36" customFormat="1" ht="15.45" x14ac:dyDescent="0.35">
      <c r="A45" s="19" t="s">
        <v>103</v>
      </c>
      <c r="B45" s="9">
        <v>45695</v>
      </c>
      <c r="C45" s="14" t="s">
        <v>571</v>
      </c>
      <c r="D45" s="10" t="s">
        <v>572</v>
      </c>
      <c r="E45" s="9">
        <v>45693</v>
      </c>
      <c r="F45" s="10" t="s">
        <v>70</v>
      </c>
      <c r="G45" s="10" t="s">
        <v>46</v>
      </c>
      <c r="H45" s="10" t="s">
        <v>889</v>
      </c>
      <c r="I45" s="10" t="s">
        <v>23</v>
      </c>
      <c r="J45" s="10" t="s">
        <v>45</v>
      </c>
      <c r="K45" s="50" t="s">
        <v>703</v>
      </c>
      <c r="L45" s="10" t="s">
        <v>1</v>
      </c>
      <c r="M45" s="12">
        <f t="shared" si="1"/>
        <v>240</v>
      </c>
      <c r="N45" s="12">
        <v>24000</v>
      </c>
      <c r="O45" s="12">
        <v>0</v>
      </c>
      <c r="P45" s="11">
        <v>5760000</v>
      </c>
      <c r="Q45" s="11">
        <f t="shared" si="4"/>
        <v>5760000</v>
      </c>
      <c r="R45" s="11">
        <v>633600</v>
      </c>
      <c r="S45" s="11"/>
      <c r="T45" s="11">
        <v>0</v>
      </c>
      <c r="U45" s="11">
        <f t="shared" si="5"/>
        <v>6393600</v>
      </c>
      <c r="V45" s="42">
        <v>240</v>
      </c>
    </row>
    <row r="46" spans="1:22" s="36" customFormat="1" ht="15.45" x14ac:dyDescent="0.35">
      <c r="A46" s="19" t="s">
        <v>103</v>
      </c>
      <c r="B46" s="9">
        <v>45695</v>
      </c>
      <c r="C46" s="14" t="s">
        <v>571</v>
      </c>
      <c r="D46" s="10" t="s">
        <v>572</v>
      </c>
      <c r="E46" s="9">
        <v>45693</v>
      </c>
      <c r="F46" s="10" t="s">
        <v>70</v>
      </c>
      <c r="G46" s="10" t="s">
        <v>47</v>
      </c>
      <c r="H46" s="10" t="s">
        <v>889</v>
      </c>
      <c r="I46" s="10" t="s">
        <v>23</v>
      </c>
      <c r="J46" s="10" t="s">
        <v>45</v>
      </c>
      <c r="K46" s="50" t="s">
        <v>703</v>
      </c>
      <c r="L46" s="10" t="s">
        <v>1</v>
      </c>
      <c r="M46" s="12">
        <f t="shared" si="1"/>
        <v>240</v>
      </c>
      <c r="N46" s="12">
        <v>23000</v>
      </c>
      <c r="O46" s="12">
        <v>0</v>
      </c>
      <c r="P46" s="11">
        <v>5520000</v>
      </c>
      <c r="Q46" s="11">
        <f t="shared" si="4"/>
        <v>5520000</v>
      </c>
      <c r="R46" s="11">
        <v>607200</v>
      </c>
      <c r="S46" s="11"/>
      <c r="T46" s="11">
        <v>0</v>
      </c>
      <c r="U46" s="11">
        <f t="shared" si="5"/>
        <v>6127200</v>
      </c>
      <c r="V46" s="42">
        <v>240</v>
      </c>
    </row>
    <row r="47" spans="1:22" s="36" customFormat="1" ht="15.45" x14ac:dyDescent="0.35">
      <c r="A47" s="19" t="s">
        <v>691</v>
      </c>
      <c r="B47" s="9">
        <v>45701</v>
      </c>
      <c r="C47" s="14" t="s">
        <v>617</v>
      </c>
      <c r="D47" s="10" t="s">
        <v>618</v>
      </c>
      <c r="E47" s="9">
        <v>45700</v>
      </c>
      <c r="F47" s="10" t="s">
        <v>619</v>
      </c>
      <c r="G47" s="10" t="s">
        <v>620</v>
      </c>
      <c r="H47" s="10" t="s">
        <v>886</v>
      </c>
      <c r="I47" s="10" t="s">
        <v>23</v>
      </c>
      <c r="J47" s="10" t="s">
        <v>45</v>
      </c>
      <c r="K47" s="50" t="s">
        <v>954</v>
      </c>
      <c r="L47" s="10" t="s">
        <v>1</v>
      </c>
      <c r="M47" s="12">
        <f t="shared" si="1"/>
        <v>50</v>
      </c>
      <c r="N47" s="12">
        <v>441045</v>
      </c>
      <c r="O47" s="12">
        <v>16335</v>
      </c>
      <c r="P47" s="11">
        <v>22052250</v>
      </c>
      <c r="Q47" s="11">
        <f t="shared" si="4"/>
        <v>22052250</v>
      </c>
      <c r="R47" s="11">
        <v>2425747.5</v>
      </c>
      <c r="S47" s="11"/>
      <c r="T47" s="11">
        <v>0</v>
      </c>
      <c r="U47" s="11">
        <f t="shared" si="5"/>
        <v>24477997.5</v>
      </c>
      <c r="V47" s="42">
        <v>50</v>
      </c>
    </row>
    <row r="48" spans="1:22" s="36" customFormat="1" ht="15.45" x14ac:dyDescent="0.35">
      <c r="A48" s="19" t="s">
        <v>691</v>
      </c>
      <c r="B48" s="9">
        <v>45701</v>
      </c>
      <c r="C48" s="14" t="s">
        <v>617</v>
      </c>
      <c r="D48" s="10" t="s">
        <v>618</v>
      </c>
      <c r="E48" s="9">
        <v>45700</v>
      </c>
      <c r="F48" s="10" t="s">
        <v>619</v>
      </c>
      <c r="G48" s="10" t="s">
        <v>621</v>
      </c>
      <c r="H48" s="10" t="s">
        <v>886</v>
      </c>
      <c r="I48" s="10" t="s">
        <v>23</v>
      </c>
      <c r="J48" s="10" t="s">
        <v>45</v>
      </c>
      <c r="K48" s="50" t="s">
        <v>954</v>
      </c>
      <c r="L48" s="10" t="s">
        <v>1</v>
      </c>
      <c r="M48" s="12">
        <f t="shared" si="1"/>
        <v>50</v>
      </c>
      <c r="N48" s="12">
        <v>294030</v>
      </c>
      <c r="O48" s="12">
        <v>16335</v>
      </c>
      <c r="P48" s="11">
        <v>14701500</v>
      </c>
      <c r="Q48" s="11">
        <f t="shared" si="4"/>
        <v>14701500</v>
      </c>
      <c r="R48" s="11">
        <v>1617165</v>
      </c>
      <c r="S48" s="11"/>
      <c r="T48" s="11">
        <v>0</v>
      </c>
      <c r="U48" s="11">
        <f t="shared" si="5"/>
        <v>16318665</v>
      </c>
      <c r="V48" s="42">
        <v>50</v>
      </c>
    </row>
    <row r="49" spans="1:24" s="36" customFormat="1" ht="15.45" x14ac:dyDescent="0.35">
      <c r="A49" s="19" t="s">
        <v>138</v>
      </c>
      <c r="B49" s="9">
        <v>45698</v>
      </c>
      <c r="C49" s="14" t="s">
        <v>576</v>
      </c>
      <c r="D49" s="10" t="s">
        <v>577</v>
      </c>
      <c r="E49" s="9">
        <v>45693</v>
      </c>
      <c r="F49" s="10" t="s">
        <v>137</v>
      </c>
      <c r="G49" s="10" t="s">
        <v>578</v>
      </c>
      <c r="H49" s="10" t="s">
        <v>890</v>
      </c>
      <c r="I49" s="10" t="s">
        <v>23</v>
      </c>
      <c r="J49" s="10" t="s">
        <v>45</v>
      </c>
      <c r="K49" s="50" t="s">
        <v>697</v>
      </c>
      <c r="L49" s="10" t="s">
        <v>1</v>
      </c>
      <c r="M49" s="12">
        <f t="shared" si="1"/>
        <v>1000</v>
      </c>
      <c r="N49" s="12">
        <v>11950</v>
      </c>
      <c r="O49" s="12">
        <v>0</v>
      </c>
      <c r="P49" s="11">
        <v>11950000</v>
      </c>
      <c r="Q49" s="11">
        <f t="shared" si="4"/>
        <v>11950000</v>
      </c>
      <c r="R49" s="11">
        <v>1314500</v>
      </c>
      <c r="S49" s="11"/>
      <c r="T49" s="11">
        <v>0</v>
      </c>
      <c r="U49" s="11">
        <f t="shared" si="5"/>
        <v>13264500</v>
      </c>
      <c r="V49" s="42">
        <v>1000</v>
      </c>
    </row>
    <row r="50" spans="1:24" s="36" customFormat="1" ht="15.45" x14ac:dyDescent="0.35">
      <c r="A50" s="19" t="s">
        <v>118</v>
      </c>
      <c r="B50" s="21">
        <v>45701</v>
      </c>
      <c r="C50" s="22" t="s">
        <v>601</v>
      </c>
      <c r="D50" s="23"/>
      <c r="E50" s="21"/>
      <c r="F50" s="23" t="s">
        <v>217</v>
      </c>
      <c r="G50" s="23" t="s">
        <v>602</v>
      </c>
      <c r="H50" s="23" t="s">
        <v>819</v>
      </c>
      <c r="I50" s="23" t="s">
        <v>119</v>
      </c>
      <c r="J50" s="23" t="s">
        <v>120</v>
      </c>
      <c r="K50" s="26"/>
      <c r="L50" s="23" t="s">
        <v>135</v>
      </c>
      <c r="M50" s="24">
        <v>2479</v>
      </c>
      <c r="N50" s="24">
        <v>7500</v>
      </c>
      <c r="O50" s="24"/>
      <c r="P50" s="25">
        <f>M50*N50</f>
        <v>18592500</v>
      </c>
      <c r="Q50" s="25">
        <f t="shared" si="4"/>
        <v>18592500</v>
      </c>
      <c r="R50" s="25"/>
      <c r="S50" s="25"/>
      <c r="T50" s="25"/>
      <c r="U50" s="25">
        <f>Q50</f>
        <v>18592500</v>
      </c>
      <c r="V50" s="29"/>
      <c r="W50" s="28"/>
      <c r="X50" s="28"/>
    </row>
    <row r="51" spans="1:24" s="36" customFormat="1" ht="15.45" x14ac:dyDescent="0.35">
      <c r="A51" s="19" t="s">
        <v>138</v>
      </c>
      <c r="B51" s="9">
        <v>45698</v>
      </c>
      <c r="C51" s="14" t="s">
        <v>581</v>
      </c>
      <c r="D51" s="10" t="s">
        <v>582</v>
      </c>
      <c r="E51" s="9">
        <v>45695</v>
      </c>
      <c r="F51" s="10" t="s">
        <v>137</v>
      </c>
      <c r="G51" s="10" t="s">
        <v>53</v>
      </c>
      <c r="H51" s="10" t="s">
        <v>978</v>
      </c>
      <c r="I51" s="10" t="s">
        <v>23</v>
      </c>
      <c r="J51" s="10" t="s">
        <v>45</v>
      </c>
      <c r="K51" s="50" t="s">
        <v>698</v>
      </c>
      <c r="L51" s="10" t="s">
        <v>1</v>
      </c>
      <c r="M51" s="12">
        <f t="shared" ref="M51:M97" si="6">IF(LEFT(C51,2)="RP",V51*-1,V51)</f>
        <v>1000</v>
      </c>
      <c r="N51" s="12">
        <v>11500</v>
      </c>
      <c r="O51" s="12">
        <v>0</v>
      </c>
      <c r="P51" s="11">
        <v>11500000</v>
      </c>
      <c r="Q51" s="11">
        <f t="shared" si="4"/>
        <v>11500000</v>
      </c>
      <c r="R51" s="11">
        <v>1265000</v>
      </c>
      <c r="S51" s="11"/>
      <c r="T51" s="11">
        <v>0</v>
      </c>
      <c r="U51" s="11">
        <f>Q51+R51-T51</f>
        <v>12765000</v>
      </c>
      <c r="V51" s="42">
        <v>1000</v>
      </c>
    </row>
    <row r="52" spans="1:24" s="36" customFormat="1" ht="15.45" x14ac:dyDescent="0.35">
      <c r="A52" s="19" t="s">
        <v>138</v>
      </c>
      <c r="B52" s="9">
        <v>45705</v>
      </c>
      <c r="C52" s="14" t="s">
        <v>657</v>
      </c>
      <c r="D52" s="10" t="s">
        <v>582</v>
      </c>
      <c r="E52" s="9">
        <v>45695</v>
      </c>
      <c r="F52" s="10" t="s">
        <v>137</v>
      </c>
      <c r="G52" s="10" t="s">
        <v>53</v>
      </c>
      <c r="H52" s="10" t="s">
        <v>978</v>
      </c>
      <c r="I52" s="10" t="s">
        <v>23</v>
      </c>
      <c r="J52" s="10" t="s">
        <v>45</v>
      </c>
      <c r="K52" s="50" t="s">
        <v>900</v>
      </c>
      <c r="L52" s="10" t="s">
        <v>1</v>
      </c>
      <c r="M52" s="12">
        <f t="shared" si="6"/>
        <v>1000</v>
      </c>
      <c r="N52" s="12">
        <v>11500</v>
      </c>
      <c r="O52" s="12">
        <v>0</v>
      </c>
      <c r="P52" s="11">
        <v>11500000</v>
      </c>
      <c r="Q52" s="11">
        <f t="shared" si="4"/>
        <v>11500000</v>
      </c>
      <c r="R52" s="11">
        <v>1265000</v>
      </c>
      <c r="S52" s="11"/>
      <c r="T52" s="11">
        <v>0</v>
      </c>
      <c r="U52" s="11">
        <f>Q52+R52-T52</f>
        <v>12765000</v>
      </c>
      <c r="V52" s="42">
        <v>1000</v>
      </c>
    </row>
    <row r="53" spans="1:24" s="36" customFormat="1" ht="15.45" x14ac:dyDescent="0.35">
      <c r="A53" s="19" t="s">
        <v>134</v>
      </c>
      <c r="B53" s="9">
        <v>45714</v>
      </c>
      <c r="C53" s="14" t="s">
        <v>802</v>
      </c>
      <c r="D53" s="10" t="s">
        <v>803</v>
      </c>
      <c r="E53" s="9">
        <v>45712</v>
      </c>
      <c r="F53" s="10" t="s">
        <v>127</v>
      </c>
      <c r="G53" s="10" t="s">
        <v>128</v>
      </c>
      <c r="H53" s="10" t="s">
        <v>891</v>
      </c>
      <c r="I53" s="10" t="s">
        <v>23</v>
      </c>
      <c r="J53" s="10" t="s">
        <v>45</v>
      </c>
      <c r="K53" s="50" t="s">
        <v>1116</v>
      </c>
      <c r="L53" s="10" t="s">
        <v>1</v>
      </c>
      <c r="M53" s="12">
        <f t="shared" si="6"/>
        <v>120</v>
      </c>
      <c r="N53" s="12">
        <v>12000</v>
      </c>
      <c r="O53" s="12">
        <v>0</v>
      </c>
      <c r="P53" s="11">
        <v>1440000</v>
      </c>
      <c r="Q53" s="11">
        <f t="shared" si="4"/>
        <v>1440000</v>
      </c>
      <c r="R53" s="11">
        <v>158400</v>
      </c>
      <c r="S53" s="11"/>
      <c r="T53" s="11">
        <v>0</v>
      </c>
      <c r="U53" s="11">
        <f>Q53+R53-T53</f>
        <v>1598400</v>
      </c>
      <c r="V53" s="42">
        <v>120</v>
      </c>
    </row>
    <row r="54" spans="1:24" s="36" customFormat="1" ht="15.45" x14ac:dyDescent="0.35">
      <c r="A54" s="19" t="s">
        <v>694</v>
      </c>
      <c r="B54" s="9">
        <v>45700</v>
      </c>
      <c r="C54" s="14" t="s">
        <v>606</v>
      </c>
      <c r="D54" s="10" t="s">
        <v>607</v>
      </c>
      <c r="E54" s="9">
        <v>45700</v>
      </c>
      <c r="F54" s="10" t="s">
        <v>608</v>
      </c>
      <c r="G54" s="10" t="s">
        <v>609</v>
      </c>
      <c r="H54" s="23" t="s">
        <v>819</v>
      </c>
      <c r="I54" s="10" t="s">
        <v>26</v>
      </c>
      <c r="J54" s="10" t="s">
        <v>80</v>
      </c>
      <c r="K54" s="10"/>
      <c r="L54" s="10" t="s">
        <v>6</v>
      </c>
      <c r="M54" s="12">
        <f t="shared" si="6"/>
        <v>1</v>
      </c>
      <c r="N54" s="12">
        <v>2128500</v>
      </c>
      <c r="O54" s="12">
        <v>0</v>
      </c>
      <c r="P54" s="11">
        <v>2128500</v>
      </c>
      <c r="Q54" s="11">
        <f t="shared" si="4"/>
        <v>2128500</v>
      </c>
      <c r="R54" s="11">
        <v>0</v>
      </c>
      <c r="S54" s="11"/>
      <c r="T54" s="11">
        <v>0</v>
      </c>
      <c r="U54" s="11">
        <f>Q54+R54-T54</f>
        <v>2128500</v>
      </c>
      <c r="V54" s="42">
        <v>1</v>
      </c>
    </row>
    <row r="55" spans="1:24" s="36" customFormat="1" ht="15.45" x14ac:dyDescent="0.35">
      <c r="A55" s="19" t="s">
        <v>694</v>
      </c>
      <c r="B55" s="9">
        <v>45700</v>
      </c>
      <c r="C55" s="14" t="s">
        <v>606</v>
      </c>
      <c r="D55" s="10" t="s">
        <v>607</v>
      </c>
      <c r="E55" s="9">
        <v>45700</v>
      </c>
      <c r="F55" s="10" t="s">
        <v>608</v>
      </c>
      <c r="G55" s="10" t="s">
        <v>610</v>
      </c>
      <c r="H55" s="10" t="s">
        <v>820</v>
      </c>
      <c r="I55" s="10" t="s">
        <v>24</v>
      </c>
      <c r="J55" s="10" t="s">
        <v>61</v>
      </c>
      <c r="K55" s="10"/>
      <c r="L55" s="10" t="s">
        <v>6</v>
      </c>
      <c r="M55" s="12">
        <f t="shared" si="6"/>
        <v>1</v>
      </c>
      <c r="N55" s="12">
        <v>855000</v>
      </c>
      <c r="O55" s="12">
        <v>0</v>
      </c>
      <c r="P55" s="11">
        <v>855000</v>
      </c>
      <c r="Q55" s="11">
        <f t="shared" si="4"/>
        <v>855000</v>
      </c>
      <c r="R55" s="11">
        <v>0</v>
      </c>
      <c r="S55" s="11"/>
      <c r="T55" s="11">
        <v>0</v>
      </c>
      <c r="U55" s="11">
        <f>Q55+R55-T55</f>
        <v>855000</v>
      </c>
      <c r="V55" s="42">
        <v>1</v>
      </c>
    </row>
    <row r="56" spans="1:24" s="36" customFormat="1" ht="15.45" x14ac:dyDescent="0.35">
      <c r="A56" s="19" t="s">
        <v>105</v>
      </c>
      <c r="B56" s="9">
        <v>45691</v>
      </c>
      <c r="C56" s="14" t="s">
        <v>450</v>
      </c>
      <c r="D56" s="10" t="s">
        <v>451</v>
      </c>
      <c r="E56" s="9">
        <v>45691</v>
      </c>
      <c r="F56" s="10" t="s">
        <v>85</v>
      </c>
      <c r="G56" s="10" t="s">
        <v>131</v>
      </c>
      <c r="H56" s="10" t="s">
        <v>886</v>
      </c>
      <c r="I56" s="10" t="s">
        <v>23</v>
      </c>
      <c r="J56" s="10" t="s">
        <v>45</v>
      </c>
      <c r="K56" s="50" t="s">
        <v>776</v>
      </c>
      <c r="L56" s="10" t="s">
        <v>1</v>
      </c>
      <c r="M56" s="12">
        <f t="shared" si="6"/>
        <v>200</v>
      </c>
      <c r="N56" s="12">
        <v>197220</v>
      </c>
      <c r="O56" s="12">
        <v>16435</v>
      </c>
      <c r="P56" s="11">
        <v>39444000</v>
      </c>
      <c r="Q56" s="11">
        <f t="shared" si="4"/>
        <v>39444000</v>
      </c>
      <c r="R56" s="11">
        <v>4338840</v>
      </c>
      <c r="S56" s="11"/>
      <c r="T56" s="11">
        <v>0</v>
      </c>
      <c r="U56" s="11">
        <f>Q56+R56-T56-S56</f>
        <v>43782840</v>
      </c>
      <c r="V56" s="42">
        <v>200</v>
      </c>
    </row>
    <row r="57" spans="1:24" s="36" customFormat="1" ht="15.45" x14ac:dyDescent="0.35">
      <c r="A57" s="19" t="s">
        <v>111</v>
      </c>
      <c r="B57" s="9">
        <v>45700</v>
      </c>
      <c r="C57" s="14" t="s">
        <v>612</v>
      </c>
      <c r="D57" s="10" t="s">
        <v>613</v>
      </c>
      <c r="E57" s="9">
        <v>45700</v>
      </c>
      <c r="F57" s="10" t="s">
        <v>55</v>
      </c>
      <c r="G57" s="10" t="s">
        <v>614</v>
      </c>
      <c r="H57" s="10" t="s">
        <v>820</v>
      </c>
      <c r="I57" s="10" t="s">
        <v>24</v>
      </c>
      <c r="J57" s="10" t="s">
        <v>61</v>
      </c>
      <c r="K57" s="10"/>
      <c r="L57" s="10" t="s">
        <v>6</v>
      </c>
      <c r="M57" s="12">
        <f t="shared" si="6"/>
        <v>3</v>
      </c>
      <c r="N57" s="12">
        <v>200000</v>
      </c>
      <c r="O57" s="12">
        <v>0</v>
      </c>
      <c r="P57" s="11">
        <v>600000</v>
      </c>
      <c r="Q57" s="11">
        <f t="shared" si="4"/>
        <v>600000</v>
      </c>
      <c r="R57" s="11">
        <v>0</v>
      </c>
      <c r="S57" s="11"/>
      <c r="T57" s="11">
        <v>0</v>
      </c>
      <c r="U57" s="11">
        <f>Q57+R57-T57</f>
        <v>600000</v>
      </c>
      <c r="V57" s="42">
        <v>3</v>
      </c>
    </row>
    <row r="58" spans="1:24" s="36" customFormat="1" ht="15.45" x14ac:dyDescent="0.35">
      <c r="A58" s="19" t="s">
        <v>105</v>
      </c>
      <c r="B58" s="9">
        <v>45708</v>
      </c>
      <c r="C58" s="14" t="s">
        <v>723</v>
      </c>
      <c r="D58" s="10" t="s">
        <v>724</v>
      </c>
      <c r="E58" s="9">
        <v>45705</v>
      </c>
      <c r="F58" s="10" t="s">
        <v>85</v>
      </c>
      <c r="G58" s="10" t="s">
        <v>725</v>
      </c>
      <c r="H58" s="10" t="s">
        <v>886</v>
      </c>
      <c r="I58" s="10" t="s">
        <v>23</v>
      </c>
      <c r="J58" s="10" t="s">
        <v>45</v>
      </c>
      <c r="K58" s="50" t="s">
        <v>1128</v>
      </c>
      <c r="L58" s="10" t="s">
        <v>1</v>
      </c>
      <c r="M58" s="12">
        <f t="shared" si="6"/>
        <v>25</v>
      </c>
      <c r="N58" s="12">
        <v>63199.5</v>
      </c>
      <c r="O58" s="12">
        <v>16205</v>
      </c>
      <c r="P58" s="11">
        <v>1579987.5</v>
      </c>
      <c r="Q58" s="11">
        <f t="shared" si="4"/>
        <v>1579987.5</v>
      </c>
      <c r="R58" s="11">
        <v>173798.625</v>
      </c>
      <c r="S58" s="11">
        <v>0</v>
      </c>
      <c r="T58" s="59"/>
      <c r="U58" s="11">
        <f>Q58+R58-S58</f>
        <v>1753786.125</v>
      </c>
      <c r="V58" s="42">
        <v>25</v>
      </c>
    </row>
    <row r="59" spans="1:24" s="36" customFormat="1" ht="15.45" x14ac:dyDescent="0.35">
      <c r="A59" s="19" t="s">
        <v>105</v>
      </c>
      <c r="B59" s="9">
        <v>45712</v>
      </c>
      <c r="C59" s="14" t="s">
        <v>781</v>
      </c>
      <c r="D59" s="10" t="s">
        <v>782</v>
      </c>
      <c r="E59" s="9">
        <v>45705</v>
      </c>
      <c r="F59" s="10" t="s">
        <v>85</v>
      </c>
      <c r="G59" s="10" t="s">
        <v>783</v>
      </c>
      <c r="H59" s="10" t="s">
        <v>886</v>
      </c>
      <c r="I59" s="10" t="s">
        <v>23</v>
      </c>
      <c r="J59" s="10" t="s">
        <v>45</v>
      </c>
      <c r="K59" s="50" t="s">
        <v>1129</v>
      </c>
      <c r="L59" s="10" t="s">
        <v>1</v>
      </c>
      <c r="M59" s="12">
        <f t="shared" si="6"/>
        <v>300</v>
      </c>
      <c r="N59" s="12">
        <v>71302</v>
      </c>
      <c r="O59" s="12">
        <v>16205</v>
      </c>
      <c r="P59" s="11">
        <v>21390600</v>
      </c>
      <c r="Q59" s="11">
        <f t="shared" si="4"/>
        <v>21390600</v>
      </c>
      <c r="R59" s="11">
        <v>2352966</v>
      </c>
      <c r="S59" s="11"/>
      <c r="T59" s="11">
        <v>0</v>
      </c>
      <c r="U59" s="11">
        <f>Q59+R59-T59</f>
        <v>23743566</v>
      </c>
      <c r="V59" s="42">
        <v>300</v>
      </c>
    </row>
    <row r="60" spans="1:24" s="36" customFormat="1" ht="15.45" x14ac:dyDescent="0.35">
      <c r="A60" s="19" t="s">
        <v>105</v>
      </c>
      <c r="B60" s="9">
        <v>45707</v>
      </c>
      <c r="C60" s="14" t="s">
        <v>687</v>
      </c>
      <c r="D60" s="10" t="s">
        <v>688</v>
      </c>
      <c r="E60" s="9">
        <v>45705</v>
      </c>
      <c r="F60" s="10" t="s">
        <v>85</v>
      </c>
      <c r="G60" s="10" t="s">
        <v>91</v>
      </c>
      <c r="H60" s="10" t="s">
        <v>886</v>
      </c>
      <c r="I60" s="10" t="s">
        <v>23</v>
      </c>
      <c r="J60" s="10" t="s">
        <v>45</v>
      </c>
      <c r="K60" s="50" t="s">
        <v>1126</v>
      </c>
      <c r="L60" s="10" t="s">
        <v>1</v>
      </c>
      <c r="M60" s="12">
        <f t="shared" si="6"/>
        <v>100</v>
      </c>
      <c r="N60" s="12">
        <v>77784</v>
      </c>
      <c r="O60" s="12">
        <v>16205</v>
      </c>
      <c r="P60" s="11">
        <v>7778400</v>
      </c>
      <c r="Q60" s="11">
        <f t="shared" si="4"/>
        <v>7778400</v>
      </c>
      <c r="R60" s="11">
        <v>855624</v>
      </c>
      <c r="S60" s="11"/>
      <c r="T60" s="11">
        <v>0</v>
      </c>
      <c r="U60" s="11">
        <f>Q60+R60-T60</f>
        <v>8634024</v>
      </c>
      <c r="V60" s="42">
        <v>100</v>
      </c>
    </row>
    <row r="61" spans="1:24" s="36" customFormat="1" ht="15.45" x14ac:dyDescent="0.35">
      <c r="A61" s="19" t="s">
        <v>105</v>
      </c>
      <c r="B61" s="9">
        <v>45708</v>
      </c>
      <c r="C61" s="14" t="s">
        <v>726</v>
      </c>
      <c r="D61" s="10" t="s">
        <v>688</v>
      </c>
      <c r="E61" s="9">
        <v>45705</v>
      </c>
      <c r="F61" s="10" t="s">
        <v>85</v>
      </c>
      <c r="G61" s="10" t="s">
        <v>91</v>
      </c>
      <c r="H61" s="10" t="s">
        <v>886</v>
      </c>
      <c r="I61" s="10" t="s">
        <v>23</v>
      </c>
      <c r="J61" s="10" t="s">
        <v>45</v>
      </c>
      <c r="K61" s="50" t="s">
        <v>1127</v>
      </c>
      <c r="L61" s="10" t="s">
        <v>1</v>
      </c>
      <c r="M61" s="12">
        <f t="shared" si="6"/>
        <v>400</v>
      </c>
      <c r="N61" s="12">
        <v>77784</v>
      </c>
      <c r="O61" s="12">
        <v>16205</v>
      </c>
      <c r="P61" s="11">
        <v>31113600</v>
      </c>
      <c r="Q61" s="11">
        <f t="shared" si="4"/>
        <v>31113600</v>
      </c>
      <c r="R61" s="11">
        <v>3422496</v>
      </c>
      <c r="S61" s="11">
        <v>0</v>
      </c>
      <c r="T61" s="59"/>
      <c r="U61" s="11">
        <f>Q61+R61-S61</f>
        <v>34536096</v>
      </c>
      <c r="V61" s="42">
        <v>400</v>
      </c>
    </row>
    <row r="62" spans="1:24" s="36" customFormat="1" ht="15.45" x14ac:dyDescent="0.35">
      <c r="A62" s="19" t="s">
        <v>113</v>
      </c>
      <c r="B62" s="9">
        <v>45701</v>
      </c>
      <c r="C62" s="14" t="s">
        <v>622</v>
      </c>
      <c r="D62" s="10" t="s">
        <v>623</v>
      </c>
      <c r="E62" s="9">
        <v>45701</v>
      </c>
      <c r="F62" s="10" t="s">
        <v>42</v>
      </c>
      <c r="G62" s="10" t="s">
        <v>624</v>
      </c>
      <c r="H62" s="10" t="s">
        <v>820</v>
      </c>
      <c r="I62" s="10" t="s">
        <v>24</v>
      </c>
      <c r="J62" s="10" t="s">
        <v>61</v>
      </c>
      <c r="K62" s="10"/>
      <c r="L62" s="10" t="s">
        <v>6</v>
      </c>
      <c r="M62" s="12">
        <f t="shared" si="6"/>
        <v>50</v>
      </c>
      <c r="N62" s="12">
        <v>4000</v>
      </c>
      <c r="O62" s="12">
        <v>0</v>
      </c>
      <c r="P62" s="11">
        <v>200000</v>
      </c>
      <c r="Q62" s="11">
        <f t="shared" si="4"/>
        <v>200000</v>
      </c>
      <c r="R62" s="11">
        <v>0</v>
      </c>
      <c r="S62" s="11"/>
      <c r="T62" s="11">
        <v>0</v>
      </c>
      <c r="U62" s="11">
        <f t="shared" ref="U62:U90" si="7">Q62+R62-T62</f>
        <v>200000</v>
      </c>
      <c r="V62" s="42">
        <v>50</v>
      </c>
    </row>
    <row r="63" spans="1:24" s="36" customFormat="1" ht="15.45" x14ac:dyDescent="0.35">
      <c r="A63" s="19" t="s">
        <v>113</v>
      </c>
      <c r="B63" s="9">
        <v>45701</v>
      </c>
      <c r="C63" s="14" t="s">
        <v>622</v>
      </c>
      <c r="D63" s="10" t="s">
        <v>623</v>
      </c>
      <c r="E63" s="9">
        <v>45701</v>
      </c>
      <c r="F63" s="10" t="s">
        <v>42</v>
      </c>
      <c r="G63" s="10" t="s">
        <v>625</v>
      </c>
      <c r="H63" s="10" t="s">
        <v>820</v>
      </c>
      <c r="I63" s="10" t="s">
        <v>24</v>
      </c>
      <c r="J63" s="10" t="s">
        <v>61</v>
      </c>
      <c r="K63" s="10"/>
      <c r="L63" s="10" t="s">
        <v>6</v>
      </c>
      <c r="M63" s="12">
        <f t="shared" si="6"/>
        <v>50</v>
      </c>
      <c r="N63" s="12">
        <v>5000</v>
      </c>
      <c r="O63" s="12">
        <v>0</v>
      </c>
      <c r="P63" s="11">
        <v>250000</v>
      </c>
      <c r="Q63" s="11">
        <f t="shared" si="4"/>
        <v>250000</v>
      </c>
      <c r="R63" s="11">
        <v>0</v>
      </c>
      <c r="S63" s="11"/>
      <c r="T63" s="11">
        <v>0</v>
      </c>
      <c r="U63" s="11">
        <f t="shared" si="7"/>
        <v>250000</v>
      </c>
      <c r="V63" s="42">
        <v>50</v>
      </c>
    </row>
    <row r="64" spans="1:24" s="36" customFormat="1" ht="15.45" x14ac:dyDescent="0.35">
      <c r="A64" s="19" t="s">
        <v>113</v>
      </c>
      <c r="B64" s="9">
        <v>45701</v>
      </c>
      <c r="C64" s="14" t="s">
        <v>622</v>
      </c>
      <c r="D64" s="10" t="s">
        <v>623</v>
      </c>
      <c r="E64" s="9">
        <v>45701</v>
      </c>
      <c r="F64" s="10" t="s">
        <v>42</v>
      </c>
      <c r="G64" s="10" t="s">
        <v>626</v>
      </c>
      <c r="H64" s="10" t="s">
        <v>820</v>
      </c>
      <c r="I64" s="10" t="s">
        <v>24</v>
      </c>
      <c r="J64" s="10" t="s">
        <v>61</v>
      </c>
      <c r="K64" s="10"/>
      <c r="L64" s="10" t="s">
        <v>8</v>
      </c>
      <c r="M64" s="12">
        <f t="shared" si="6"/>
        <v>10</v>
      </c>
      <c r="N64" s="12">
        <v>75000</v>
      </c>
      <c r="O64" s="12">
        <v>0</v>
      </c>
      <c r="P64" s="11">
        <v>750000</v>
      </c>
      <c r="Q64" s="11">
        <f t="shared" si="4"/>
        <v>750000</v>
      </c>
      <c r="R64" s="11">
        <v>0</v>
      </c>
      <c r="S64" s="11"/>
      <c r="T64" s="11">
        <v>0</v>
      </c>
      <c r="U64" s="11">
        <f t="shared" si="7"/>
        <v>750000</v>
      </c>
      <c r="V64" s="42">
        <v>10</v>
      </c>
    </row>
    <row r="65" spans="1:22" s="36" customFormat="1" ht="15.45" x14ac:dyDescent="0.35">
      <c r="A65" s="19" t="s">
        <v>132</v>
      </c>
      <c r="B65" s="9">
        <v>45701</v>
      </c>
      <c r="C65" s="14" t="s">
        <v>627</v>
      </c>
      <c r="D65" s="10" t="s">
        <v>628</v>
      </c>
      <c r="E65" s="9">
        <v>45701</v>
      </c>
      <c r="F65" s="10" t="s">
        <v>129</v>
      </c>
      <c r="G65" s="10" t="s">
        <v>629</v>
      </c>
      <c r="H65" s="10" t="s">
        <v>820</v>
      </c>
      <c r="I65" s="10" t="s">
        <v>24</v>
      </c>
      <c r="J65" s="10" t="s">
        <v>61</v>
      </c>
      <c r="K65" s="10"/>
      <c r="L65" s="10" t="s">
        <v>6</v>
      </c>
      <c r="M65" s="12">
        <f t="shared" si="6"/>
        <v>100</v>
      </c>
      <c r="N65" s="12">
        <v>1500</v>
      </c>
      <c r="O65" s="12">
        <v>0</v>
      </c>
      <c r="P65" s="11">
        <v>150000</v>
      </c>
      <c r="Q65" s="11">
        <f t="shared" si="4"/>
        <v>150000</v>
      </c>
      <c r="R65" s="11">
        <v>0</v>
      </c>
      <c r="S65" s="11"/>
      <c r="T65" s="11">
        <v>0</v>
      </c>
      <c r="U65" s="11">
        <f t="shared" si="7"/>
        <v>150000</v>
      </c>
      <c r="V65" s="42">
        <v>100</v>
      </c>
    </row>
    <row r="66" spans="1:22" s="36" customFormat="1" ht="15.45" x14ac:dyDescent="0.35">
      <c r="A66" s="19" t="s">
        <v>132</v>
      </c>
      <c r="B66" s="9">
        <v>45701</v>
      </c>
      <c r="C66" s="14" t="s">
        <v>627</v>
      </c>
      <c r="D66" s="10" t="s">
        <v>628</v>
      </c>
      <c r="E66" s="9">
        <v>45701</v>
      </c>
      <c r="F66" s="10" t="s">
        <v>129</v>
      </c>
      <c r="G66" s="10" t="s">
        <v>630</v>
      </c>
      <c r="H66" s="10" t="s">
        <v>820</v>
      </c>
      <c r="I66" s="10" t="s">
        <v>24</v>
      </c>
      <c r="J66" s="10" t="s">
        <v>61</v>
      </c>
      <c r="K66" s="10"/>
      <c r="L66" s="10" t="s">
        <v>1</v>
      </c>
      <c r="M66" s="12">
        <f t="shared" si="6"/>
        <v>10</v>
      </c>
      <c r="N66" s="12">
        <v>56500</v>
      </c>
      <c r="O66" s="12">
        <v>0</v>
      </c>
      <c r="P66" s="11">
        <v>565000</v>
      </c>
      <c r="Q66" s="11">
        <f t="shared" si="4"/>
        <v>565000</v>
      </c>
      <c r="R66" s="11">
        <v>0</v>
      </c>
      <c r="S66" s="11"/>
      <c r="T66" s="11">
        <v>0</v>
      </c>
      <c r="U66" s="11">
        <f t="shared" si="7"/>
        <v>565000</v>
      </c>
      <c r="V66" s="42">
        <v>10</v>
      </c>
    </row>
    <row r="67" spans="1:22" s="36" customFormat="1" ht="15.45" x14ac:dyDescent="0.35">
      <c r="A67" s="19" t="s">
        <v>132</v>
      </c>
      <c r="B67" s="9">
        <v>45701</v>
      </c>
      <c r="C67" s="14" t="s">
        <v>627</v>
      </c>
      <c r="D67" s="10" t="s">
        <v>628</v>
      </c>
      <c r="E67" s="9">
        <v>45701</v>
      </c>
      <c r="F67" s="10" t="s">
        <v>129</v>
      </c>
      <c r="G67" s="10" t="s">
        <v>631</v>
      </c>
      <c r="H67" s="10" t="s">
        <v>820</v>
      </c>
      <c r="I67" s="10" t="s">
        <v>24</v>
      </c>
      <c r="J67" s="10" t="s">
        <v>61</v>
      </c>
      <c r="K67" s="10"/>
      <c r="L67" s="10" t="s">
        <v>6</v>
      </c>
      <c r="M67" s="12">
        <f t="shared" si="6"/>
        <v>100</v>
      </c>
      <c r="N67" s="12">
        <v>295</v>
      </c>
      <c r="O67" s="12">
        <v>0</v>
      </c>
      <c r="P67" s="11">
        <v>29500</v>
      </c>
      <c r="Q67" s="11">
        <f t="shared" si="4"/>
        <v>29500</v>
      </c>
      <c r="R67" s="11">
        <v>0</v>
      </c>
      <c r="S67" s="11"/>
      <c r="T67" s="11">
        <v>0</v>
      </c>
      <c r="U67" s="11">
        <f t="shared" si="7"/>
        <v>29500</v>
      </c>
      <c r="V67" s="42">
        <v>100</v>
      </c>
    </row>
    <row r="68" spans="1:22" s="36" customFormat="1" ht="15.45" x14ac:dyDescent="0.35">
      <c r="A68" s="19" t="s">
        <v>132</v>
      </c>
      <c r="B68" s="9">
        <v>45701</v>
      </c>
      <c r="C68" s="14" t="s">
        <v>627</v>
      </c>
      <c r="D68" s="10" t="s">
        <v>628</v>
      </c>
      <c r="E68" s="9">
        <v>45701</v>
      </c>
      <c r="F68" s="10" t="s">
        <v>129</v>
      </c>
      <c r="G68" s="10" t="s">
        <v>632</v>
      </c>
      <c r="H68" s="10" t="s">
        <v>820</v>
      </c>
      <c r="I68" s="10" t="s">
        <v>24</v>
      </c>
      <c r="J68" s="10" t="s">
        <v>61</v>
      </c>
      <c r="K68" s="10"/>
      <c r="L68" s="10" t="s">
        <v>10</v>
      </c>
      <c r="M68" s="12">
        <f t="shared" si="6"/>
        <v>3</v>
      </c>
      <c r="N68" s="12">
        <v>115000</v>
      </c>
      <c r="O68" s="12">
        <v>0</v>
      </c>
      <c r="P68" s="11">
        <v>345000</v>
      </c>
      <c r="Q68" s="11">
        <f t="shared" si="4"/>
        <v>345000</v>
      </c>
      <c r="R68" s="11">
        <v>0</v>
      </c>
      <c r="S68" s="11"/>
      <c r="T68" s="11">
        <v>0</v>
      </c>
      <c r="U68" s="11">
        <f t="shared" si="7"/>
        <v>345000</v>
      </c>
      <c r="V68" s="42">
        <v>3</v>
      </c>
    </row>
    <row r="69" spans="1:22" s="36" customFormat="1" ht="15.45" x14ac:dyDescent="0.35">
      <c r="A69" s="19" t="s">
        <v>132</v>
      </c>
      <c r="B69" s="9">
        <v>45701</v>
      </c>
      <c r="C69" s="14" t="s">
        <v>627</v>
      </c>
      <c r="D69" s="10" t="s">
        <v>628</v>
      </c>
      <c r="E69" s="9">
        <v>45701</v>
      </c>
      <c r="F69" s="10" t="s">
        <v>129</v>
      </c>
      <c r="G69" s="10" t="s">
        <v>633</v>
      </c>
      <c r="H69" s="10" t="s">
        <v>820</v>
      </c>
      <c r="I69" s="10" t="s">
        <v>24</v>
      </c>
      <c r="J69" s="10" t="s">
        <v>61</v>
      </c>
      <c r="K69" s="10"/>
      <c r="L69" s="10" t="s">
        <v>6</v>
      </c>
      <c r="M69" s="12">
        <f t="shared" si="6"/>
        <v>100</v>
      </c>
      <c r="N69" s="12">
        <v>335</v>
      </c>
      <c r="O69" s="12">
        <v>0</v>
      </c>
      <c r="P69" s="11">
        <v>33500</v>
      </c>
      <c r="Q69" s="11">
        <f t="shared" si="4"/>
        <v>33500</v>
      </c>
      <c r="R69" s="11">
        <v>0</v>
      </c>
      <c r="S69" s="11"/>
      <c r="T69" s="11">
        <v>0</v>
      </c>
      <c r="U69" s="11">
        <f t="shared" si="7"/>
        <v>33500</v>
      </c>
      <c r="V69" s="42">
        <v>100</v>
      </c>
    </row>
    <row r="70" spans="1:22" s="36" customFormat="1" ht="15.45" x14ac:dyDescent="0.35">
      <c r="A70" s="19" t="s">
        <v>132</v>
      </c>
      <c r="B70" s="9">
        <v>45701</v>
      </c>
      <c r="C70" s="14" t="s">
        <v>627</v>
      </c>
      <c r="D70" s="10" t="s">
        <v>628</v>
      </c>
      <c r="E70" s="9">
        <v>45701</v>
      </c>
      <c r="F70" s="10" t="s">
        <v>129</v>
      </c>
      <c r="G70" s="10" t="s">
        <v>634</v>
      </c>
      <c r="H70" s="10" t="s">
        <v>820</v>
      </c>
      <c r="I70" s="10" t="s">
        <v>24</v>
      </c>
      <c r="J70" s="10" t="s">
        <v>61</v>
      </c>
      <c r="K70" s="10"/>
      <c r="L70" s="10" t="s">
        <v>6</v>
      </c>
      <c r="M70" s="12">
        <f t="shared" si="6"/>
        <v>20</v>
      </c>
      <c r="N70" s="12">
        <v>16250</v>
      </c>
      <c r="O70" s="12">
        <v>0</v>
      </c>
      <c r="P70" s="11">
        <v>325000</v>
      </c>
      <c r="Q70" s="11">
        <f t="shared" si="4"/>
        <v>325000</v>
      </c>
      <c r="R70" s="11">
        <v>0</v>
      </c>
      <c r="S70" s="11"/>
      <c r="T70" s="11">
        <v>0</v>
      </c>
      <c r="U70" s="11">
        <f t="shared" si="7"/>
        <v>325000</v>
      </c>
      <c r="V70" s="42">
        <v>20</v>
      </c>
    </row>
    <row r="71" spans="1:22" s="36" customFormat="1" ht="15.45" x14ac:dyDescent="0.35">
      <c r="A71" s="19" t="s">
        <v>105</v>
      </c>
      <c r="B71" s="9">
        <v>45705</v>
      </c>
      <c r="C71" s="14" t="s">
        <v>658</v>
      </c>
      <c r="D71" s="10" t="s">
        <v>659</v>
      </c>
      <c r="E71" s="9">
        <v>45702</v>
      </c>
      <c r="F71" s="10" t="s">
        <v>85</v>
      </c>
      <c r="G71" s="10" t="s">
        <v>660</v>
      </c>
      <c r="H71" s="10" t="s">
        <v>890</v>
      </c>
      <c r="I71" s="10" t="s">
        <v>23</v>
      </c>
      <c r="J71" s="10" t="s">
        <v>45</v>
      </c>
      <c r="K71" s="50" t="s">
        <v>896</v>
      </c>
      <c r="L71" s="10" t="s">
        <v>1</v>
      </c>
      <c r="M71" s="12">
        <f t="shared" si="6"/>
        <v>60</v>
      </c>
      <c r="N71" s="12">
        <v>24417</v>
      </c>
      <c r="O71" s="12">
        <v>16278</v>
      </c>
      <c r="P71" s="11">
        <v>1465020</v>
      </c>
      <c r="Q71" s="11">
        <f t="shared" si="4"/>
        <v>1465020</v>
      </c>
      <c r="R71" s="11">
        <v>161152.20000000001</v>
      </c>
      <c r="S71" s="11"/>
      <c r="T71" s="11">
        <v>0</v>
      </c>
      <c r="U71" s="11">
        <f t="shared" si="7"/>
        <v>1626172.2</v>
      </c>
      <c r="V71" s="42">
        <v>60</v>
      </c>
    </row>
    <row r="72" spans="1:22" s="36" customFormat="1" ht="15.45" x14ac:dyDescent="0.35">
      <c r="A72" s="19" t="s">
        <v>106</v>
      </c>
      <c r="B72" s="9">
        <v>45713</v>
      </c>
      <c r="C72" s="14" t="s">
        <v>794</v>
      </c>
      <c r="D72" s="10" t="s">
        <v>795</v>
      </c>
      <c r="E72" s="9">
        <v>45712</v>
      </c>
      <c r="F72" s="10" t="s">
        <v>66</v>
      </c>
      <c r="G72" s="10" t="s">
        <v>19</v>
      </c>
      <c r="H72" s="10" t="s">
        <v>888</v>
      </c>
      <c r="I72" s="10" t="s">
        <v>23</v>
      </c>
      <c r="J72" s="10" t="s">
        <v>45</v>
      </c>
      <c r="K72" s="50" t="s">
        <v>1142</v>
      </c>
      <c r="L72" s="10" t="s">
        <v>4</v>
      </c>
      <c r="M72" s="12">
        <f t="shared" si="6"/>
        <v>200</v>
      </c>
      <c r="N72" s="12">
        <v>18500</v>
      </c>
      <c r="O72" s="12">
        <v>0</v>
      </c>
      <c r="P72" s="11">
        <v>3700000</v>
      </c>
      <c r="Q72" s="11">
        <f t="shared" ref="Q72:Q103" si="8">P72</f>
        <v>3700000</v>
      </c>
      <c r="R72" s="11">
        <v>407000</v>
      </c>
      <c r="S72" s="11"/>
      <c r="T72" s="11">
        <v>0</v>
      </c>
      <c r="U72" s="11">
        <f t="shared" si="7"/>
        <v>4107000</v>
      </c>
      <c r="V72" s="42">
        <v>200</v>
      </c>
    </row>
    <row r="73" spans="1:22" s="36" customFormat="1" ht="15.45" x14ac:dyDescent="0.35">
      <c r="A73" s="19" t="s">
        <v>106</v>
      </c>
      <c r="B73" s="9">
        <v>45713</v>
      </c>
      <c r="C73" s="14" t="s">
        <v>796</v>
      </c>
      <c r="D73" s="10" t="s">
        <v>797</v>
      </c>
      <c r="E73" s="9">
        <v>45695</v>
      </c>
      <c r="F73" s="10" t="s">
        <v>66</v>
      </c>
      <c r="G73" s="10" t="s">
        <v>53</v>
      </c>
      <c r="H73" s="10" t="s">
        <v>978</v>
      </c>
      <c r="I73" s="10" t="s">
        <v>23</v>
      </c>
      <c r="J73" s="10" t="s">
        <v>45</v>
      </c>
      <c r="K73" s="50" t="s">
        <v>1141</v>
      </c>
      <c r="L73" s="10" t="s">
        <v>1</v>
      </c>
      <c r="M73" s="12">
        <f t="shared" si="6"/>
        <v>1000</v>
      </c>
      <c r="N73" s="12">
        <v>11500</v>
      </c>
      <c r="O73" s="12">
        <v>0</v>
      </c>
      <c r="P73" s="11">
        <v>11500000</v>
      </c>
      <c r="Q73" s="11">
        <f t="shared" si="8"/>
        <v>11500000</v>
      </c>
      <c r="R73" s="11">
        <v>1265000</v>
      </c>
      <c r="S73" s="11"/>
      <c r="T73" s="11">
        <v>0</v>
      </c>
      <c r="U73" s="11">
        <f t="shared" si="7"/>
        <v>12765000</v>
      </c>
      <c r="V73" s="42">
        <v>1000</v>
      </c>
    </row>
    <row r="74" spans="1:22" s="36" customFormat="1" ht="15.45" x14ac:dyDescent="0.35">
      <c r="A74" s="19" t="s">
        <v>592</v>
      </c>
      <c r="B74" s="9">
        <v>45712</v>
      </c>
      <c r="C74" s="14" t="s">
        <v>784</v>
      </c>
      <c r="D74" s="10" t="s">
        <v>785</v>
      </c>
      <c r="E74" s="9">
        <v>45712</v>
      </c>
      <c r="F74" s="10" t="s">
        <v>585</v>
      </c>
      <c r="G74" s="10" t="s">
        <v>786</v>
      </c>
      <c r="H74" s="10" t="s">
        <v>886</v>
      </c>
      <c r="I74" s="10" t="s">
        <v>23</v>
      </c>
      <c r="J74" s="10" t="s">
        <v>45</v>
      </c>
      <c r="K74" s="50" t="s">
        <v>898</v>
      </c>
      <c r="L74" s="10" t="s">
        <v>1</v>
      </c>
      <c r="M74" s="12">
        <f t="shared" si="6"/>
        <v>75</v>
      </c>
      <c r="N74" s="12">
        <v>63648</v>
      </c>
      <c r="O74" s="12">
        <v>16320</v>
      </c>
      <c r="P74" s="11">
        <v>4773600</v>
      </c>
      <c r="Q74" s="11">
        <f t="shared" si="8"/>
        <v>4773600</v>
      </c>
      <c r="R74" s="11">
        <v>525096</v>
      </c>
      <c r="S74" s="11"/>
      <c r="T74" s="11">
        <v>0</v>
      </c>
      <c r="U74" s="11">
        <f t="shared" si="7"/>
        <v>5298696</v>
      </c>
      <c r="V74" s="42">
        <v>75</v>
      </c>
    </row>
    <row r="75" spans="1:22" s="36" customFormat="1" ht="15.45" x14ac:dyDescent="0.35">
      <c r="A75" s="19" t="s">
        <v>592</v>
      </c>
      <c r="B75" s="9">
        <v>45713</v>
      </c>
      <c r="C75" s="14" t="s">
        <v>791</v>
      </c>
      <c r="D75" s="10" t="s">
        <v>785</v>
      </c>
      <c r="E75" s="9">
        <v>45712</v>
      </c>
      <c r="F75" s="10" t="s">
        <v>585</v>
      </c>
      <c r="G75" s="10" t="s">
        <v>786</v>
      </c>
      <c r="H75" s="10" t="s">
        <v>886</v>
      </c>
      <c r="I75" s="10" t="s">
        <v>23</v>
      </c>
      <c r="J75" s="10" t="s">
        <v>45</v>
      </c>
      <c r="K75" s="50" t="s">
        <v>899</v>
      </c>
      <c r="L75" s="10" t="s">
        <v>1</v>
      </c>
      <c r="M75" s="12">
        <f t="shared" si="6"/>
        <v>200</v>
      </c>
      <c r="N75" s="12">
        <v>63648</v>
      </c>
      <c r="O75" s="12">
        <v>16320</v>
      </c>
      <c r="P75" s="11">
        <v>12729600</v>
      </c>
      <c r="Q75" s="11">
        <f t="shared" si="8"/>
        <v>12729600</v>
      </c>
      <c r="R75" s="11">
        <v>1400256</v>
      </c>
      <c r="S75" s="11"/>
      <c r="T75" s="11">
        <v>0</v>
      </c>
      <c r="U75" s="11">
        <f t="shared" si="7"/>
        <v>14129856</v>
      </c>
      <c r="V75" s="42">
        <v>200</v>
      </c>
    </row>
    <row r="76" spans="1:22" s="36" customFormat="1" ht="15.45" x14ac:dyDescent="0.35">
      <c r="A76" s="19" t="s">
        <v>592</v>
      </c>
      <c r="B76" s="9">
        <v>45698</v>
      </c>
      <c r="C76" s="14" t="s">
        <v>587</v>
      </c>
      <c r="D76" s="10" t="s">
        <v>588</v>
      </c>
      <c r="E76" s="9">
        <v>45698</v>
      </c>
      <c r="F76" s="10" t="s">
        <v>585</v>
      </c>
      <c r="G76" s="10" t="s">
        <v>589</v>
      </c>
      <c r="H76" s="10" t="s">
        <v>886</v>
      </c>
      <c r="I76" s="10" t="s">
        <v>23</v>
      </c>
      <c r="J76" s="10" t="s">
        <v>45</v>
      </c>
      <c r="K76" s="50" t="s">
        <v>897</v>
      </c>
      <c r="L76" s="10" t="s">
        <v>1</v>
      </c>
      <c r="M76" s="12">
        <f t="shared" si="6"/>
        <v>200</v>
      </c>
      <c r="N76" s="12">
        <v>101308</v>
      </c>
      <c r="O76" s="12">
        <v>16340</v>
      </c>
      <c r="P76" s="11">
        <v>20261600</v>
      </c>
      <c r="Q76" s="11">
        <f t="shared" si="8"/>
        <v>20261600</v>
      </c>
      <c r="R76" s="11">
        <v>2228776</v>
      </c>
      <c r="S76" s="11"/>
      <c r="T76" s="11">
        <v>0</v>
      </c>
      <c r="U76" s="11">
        <f t="shared" si="7"/>
        <v>22490376</v>
      </c>
      <c r="V76" s="42">
        <v>200</v>
      </c>
    </row>
    <row r="77" spans="1:22" s="36" customFormat="1" ht="15.45" x14ac:dyDescent="0.35">
      <c r="A77" s="19" t="s">
        <v>592</v>
      </c>
      <c r="B77" s="9">
        <v>45716</v>
      </c>
      <c r="C77" s="14" t="s">
        <v>860</v>
      </c>
      <c r="D77" s="10" t="s">
        <v>588</v>
      </c>
      <c r="E77" s="9">
        <v>45698</v>
      </c>
      <c r="F77" s="10" t="s">
        <v>585</v>
      </c>
      <c r="G77" s="10" t="s">
        <v>589</v>
      </c>
      <c r="H77" s="10" t="s">
        <v>886</v>
      </c>
      <c r="I77" s="10" t="s">
        <v>23</v>
      </c>
      <c r="J77" s="10" t="s">
        <v>45</v>
      </c>
      <c r="K77" s="50" t="s">
        <v>1125</v>
      </c>
      <c r="L77" s="10" t="s">
        <v>1</v>
      </c>
      <c r="M77" s="12">
        <f t="shared" si="6"/>
        <v>200</v>
      </c>
      <c r="N77" s="12">
        <v>101308</v>
      </c>
      <c r="O77" s="12">
        <v>16340</v>
      </c>
      <c r="P77" s="11">
        <v>20261600</v>
      </c>
      <c r="Q77" s="11">
        <f t="shared" si="8"/>
        <v>20261600</v>
      </c>
      <c r="R77" s="11">
        <v>2228776</v>
      </c>
      <c r="S77" s="11"/>
      <c r="T77" s="11">
        <v>0</v>
      </c>
      <c r="U77" s="11">
        <f t="shared" si="7"/>
        <v>22490376</v>
      </c>
      <c r="V77" s="42">
        <v>200</v>
      </c>
    </row>
    <row r="78" spans="1:22" s="36" customFormat="1" ht="15.45" x14ac:dyDescent="0.35">
      <c r="A78" s="19" t="s">
        <v>96</v>
      </c>
      <c r="B78" s="9">
        <v>45702</v>
      </c>
      <c r="C78" s="14" t="s">
        <v>647</v>
      </c>
      <c r="D78" s="10" t="s">
        <v>648</v>
      </c>
      <c r="E78" s="9">
        <v>45702</v>
      </c>
      <c r="F78" s="10" t="s">
        <v>39</v>
      </c>
      <c r="G78" s="10" t="s">
        <v>649</v>
      </c>
      <c r="H78" s="10" t="s">
        <v>820</v>
      </c>
      <c r="I78" s="10" t="s">
        <v>24</v>
      </c>
      <c r="J78" s="10" t="s">
        <v>61</v>
      </c>
      <c r="K78" s="10"/>
      <c r="L78" s="10" t="s">
        <v>650</v>
      </c>
      <c r="M78" s="12">
        <f t="shared" si="6"/>
        <v>5</v>
      </c>
      <c r="N78" s="12">
        <v>800000</v>
      </c>
      <c r="O78" s="12">
        <v>0</v>
      </c>
      <c r="P78" s="11">
        <v>4000000</v>
      </c>
      <c r="Q78" s="11">
        <f t="shared" si="8"/>
        <v>4000000</v>
      </c>
      <c r="R78" s="11">
        <v>0</v>
      </c>
      <c r="S78" s="11"/>
      <c r="T78" s="11">
        <v>0</v>
      </c>
      <c r="U78" s="11">
        <f t="shared" si="7"/>
        <v>4000000</v>
      </c>
      <c r="V78" s="42">
        <v>5</v>
      </c>
    </row>
    <row r="79" spans="1:22" s="36" customFormat="1" ht="15.45" x14ac:dyDescent="0.35">
      <c r="A79" s="19" t="s">
        <v>592</v>
      </c>
      <c r="B79" s="9">
        <v>45698</v>
      </c>
      <c r="C79" s="14" t="s">
        <v>583</v>
      </c>
      <c r="D79" s="10" t="s">
        <v>584</v>
      </c>
      <c r="E79" s="9">
        <v>45698</v>
      </c>
      <c r="F79" s="10" t="s">
        <v>585</v>
      </c>
      <c r="G79" s="10" t="s">
        <v>586</v>
      </c>
      <c r="H79" s="10" t="s">
        <v>886</v>
      </c>
      <c r="I79" s="10" t="s">
        <v>23</v>
      </c>
      <c r="J79" s="10" t="s">
        <v>45</v>
      </c>
      <c r="K79" s="50" t="s">
        <v>897</v>
      </c>
      <c r="L79" s="10" t="s">
        <v>1</v>
      </c>
      <c r="M79" s="12">
        <f t="shared" si="6"/>
        <v>400</v>
      </c>
      <c r="N79" s="12">
        <v>53922</v>
      </c>
      <c r="O79" s="12">
        <v>16340</v>
      </c>
      <c r="P79" s="11">
        <v>21568800</v>
      </c>
      <c r="Q79" s="11">
        <f t="shared" si="8"/>
        <v>21568800</v>
      </c>
      <c r="R79" s="11">
        <v>2372568</v>
      </c>
      <c r="S79" s="11"/>
      <c r="T79" s="11">
        <v>0</v>
      </c>
      <c r="U79" s="11">
        <f t="shared" si="7"/>
        <v>23941368</v>
      </c>
      <c r="V79" s="42">
        <v>400</v>
      </c>
    </row>
    <row r="80" spans="1:22" s="36" customFormat="1" ht="15.45" x14ac:dyDescent="0.35">
      <c r="A80" s="19" t="s">
        <v>100</v>
      </c>
      <c r="B80" s="9">
        <v>45705</v>
      </c>
      <c r="C80" s="14" t="s">
        <v>652</v>
      </c>
      <c r="D80" s="10" t="s">
        <v>653</v>
      </c>
      <c r="E80" s="9">
        <v>45705</v>
      </c>
      <c r="F80" s="10" t="s">
        <v>56</v>
      </c>
      <c r="G80" s="10" t="s">
        <v>654</v>
      </c>
      <c r="H80" s="23" t="s">
        <v>819</v>
      </c>
      <c r="I80" s="10" t="s">
        <v>27</v>
      </c>
      <c r="J80" s="10" t="s">
        <v>69</v>
      </c>
      <c r="K80" s="10"/>
      <c r="L80" s="10" t="s">
        <v>11</v>
      </c>
      <c r="M80" s="12">
        <f t="shared" si="6"/>
        <v>20</v>
      </c>
      <c r="N80" s="12">
        <v>12500</v>
      </c>
      <c r="O80" s="12">
        <v>0</v>
      </c>
      <c r="P80" s="11">
        <v>250000</v>
      </c>
      <c r="Q80" s="11">
        <f t="shared" si="8"/>
        <v>250000</v>
      </c>
      <c r="R80" s="11">
        <v>0</v>
      </c>
      <c r="S80" s="11"/>
      <c r="T80" s="11">
        <v>0</v>
      </c>
      <c r="U80" s="11">
        <f t="shared" si="7"/>
        <v>250000</v>
      </c>
      <c r="V80" s="42">
        <v>20</v>
      </c>
    </row>
    <row r="81" spans="1:22" s="36" customFormat="1" ht="15.45" x14ac:dyDescent="0.35">
      <c r="A81" s="19" t="s">
        <v>592</v>
      </c>
      <c r="B81" s="9">
        <v>45716</v>
      </c>
      <c r="C81" s="14" t="s">
        <v>859</v>
      </c>
      <c r="D81" s="10" t="s">
        <v>584</v>
      </c>
      <c r="E81" s="9">
        <v>45698</v>
      </c>
      <c r="F81" s="10" t="s">
        <v>585</v>
      </c>
      <c r="G81" s="10" t="s">
        <v>586</v>
      </c>
      <c r="H81" s="10" t="s">
        <v>886</v>
      </c>
      <c r="I81" s="10" t="s">
        <v>23</v>
      </c>
      <c r="J81" s="10" t="s">
        <v>45</v>
      </c>
      <c r="K81" s="50" t="s">
        <v>1125</v>
      </c>
      <c r="L81" s="10" t="s">
        <v>1</v>
      </c>
      <c r="M81" s="12">
        <f t="shared" si="6"/>
        <v>400</v>
      </c>
      <c r="N81" s="12">
        <v>53922</v>
      </c>
      <c r="O81" s="12">
        <v>16340</v>
      </c>
      <c r="P81" s="11">
        <v>21568800</v>
      </c>
      <c r="Q81" s="11">
        <f t="shared" si="8"/>
        <v>21568800</v>
      </c>
      <c r="R81" s="11">
        <v>2372568</v>
      </c>
      <c r="S81" s="11"/>
      <c r="T81" s="11">
        <v>0</v>
      </c>
      <c r="U81" s="11">
        <f t="shared" si="7"/>
        <v>23941368</v>
      </c>
      <c r="V81" s="42">
        <v>400</v>
      </c>
    </row>
    <row r="82" spans="1:22" s="36" customFormat="1" ht="15.45" x14ac:dyDescent="0.35">
      <c r="A82" s="19" t="s">
        <v>692</v>
      </c>
      <c r="B82" s="9">
        <v>45707</v>
      </c>
      <c r="C82" s="14" t="s">
        <v>674</v>
      </c>
      <c r="D82" s="10" t="s">
        <v>675</v>
      </c>
      <c r="E82" s="9">
        <v>45706</v>
      </c>
      <c r="F82" s="10" t="s">
        <v>676</v>
      </c>
      <c r="G82" s="10" t="s">
        <v>677</v>
      </c>
      <c r="H82" s="10" t="s">
        <v>820</v>
      </c>
      <c r="I82" s="10" t="s">
        <v>24</v>
      </c>
      <c r="J82" s="10" t="s">
        <v>61</v>
      </c>
      <c r="K82" s="50" t="s">
        <v>982</v>
      </c>
      <c r="L82" s="10" t="s">
        <v>124</v>
      </c>
      <c r="M82" s="12">
        <f t="shared" si="6"/>
        <v>5</v>
      </c>
      <c r="N82" s="12">
        <v>14600</v>
      </c>
      <c r="O82" s="12">
        <v>0</v>
      </c>
      <c r="P82" s="11">
        <v>73000</v>
      </c>
      <c r="Q82" s="11">
        <f t="shared" si="8"/>
        <v>73000</v>
      </c>
      <c r="R82" s="11">
        <v>8030</v>
      </c>
      <c r="S82" s="11"/>
      <c r="T82" s="11">
        <v>0</v>
      </c>
      <c r="U82" s="11">
        <f t="shared" si="7"/>
        <v>81030</v>
      </c>
      <c r="V82" s="42">
        <v>5</v>
      </c>
    </row>
    <row r="83" spans="1:22" s="36" customFormat="1" ht="15.45" x14ac:dyDescent="0.35">
      <c r="A83" s="19" t="s">
        <v>692</v>
      </c>
      <c r="B83" s="9">
        <v>45707</v>
      </c>
      <c r="C83" s="14" t="s">
        <v>674</v>
      </c>
      <c r="D83" s="10" t="s">
        <v>675</v>
      </c>
      <c r="E83" s="9">
        <v>45706</v>
      </c>
      <c r="F83" s="10" t="s">
        <v>676</v>
      </c>
      <c r="G83" s="10" t="s">
        <v>678</v>
      </c>
      <c r="H83" s="10" t="s">
        <v>820</v>
      </c>
      <c r="I83" s="10" t="s">
        <v>24</v>
      </c>
      <c r="J83" s="10" t="s">
        <v>61</v>
      </c>
      <c r="K83" s="50" t="s">
        <v>982</v>
      </c>
      <c r="L83" s="10" t="s">
        <v>6</v>
      </c>
      <c r="M83" s="12">
        <f t="shared" si="6"/>
        <v>3</v>
      </c>
      <c r="N83" s="12">
        <v>80800</v>
      </c>
      <c r="O83" s="12">
        <v>0</v>
      </c>
      <c r="P83" s="11">
        <v>242400</v>
      </c>
      <c r="Q83" s="11">
        <f t="shared" si="8"/>
        <v>242400</v>
      </c>
      <c r="R83" s="11">
        <v>26664</v>
      </c>
      <c r="S83" s="11"/>
      <c r="T83" s="11">
        <v>0</v>
      </c>
      <c r="U83" s="11">
        <f t="shared" si="7"/>
        <v>269064</v>
      </c>
      <c r="V83" s="42">
        <v>3</v>
      </c>
    </row>
    <row r="84" spans="1:22" s="36" customFormat="1" ht="15.45" x14ac:dyDescent="0.35">
      <c r="A84" s="19" t="s">
        <v>101</v>
      </c>
      <c r="B84" s="9">
        <v>45695</v>
      </c>
      <c r="C84" s="14" t="s">
        <v>562</v>
      </c>
      <c r="D84" s="10" t="s">
        <v>563</v>
      </c>
      <c r="E84" s="9">
        <v>45691</v>
      </c>
      <c r="F84" s="10" t="s">
        <v>57</v>
      </c>
      <c r="G84" s="10" t="s">
        <v>78</v>
      </c>
      <c r="H84" s="10" t="s">
        <v>888</v>
      </c>
      <c r="I84" s="10" t="s">
        <v>23</v>
      </c>
      <c r="J84" s="10" t="s">
        <v>45</v>
      </c>
      <c r="K84" s="10"/>
      <c r="L84" s="10" t="s">
        <v>1</v>
      </c>
      <c r="M84" s="12">
        <f t="shared" si="6"/>
        <v>300</v>
      </c>
      <c r="N84" s="12">
        <v>64000</v>
      </c>
      <c r="O84" s="12">
        <v>0</v>
      </c>
      <c r="P84" s="11">
        <v>19200000</v>
      </c>
      <c r="Q84" s="11">
        <f t="shared" si="8"/>
        <v>19200000</v>
      </c>
      <c r="R84" s="11">
        <v>0</v>
      </c>
      <c r="S84" s="11"/>
      <c r="T84" s="11">
        <v>0</v>
      </c>
      <c r="U84" s="11">
        <f t="shared" si="7"/>
        <v>19200000</v>
      </c>
      <c r="V84" s="42">
        <v>300</v>
      </c>
    </row>
    <row r="85" spans="1:22" s="36" customFormat="1" ht="15.45" x14ac:dyDescent="0.35">
      <c r="A85" s="19" t="s">
        <v>692</v>
      </c>
      <c r="B85" s="9">
        <v>45707</v>
      </c>
      <c r="C85" s="14" t="s">
        <v>674</v>
      </c>
      <c r="D85" s="10" t="s">
        <v>675</v>
      </c>
      <c r="E85" s="9">
        <v>45706</v>
      </c>
      <c r="F85" s="10" t="s">
        <v>676</v>
      </c>
      <c r="G85" s="10" t="s">
        <v>679</v>
      </c>
      <c r="H85" s="10" t="s">
        <v>820</v>
      </c>
      <c r="I85" s="10" t="s">
        <v>24</v>
      </c>
      <c r="J85" s="10" t="s">
        <v>61</v>
      </c>
      <c r="K85" s="50" t="s">
        <v>982</v>
      </c>
      <c r="L85" s="10" t="s">
        <v>6</v>
      </c>
      <c r="M85" s="12">
        <f t="shared" si="6"/>
        <v>10</v>
      </c>
      <c r="N85" s="12">
        <v>7100</v>
      </c>
      <c r="O85" s="12">
        <v>0</v>
      </c>
      <c r="P85" s="11">
        <v>71000</v>
      </c>
      <c r="Q85" s="11">
        <f t="shared" si="8"/>
        <v>71000</v>
      </c>
      <c r="R85" s="11">
        <v>7810</v>
      </c>
      <c r="S85" s="11"/>
      <c r="T85" s="11">
        <v>0</v>
      </c>
      <c r="U85" s="11">
        <f t="shared" si="7"/>
        <v>78810</v>
      </c>
      <c r="V85" s="42">
        <v>10</v>
      </c>
    </row>
    <row r="86" spans="1:22" s="36" customFormat="1" ht="15.45" x14ac:dyDescent="0.35">
      <c r="A86" s="19" t="s">
        <v>101</v>
      </c>
      <c r="B86" s="9">
        <v>45714</v>
      </c>
      <c r="C86" s="14" t="s">
        <v>804</v>
      </c>
      <c r="D86" s="10" t="s">
        <v>805</v>
      </c>
      <c r="E86" s="9">
        <v>45712</v>
      </c>
      <c r="F86" s="10" t="s">
        <v>57</v>
      </c>
      <c r="G86" s="10" t="s">
        <v>78</v>
      </c>
      <c r="H86" s="10" t="s">
        <v>888</v>
      </c>
      <c r="I86" s="10" t="s">
        <v>23</v>
      </c>
      <c r="J86" s="10" t="s">
        <v>45</v>
      </c>
      <c r="K86" s="10"/>
      <c r="L86" s="10" t="s">
        <v>1</v>
      </c>
      <c r="M86" s="12">
        <f t="shared" si="6"/>
        <v>300</v>
      </c>
      <c r="N86" s="12">
        <v>64000</v>
      </c>
      <c r="O86" s="12">
        <v>0</v>
      </c>
      <c r="P86" s="11">
        <v>19200000</v>
      </c>
      <c r="Q86" s="11">
        <f t="shared" si="8"/>
        <v>19200000</v>
      </c>
      <c r="R86" s="11">
        <v>0</v>
      </c>
      <c r="S86" s="11"/>
      <c r="T86" s="11">
        <v>0</v>
      </c>
      <c r="U86" s="11">
        <f t="shared" si="7"/>
        <v>19200000</v>
      </c>
      <c r="V86" s="42">
        <v>300</v>
      </c>
    </row>
    <row r="87" spans="1:22" s="36" customFormat="1" ht="15.45" x14ac:dyDescent="0.35">
      <c r="A87" s="19" t="s">
        <v>692</v>
      </c>
      <c r="B87" s="9">
        <v>45707</v>
      </c>
      <c r="C87" s="14" t="s">
        <v>674</v>
      </c>
      <c r="D87" s="10" t="s">
        <v>675</v>
      </c>
      <c r="E87" s="9">
        <v>45706</v>
      </c>
      <c r="F87" s="10" t="s">
        <v>676</v>
      </c>
      <c r="G87" s="10" t="s">
        <v>680</v>
      </c>
      <c r="H87" s="10" t="s">
        <v>820</v>
      </c>
      <c r="I87" s="10" t="s">
        <v>24</v>
      </c>
      <c r="J87" s="10" t="s">
        <v>61</v>
      </c>
      <c r="K87" s="50" t="s">
        <v>982</v>
      </c>
      <c r="L87" s="10" t="s">
        <v>6</v>
      </c>
      <c r="M87" s="12">
        <f t="shared" si="6"/>
        <v>2</v>
      </c>
      <c r="N87" s="12">
        <v>80800</v>
      </c>
      <c r="O87" s="12">
        <v>0</v>
      </c>
      <c r="P87" s="11">
        <v>161600</v>
      </c>
      <c r="Q87" s="11">
        <f t="shared" si="8"/>
        <v>161600</v>
      </c>
      <c r="R87" s="11">
        <v>17776</v>
      </c>
      <c r="S87" s="11"/>
      <c r="T87" s="11">
        <v>0</v>
      </c>
      <c r="U87" s="11">
        <f t="shared" si="7"/>
        <v>179376</v>
      </c>
      <c r="V87" s="42">
        <v>2</v>
      </c>
    </row>
    <row r="88" spans="1:22" s="36" customFormat="1" ht="15.45" x14ac:dyDescent="0.35">
      <c r="A88" s="19" t="s">
        <v>693</v>
      </c>
      <c r="B88" s="9">
        <v>45706</v>
      </c>
      <c r="C88" s="14" t="s">
        <v>665</v>
      </c>
      <c r="D88" s="10" t="s">
        <v>666</v>
      </c>
      <c r="E88" s="9">
        <v>45702</v>
      </c>
      <c r="F88" s="10" t="s">
        <v>667</v>
      </c>
      <c r="G88" s="10" t="s">
        <v>668</v>
      </c>
      <c r="H88" s="10" t="s">
        <v>820</v>
      </c>
      <c r="I88" s="10" t="s">
        <v>24</v>
      </c>
      <c r="J88" s="10" t="s">
        <v>61</v>
      </c>
      <c r="K88" s="10"/>
      <c r="L88" s="10" t="s">
        <v>6</v>
      </c>
      <c r="M88" s="12">
        <f t="shared" si="6"/>
        <v>5</v>
      </c>
      <c r="N88" s="12">
        <v>15000</v>
      </c>
      <c r="O88" s="12">
        <v>0</v>
      </c>
      <c r="P88" s="11">
        <v>75000</v>
      </c>
      <c r="Q88" s="11">
        <f t="shared" si="8"/>
        <v>75000</v>
      </c>
      <c r="R88" s="11">
        <v>0</v>
      </c>
      <c r="S88" s="11"/>
      <c r="T88" s="11">
        <v>0</v>
      </c>
      <c r="U88" s="11">
        <f t="shared" si="7"/>
        <v>75000</v>
      </c>
      <c r="V88" s="42">
        <v>5</v>
      </c>
    </row>
    <row r="89" spans="1:22" s="36" customFormat="1" ht="15.45" x14ac:dyDescent="0.35">
      <c r="A89" s="19" t="s">
        <v>692</v>
      </c>
      <c r="B89" s="9">
        <v>45707</v>
      </c>
      <c r="C89" s="14" t="s">
        <v>674</v>
      </c>
      <c r="D89" s="10" t="s">
        <v>675</v>
      </c>
      <c r="E89" s="9">
        <v>45706</v>
      </c>
      <c r="F89" s="10" t="s">
        <v>676</v>
      </c>
      <c r="G89" s="10" t="s">
        <v>681</v>
      </c>
      <c r="H89" s="10" t="s">
        <v>820</v>
      </c>
      <c r="I89" s="10" t="s">
        <v>24</v>
      </c>
      <c r="J89" s="10" t="s">
        <v>61</v>
      </c>
      <c r="K89" s="50" t="s">
        <v>982</v>
      </c>
      <c r="L89" s="10" t="s">
        <v>6</v>
      </c>
      <c r="M89" s="12">
        <f t="shared" si="6"/>
        <v>5</v>
      </c>
      <c r="N89" s="12">
        <v>39800</v>
      </c>
      <c r="O89" s="12">
        <v>0</v>
      </c>
      <c r="P89" s="11">
        <v>199000</v>
      </c>
      <c r="Q89" s="11">
        <f t="shared" si="8"/>
        <v>199000</v>
      </c>
      <c r="R89" s="11">
        <v>21890</v>
      </c>
      <c r="S89" s="11"/>
      <c r="T89" s="11">
        <v>0</v>
      </c>
      <c r="U89" s="11">
        <f t="shared" si="7"/>
        <v>220890</v>
      </c>
      <c r="V89" s="42">
        <v>5</v>
      </c>
    </row>
    <row r="90" spans="1:22" s="36" customFormat="1" ht="15.45" x14ac:dyDescent="0.35">
      <c r="A90" s="19" t="s">
        <v>108</v>
      </c>
      <c r="B90" s="9">
        <v>45706</v>
      </c>
      <c r="C90" s="14" t="s">
        <v>669</v>
      </c>
      <c r="D90" s="10" t="s">
        <v>670</v>
      </c>
      <c r="E90" s="9">
        <v>45702</v>
      </c>
      <c r="F90" s="10" t="s">
        <v>51</v>
      </c>
      <c r="G90" s="10" t="s">
        <v>671</v>
      </c>
      <c r="H90" s="10" t="s">
        <v>820</v>
      </c>
      <c r="I90" s="10" t="s">
        <v>24</v>
      </c>
      <c r="J90" s="10" t="s">
        <v>61</v>
      </c>
      <c r="K90" s="50" t="s">
        <v>696</v>
      </c>
      <c r="L90" s="10" t="s">
        <v>6</v>
      </c>
      <c r="M90" s="12">
        <f t="shared" si="6"/>
        <v>10</v>
      </c>
      <c r="N90" s="12">
        <v>12000</v>
      </c>
      <c r="O90" s="12">
        <v>0</v>
      </c>
      <c r="P90" s="11">
        <v>120000</v>
      </c>
      <c r="Q90" s="11">
        <f t="shared" si="8"/>
        <v>120000</v>
      </c>
      <c r="R90" s="11">
        <v>13200</v>
      </c>
      <c r="S90" s="11"/>
      <c r="T90" s="11">
        <v>0</v>
      </c>
      <c r="U90" s="11">
        <f t="shared" si="7"/>
        <v>133200</v>
      </c>
      <c r="V90" s="42">
        <v>10</v>
      </c>
    </row>
    <row r="91" spans="1:22" s="36" customFormat="1" ht="15.45" x14ac:dyDescent="0.35">
      <c r="A91" s="19" t="s">
        <v>108</v>
      </c>
      <c r="B91" s="9">
        <v>45708</v>
      </c>
      <c r="C91" s="14" t="s">
        <v>727</v>
      </c>
      <c r="D91" s="10" t="s">
        <v>728</v>
      </c>
      <c r="E91" s="9">
        <v>45707</v>
      </c>
      <c r="F91" s="10" t="s">
        <v>51</v>
      </c>
      <c r="G91" s="10" t="s">
        <v>729</v>
      </c>
      <c r="H91" s="10" t="s">
        <v>820</v>
      </c>
      <c r="I91" s="10" t="s">
        <v>24</v>
      </c>
      <c r="J91" s="10" t="s">
        <v>61</v>
      </c>
      <c r="K91" s="50" t="s">
        <v>952</v>
      </c>
      <c r="L91" s="10" t="s">
        <v>10</v>
      </c>
      <c r="M91" s="12">
        <f t="shared" si="6"/>
        <v>5</v>
      </c>
      <c r="N91" s="12">
        <v>110000</v>
      </c>
      <c r="O91" s="12">
        <v>0</v>
      </c>
      <c r="P91" s="11">
        <v>550000</v>
      </c>
      <c r="Q91" s="11">
        <f t="shared" si="8"/>
        <v>550000</v>
      </c>
      <c r="R91" s="11">
        <v>60500</v>
      </c>
      <c r="S91" s="11">
        <v>0</v>
      </c>
      <c r="T91" s="59"/>
      <c r="U91" s="11">
        <f>Q91+R91-S91</f>
        <v>610500</v>
      </c>
      <c r="V91" s="42">
        <v>5</v>
      </c>
    </row>
    <row r="92" spans="1:22" s="36" customFormat="1" ht="15.45" x14ac:dyDescent="0.35">
      <c r="A92" s="19" t="s">
        <v>108</v>
      </c>
      <c r="B92" s="9">
        <v>45715</v>
      </c>
      <c r="C92" s="14" t="s">
        <v>825</v>
      </c>
      <c r="D92" s="10" t="s">
        <v>826</v>
      </c>
      <c r="E92" s="9">
        <v>45714</v>
      </c>
      <c r="F92" s="10" t="s">
        <v>51</v>
      </c>
      <c r="G92" s="10" t="s">
        <v>827</v>
      </c>
      <c r="H92" s="10" t="s">
        <v>820</v>
      </c>
      <c r="I92" s="10" t="s">
        <v>24</v>
      </c>
      <c r="J92" s="10" t="s">
        <v>61</v>
      </c>
      <c r="K92" s="50" t="s">
        <v>953</v>
      </c>
      <c r="L92" s="10" t="s">
        <v>828</v>
      </c>
      <c r="M92" s="12">
        <f t="shared" si="6"/>
        <v>1</v>
      </c>
      <c r="N92" s="12">
        <v>1950000</v>
      </c>
      <c r="O92" s="12">
        <v>0</v>
      </c>
      <c r="P92" s="11">
        <v>1950000</v>
      </c>
      <c r="Q92" s="11">
        <f t="shared" si="8"/>
        <v>1950000</v>
      </c>
      <c r="R92" s="11">
        <v>214500</v>
      </c>
      <c r="S92" s="11"/>
      <c r="T92" s="11">
        <v>0</v>
      </c>
      <c r="U92" s="11">
        <f>Q92+R92-T92</f>
        <v>2164500</v>
      </c>
      <c r="V92" s="42">
        <v>1</v>
      </c>
    </row>
    <row r="93" spans="1:22" s="36" customFormat="1" ht="15.45" x14ac:dyDescent="0.35">
      <c r="A93" s="19" t="s">
        <v>109</v>
      </c>
      <c r="B93" s="9">
        <v>45695</v>
      </c>
      <c r="C93" s="14" t="s">
        <v>590</v>
      </c>
      <c r="D93" s="10" t="s">
        <v>251</v>
      </c>
      <c r="E93" s="9">
        <v>45663</v>
      </c>
      <c r="F93" s="10" t="s">
        <v>54</v>
      </c>
      <c r="G93" s="10" t="s">
        <v>49</v>
      </c>
      <c r="H93" s="10" t="s">
        <v>820</v>
      </c>
      <c r="I93" s="10" t="s">
        <v>24</v>
      </c>
      <c r="J93" s="10" t="s">
        <v>61</v>
      </c>
      <c r="K93" s="10"/>
      <c r="L93" s="10" t="s">
        <v>15</v>
      </c>
      <c r="M93" s="12">
        <f t="shared" si="6"/>
        <v>144</v>
      </c>
      <c r="N93" s="12">
        <v>6454</v>
      </c>
      <c r="O93" s="12">
        <v>0</v>
      </c>
      <c r="P93" s="11">
        <v>929376</v>
      </c>
      <c r="Q93" s="11">
        <f t="shared" si="8"/>
        <v>929376</v>
      </c>
      <c r="R93" s="11">
        <v>102231.36</v>
      </c>
      <c r="S93" s="11"/>
      <c r="T93" s="11">
        <v>0</v>
      </c>
      <c r="U93" s="11">
        <f>Q93+R93-T93</f>
        <v>1031607.36</v>
      </c>
      <c r="V93" s="42">
        <v>144</v>
      </c>
    </row>
    <row r="94" spans="1:22" s="36" customFormat="1" ht="15.45" x14ac:dyDescent="0.35">
      <c r="A94" s="19" t="s">
        <v>109</v>
      </c>
      <c r="B94" s="9">
        <v>45702</v>
      </c>
      <c r="C94" s="14" t="s">
        <v>641</v>
      </c>
      <c r="D94" s="10" t="s">
        <v>251</v>
      </c>
      <c r="E94" s="9">
        <v>45663</v>
      </c>
      <c r="F94" s="10" t="s">
        <v>54</v>
      </c>
      <c r="G94" s="10" t="s">
        <v>49</v>
      </c>
      <c r="H94" s="10" t="s">
        <v>820</v>
      </c>
      <c r="I94" s="10" t="s">
        <v>24</v>
      </c>
      <c r="J94" s="10" t="s">
        <v>61</v>
      </c>
      <c r="K94" s="50" t="s">
        <v>706</v>
      </c>
      <c r="L94" s="10" t="s">
        <v>15</v>
      </c>
      <c r="M94" s="12">
        <f t="shared" si="6"/>
        <v>144</v>
      </c>
      <c r="N94" s="12">
        <v>6454</v>
      </c>
      <c r="O94" s="12">
        <v>0</v>
      </c>
      <c r="P94" s="11">
        <v>929376</v>
      </c>
      <c r="Q94" s="11">
        <f t="shared" si="8"/>
        <v>929376</v>
      </c>
      <c r="R94" s="11">
        <v>102231.36</v>
      </c>
      <c r="S94" s="11"/>
      <c r="T94" s="11">
        <v>0</v>
      </c>
      <c r="U94" s="11">
        <f>Q94+R94-T94</f>
        <v>1031607.36</v>
      </c>
      <c r="V94" s="42">
        <v>144</v>
      </c>
    </row>
    <row r="95" spans="1:22" s="36" customFormat="1" ht="15.45" x14ac:dyDescent="0.35">
      <c r="A95" s="19" t="s">
        <v>109</v>
      </c>
      <c r="B95" s="9">
        <v>45708</v>
      </c>
      <c r="C95" s="14" t="s">
        <v>719</v>
      </c>
      <c r="D95" s="10" t="s">
        <v>251</v>
      </c>
      <c r="E95" s="9">
        <v>45663</v>
      </c>
      <c r="F95" s="10" t="s">
        <v>54</v>
      </c>
      <c r="G95" s="10" t="s">
        <v>49</v>
      </c>
      <c r="H95" s="10" t="s">
        <v>820</v>
      </c>
      <c r="I95" s="10" t="s">
        <v>24</v>
      </c>
      <c r="J95" s="10" t="s">
        <v>61</v>
      </c>
      <c r="K95" s="50" t="s">
        <v>908</v>
      </c>
      <c r="L95" s="10" t="s">
        <v>15</v>
      </c>
      <c r="M95" s="12">
        <f t="shared" si="6"/>
        <v>144</v>
      </c>
      <c r="N95" s="12">
        <v>6454</v>
      </c>
      <c r="O95" s="12">
        <v>0</v>
      </c>
      <c r="P95" s="11">
        <v>929376</v>
      </c>
      <c r="Q95" s="11">
        <f t="shared" si="8"/>
        <v>929376</v>
      </c>
      <c r="R95" s="11">
        <v>102231.36</v>
      </c>
      <c r="S95" s="11">
        <v>0</v>
      </c>
      <c r="T95" s="59"/>
      <c r="U95" s="11">
        <f>Q95+R95-S95</f>
        <v>1031607.36</v>
      </c>
      <c r="V95" s="42">
        <v>144</v>
      </c>
    </row>
    <row r="96" spans="1:22" s="36" customFormat="1" ht="15.45" x14ac:dyDescent="0.35">
      <c r="A96" s="19" t="s">
        <v>109</v>
      </c>
      <c r="B96" s="9">
        <v>45708</v>
      </c>
      <c r="C96" s="14" t="s">
        <v>720</v>
      </c>
      <c r="D96" s="10" t="s">
        <v>721</v>
      </c>
      <c r="E96" s="9">
        <v>45707</v>
      </c>
      <c r="F96" s="10" t="s">
        <v>54</v>
      </c>
      <c r="G96" s="10" t="s">
        <v>722</v>
      </c>
      <c r="H96" s="10" t="s">
        <v>820</v>
      </c>
      <c r="I96" s="10" t="s">
        <v>24</v>
      </c>
      <c r="J96" s="10" t="s">
        <v>61</v>
      </c>
      <c r="K96" s="50" t="s">
        <v>909</v>
      </c>
      <c r="L96" s="10" t="s">
        <v>15</v>
      </c>
      <c r="M96" s="12">
        <f t="shared" si="6"/>
        <v>24</v>
      </c>
      <c r="N96" s="12">
        <v>5909</v>
      </c>
      <c r="O96" s="12">
        <v>0</v>
      </c>
      <c r="P96" s="11">
        <v>141816</v>
      </c>
      <c r="Q96" s="11">
        <f t="shared" si="8"/>
        <v>141816</v>
      </c>
      <c r="R96" s="11">
        <v>15599.76</v>
      </c>
      <c r="S96" s="11">
        <v>0</v>
      </c>
      <c r="T96" s="59"/>
      <c r="U96" s="11">
        <f>Q96+R96-S96</f>
        <v>157415.76</v>
      </c>
      <c r="V96" s="42">
        <v>24</v>
      </c>
    </row>
    <row r="97" spans="1:24" s="36" customFormat="1" ht="15.45" x14ac:dyDescent="0.35">
      <c r="A97" s="19" t="s">
        <v>109</v>
      </c>
      <c r="B97" s="9">
        <v>45713</v>
      </c>
      <c r="C97" s="14" t="s">
        <v>787</v>
      </c>
      <c r="D97" s="10" t="s">
        <v>788</v>
      </c>
      <c r="E97" s="9">
        <v>45707</v>
      </c>
      <c r="F97" s="10" t="s">
        <v>54</v>
      </c>
      <c r="G97" s="10" t="s">
        <v>49</v>
      </c>
      <c r="H97" s="10" t="s">
        <v>820</v>
      </c>
      <c r="I97" s="10" t="s">
        <v>24</v>
      </c>
      <c r="J97" s="10" t="s">
        <v>61</v>
      </c>
      <c r="K97" s="50" t="s">
        <v>903</v>
      </c>
      <c r="L97" s="10" t="s">
        <v>15</v>
      </c>
      <c r="M97" s="12">
        <f t="shared" si="6"/>
        <v>144</v>
      </c>
      <c r="N97" s="12">
        <v>6454</v>
      </c>
      <c r="O97" s="12">
        <v>0</v>
      </c>
      <c r="P97" s="11">
        <v>929376</v>
      </c>
      <c r="Q97" s="11">
        <f t="shared" si="8"/>
        <v>929376</v>
      </c>
      <c r="R97" s="11">
        <v>102231.36</v>
      </c>
      <c r="S97" s="11"/>
      <c r="T97" s="11">
        <v>0</v>
      </c>
      <c r="U97" s="11">
        <f>Q97+R97-T97</f>
        <v>1031607.36</v>
      </c>
      <c r="V97" s="42">
        <v>144</v>
      </c>
    </row>
    <row r="98" spans="1:24" s="36" customFormat="1" ht="15.45" x14ac:dyDescent="0.4">
      <c r="A98" s="19" t="s">
        <v>166</v>
      </c>
      <c r="B98" s="9">
        <v>45691</v>
      </c>
      <c r="C98" s="27" t="s">
        <v>865</v>
      </c>
      <c r="D98" s="23" t="s">
        <v>167</v>
      </c>
      <c r="E98" s="21"/>
      <c r="F98" s="23" t="s">
        <v>210</v>
      </c>
      <c r="G98" s="23" t="s">
        <v>168</v>
      </c>
      <c r="H98" s="23" t="s">
        <v>893</v>
      </c>
      <c r="I98" s="23" t="s">
        <v>169</v>
      </c>
      <c r="J98" s="23" t="s">
        <v>192</v>
      </c>
      <c r="K98" s="46" t="s">
        <v>963</v>
      </c>
      <c r="L98" s="23" t="s">
        <v>0</v>
      </c>
      <c r="M98" s="24">
        <v>7050</v>
      </c>
      <c r="N98" s="31">
        <v>225.23</v>
      </c>
      <c r="O98" s="24"/>
      <c r="P98" s="25">
        <f t="shared" ref="P98:P107" si="9">M98*N98</f>
        <v>1587871.5</v>
      </c>
      <c r="Q98" s="44">
        <f t="shared" si="8"/>
        <v>1587871.5</v>
      </c>
      <c r="R98" s="44">
        <f t="shared" ref="R98:R107" si="10">Q98*0.11</f>
        <v>174665.86499999999</v>
      </c>
      <c r="S98" s="44">
        <f t="shared" ref="S98:S107" si="11">Q98*2%</f>
        <v>31757.43</v>
      </c>
      <c r="T98" s="44"/>
      <c r="U98" s="43">
        <f t="shared" ref="U98:U107" si="12">Q98+R98-T98-S98</f>
        <v>1730779.9350000001</v>
      </c>
      <c r="V98"/>
      <c r="W98"/>
      <c r="X98"/>
    </row>
    <row r="99" spans="1:24" s="36" customFormat="1" ht="15.45" x14ac:dyDescent="0.4">
      <c r="A99" s="19" t="s">
        <v>166</v>
      </c>
      <c r="B99" s="9">
        <v>45693</v>
      </c>
      <c r="C99" s="27" t="s">
        <v>866</v>
      </c>
      <c r="D99" s="23" t="s">
        <v>167</v>
      </c>
      <c r="E99" s="21"/>
      <c r="F99" s="23" t="s">
        <v>210</v>
      </c>
      <c r="G99" s="23" t="s">
        <v>168</v>
      </c>
      <c r="H99" s="23" t="s">
        <v>893</v>
      </c>
      <c r="I99" s="23" t="s">
        <v>169</v>
      </c>
      <c r="J99" s="23" t="s">
        <v>192</v>
      </c>
      <c r="K99" s="46" t="s">
        <v>964</v>
      </c>
      <c r="L99" s="23" t="s">
        <v>0</v>
      </c>
      <c r="M99" s="24">
        <v>6610</v>
      </c>
      <c r="N99" s="31">
        <v>225.23</v>
      </c>
      <c r="O99" s="24"/>
      <c r="P99" s="25">
        <f t="shared" si="9"/>
        <v>1488770.3</v>
      </c>
      <c r="Q99" s="25">
        <f t="shared" si="8"/>
        <v>1488770.3</v>
      </c>
      <c r="R99" s="25">
        <f t="shared" si="10"/>
        <v>163764.73300000001</v>
      </c>
      <c r="S99" s="25">
        <f t="shared" si="11"/>
        <v>29775.406000000003</v>
      </c>
      <c r="T99" s="25"/>
      <c r="U99" s="11">
        <f t="shared" si="12"/>
        <v>1622759.6270000001</v>
      </c>
      <c r="V99"/>
      <c r="W99"/>
      <c r="X99"/>
    </row>
    <row r="100" spans="1:24" s="36" customFormat="1" ht="15.45" x14ac:dyDescent="0.4">
      <c r="A100" s="19" t="s">
        <v>166</v>
      </c>
      <c r="B100" s="9">
        <v>45694</v>
      </c>
      <c r="C100" s="27" t="s">
        <v>867</v>
      </c>
      <c r="D100" s="23" t="s">
        <v>167</v>
      </c>
      <c r="E100" s="21"/>
      <c r="F100" s="23" t="s">
        <v>210</v>
      </c>
      <c r="G100" s="23" t="s">
        <v>168</v>
      </c>
      <c r="H100" s="23" t="s">
        <v>893</v>
      </c>
      <c r="I100" s="23" t="s">
        <v>169</v>
      </c>
      <c r="J100" s="23" t="s">
        <v>192</v>
      </c>
      <c r="K100" s="46" t="s">
        <v>965</v>
      </c>
      <c r="L100" s="23" t="s">
        <v>0</v>
      </c>
      <c r="M100" s="24">
        <v>5790</v>
      </c>
      <c r="N100" s="31">
        <v>225.23</v>
      </c>
      <c r="O100" s="24"/>
      <c r="P100" s="25">
        <f t="shared" si="9"/>
        <v>1304081.7</v>
      </c>
      <c r="Q100" s="25">
        <f t="shared" si="8"/>
        <v>1304081.7</v>
      </c>
      <c r="R100" s="25">
        <f t="shared" si="10"/>
        <v>143448.98699999999</v>
      </c>
      <c r="S100" s="25">
        <f t="shared" si="11"/>
        <v>26081.633999999998</v>
      </c>
      <c r="T100" s="25"/>
      <c r="U100" s="11">
        <f t="shared" si="12"/>
        <v>1421449.0529999998</v>
      </c>
      <c r="V100"/>
      <c r="W100"/>
      <c r="X100"/>
    </row>
    <row r="101" spans="1:24" s="28" customFormat="1" ht="15.45" x14ac:dyDescent="0.4">
      <c r="A101" s="19" t="s">
        <v>166</v>
      </c>
      <c r="B101" s="9">
        <v>45698</v>
      </c>
      <c r="C101" s="27" t="s">
        <v>868</v>
      </c>
      <c r="D101" s="23" t="s">
        <v>167</v>
      </c>
      <c r="E101" s="21"/>
      <c r="F101" s="23" t="s">
        <v>210</v>
      </c>
      <c r="G101" s="23" t="s">
        <v>168</v>
      </c>
      <c r="H101" s="23" t="s">
        <v>893</v>
      </c>
      <c r="I101" s="23" t="s">
        <v>169</v>
      </c>
      <c r="J101" s="23" t="s">
        <v>192</v>
      </c>
      <c r="K101" s="46" t="s">
        <v>966</v>
      </c>
      <c r="L101" s="23" t="s">
        <v>0</v>
      </c>
      <c r="M101" s="24">
        <v>6380</v>
      </c>
      <c r="N101" s="31">
        <v>225.23</v>
      </c>
      <c r="O101" s="24"/>
      <c r="P101" s="25">
        <f t="shared" si="9"/>
        <v>1436967.4</v>
      </c>
      <c r="Q101" s="25">
        <f t="shared" si="8"/>
        <v>1436967.4</v>
      </c>
      <c r="R101" s="25">
        <f t="shared" si="10"/>
        <v>158066.41399999999</v>
      </c>
      <c r="S101" s="25">
        <f t="shared" si="11"/>
        <v>28739.347999999998</v>
      </c>
      <c r="T101" s="25"/>
      <c r="U101" s="11">
        <f t="shared" si="12"/>
        <v>1566294.4659999998</v>
      </c>
      <c r="V101"/>
      <c r="W101"/>
      <c r="X101"/>
    </row>
    <row r="102" spans="1:24" s="36" customFormat="1" ht="15.45" x14ac:dyDescent="0.4">
      <c r="A102" s="19" t="s">
        <v>166</v>
      </c>
      <c r="B102" s="9">
        <v>45699</v>
      </c>
      <c r="C102" s="27" t="s">
        <v>869</v>
      </c>
      <c r="D102" s="23" t="s">
        <v>167</v>
      </c>
      <c r="E102" s="21"/>
      <c r="F102" s="23" t="s">
        <v>210</v>
      </c>
      <c r="G102" s="23" t="s">
        <v>168</v>
      </c>
      <c r="H102" s="23" t="s">
        <v>893</v>
      </c>
      <c r="I102" s="23" t="s">
        <v>169</v>
      </c>
      <c r="J102" s="23" t="s">
        <v>192</v>
      </c>
      <c r="K102" s="46" t="s">
        <v>967</v>
      </c>
      <c r="L102" s="23" t="s">
        <v>0</v>
      </c>
      <c r="M102" s="24">
        <v>6810</v>
      </c>
      <c r="N102" s="31">
        <v>225.23</v>
      </c>
      <c r="O102" s="24"/>
      <c r="P102" s="25">
        <f t="shared" si="9"/>
        <v>1533816.3</v>
      </c>
      <c r="Q102" s="25">
        <f t="shared" si="8"/>
        <v>1533816.3</v>
      </c>
      <c r="R102" s="25">
        <f t="shared" si="10"/>
        <v>168719.79300000001</v>
      </c>
      <c r="S102" s="25">
        <f t="shared" si="11"/>
        <v>30676.326000000001</v>
      </c>
      <c r="T102" s="25"/>
      <c r="U102" s="11">
        <f t="shared" si="12"/>
        <v>1671859.767</v>
      </c>
      <c r="V102"/>
      <c r="W102"/>
      <c r="X102"/>
    </row>
    <row r="103" spans="1:24" s="36" customFormat="1" ht="15.45" x14ac:dyDescent="0.4">
      <c r="A103" s="19" t="s">
        <v>166</v>
      </c>
      <c r="B103" s="9">
        <v>45701</v>
      </c>
      <c r="C103" s="27" t="s">
        <v>870</v>
      </c>
      <c r="D103" s="23" t="s">
        <v>167</v>
      </c>
      <c r="E103" s="21"/>
      <c r="F103" s="23" t="s">
        <v>210</v>
      </c>
      <c r="G103" s="23" t="s">
        <v>168</v>
      </c>
      <c r="H103" s="23" t="s">
        <v>893</v>
      </c>
      <c r="I103" s="23" t="s">
        <v>169</v>
      </c>
      <c r="J103" s="23" t="s">
        <v>192</v>
      </c>
      <c r="K103" s="46" t="s">
        <v>968</v>
      </c>
      <c r="L103" s="23" t="s">
        <v>0</v>
      </c>
      <c r="M103" s="24">
        <v>6770</v>
      </c>
      <c r="N103" s="31">
        <v>225.23</v>
      </c>
      <c r="O103" s="24"/>
      <c r="P103" s="25">
        <f t="shared" si="9"/>
        <v>1524807.0999999999</v>
      </c>
      <c r="Q103" s="25">
        <f t="shared" si="8"/>
        <v>1524807.0999999999</v>
      </c>
      <c r="R103" s="25">
        <f t="shared" si="10"/>
        <v>167728.78099999999</v>
      </c>
      <c r="S103" s="25">
        <f t="shared" si="11"/>
        <v>30496.141999999996</v>
      </c>
      <c r="T103" s="25"/>
      <c r="U103" s="11">
        <f t="shared" si="12"/>
        <v>1662039.7389999998</v>
      </c>
      <c r="V103"/>
      <c r="W103"/>
      <c r="X103"/>
    </row>
    <row r="104" spans="1:24" s="36" customFormat="1" ht="15.45" x14ac:dyDescent="0.4">
      <c r="A104" s="19" t="s">
        <v>166</v>
      </c>
      <c r="B104" s="9">
        <v>45702</v>
      </c>
      <c r="C104" s="27" t="s">
        <v>871</v>
      </c>
      <c r="D104" s="23" t="s">
        <v>167</v>
      </c>
      <c r="E104" s="21"/>
      <c r="F104" s="23" t="s">
        <v>210</v>
      </c>
      <c r="G104" s="23" t="s">
        <v>168</v>
      </c>
      <c r="H104" s="23" t="s">
        <v>893</v>
      </c>
      <c r="I104" s="23" t="s">
        <v>169</v>
      </c>
      <c r="J104" s="23" t="s">
        <v>192</v>
      </c>
      <c r="K104" s="46" t="s">
        <v>969</v>
      </c>
      <c r="L104" s="23" t="s">
        <v>0</v>
      </c>
      <c r="M104" s="24">
        <v>6200</v>
      </c>
      <c r="N104" s="31">
        <v>225.23</v>
      </c>
      <c r="O104" s="24"/>
      <c r="P104" s="25">
        <f t="shared" si="9"/>
        <v>1396426</v>
      </c>
      <c r="Q104" s="25">
        <f t="shared" ref="Q104:Q135" si="13">P104</f>
        <v>1396426</v>
      </c>
      <c r="R104" s="25">
        <f t="shared" si="10"/>
        <v>153606.86000000002</v>
      </c>
      <c r="S104" s="25">
        <f t="shared" si="11"/>
        <v>27928.52</v>
      </c>
      <c r="T104" s="25"/>
      <c r="U104" s="11">
        <f t="shared" si="12"/>
        <v>1522104.34</v>
      </c>
      <c r="V104"/>
      <c r="W104"/>
      <c r="X104"/>
    </row>
    <row r="105" spans="1:24" s="36" customFormat="1" ht="15.45" x14ac:dyDescent="0.4">
      <c r="A105" s="19" t="s">
        <v>166</v>
      </c>
      <c r="B105" s="9">
        <v>45705</v>
      </c>
      <c r="C105" s="27" t="s">
        <v>872</v>
      </c>
      <c r="D105" s="23" t="s">
        <v>167</v>
      </c>
      <c r="E105" s="21"/>
      <c r="F105" s="23" t="s">
        <v>210</v>
      </c>
      <c r="G105" s="23" t="s">
        <v>168</v>
      </c>
      <c r="H105" s="23" t="s">
        <v>893</v>
      </c>
      <c r="I105" s="23" t="s">
        <v>169</v>
      </c>
      <c r="J105" s="23" t="s">
        <v>192</v>
      </c>
      <c r="K105" s="46" t="s">
        <v>970</v>
      </c>
      <c r="L105" s="23" t="s">
        <v>0</v>
      </c>
      <c r="M105" s="24">
        <v>7090</v>
      </c>
      <c r="N105" s="31">
        <v>225.23</v>
      </c>
      <c r="O105" s="24"/>
      <c r="P105" s="25">
        <f t="shared" si="9"/>
        <v>1596880.7</v>
      </c>
      <c r="Q105" s="25">
        <f t="shared" si="13"/>
        <v>1596880.7</v>
      </c>
      <c r="R105" s="25">
        <f t="shared" si="10"/>
        <v>175656.87700000001</v>
      </c>
      <c r="S105" s="25">
        <f t="shared" si="11"/>
        <v>31937.614000000001</v>
      </c>
      <c r="T105" s="25"/>
      <c r="U105" s="11">
        <f t="shared" si="12"/>
        <v>1740599.963</v>
      </c>
      <c r="V105"/>
      <c r="W105"/>
      <c r="X105"/>
    </row>
    <row r="106" spans="1:24" s="36" customFormat="1" ht="15.45" x14ac:dyDescent="0.4">
      <c r="A106" s="19" t="s">
        <v>166</v>
      </c>
      <c r="B106" s="9">
        <v>45706</v>
      </c>
      <c r="C106" s="27" t="s">
        <v>873</v>
      </c>
      <c r="D106" s="23" t="s">
        <v>167</v>
      </c>
      <c r="E106" s="21"/>
      <c r="F106" s="23" t="s">
        <v>210</v>
      </c>
      <c r="G106" s="23" t="s">
        <v>168</v>
      </c>
      <c r="H106" s="23" t="s">
        <v>893</v>
      </c>
      <c r="I106" s="23" t="s">
        <v>169</v>
      </c>
      <c r="J106" s="23" t="s">
        <v>192</v>
      </c>
      <c r="K106" s="46" t="s">
        <v>971</v>
      </c>
      <c r="L106" s="23" t="s">
        <v>0</v>
      </c>
      <c r="M106" s="24">
        <v>6600</v>
      </c>
      <c r="N106" s="31">
        <v>225.23</v>
      </c>
      <c r="O106" s="24"/>
      <c r="P106" s="25">
        <f t="shared" si="9"/>
        <v>1486518</v>
      </c>
      <c r="Q106" s="25">
        <f t="shared" si="13"/>
        <v>1486518</v>
      </c>
      <c r="R106" s="25">
        <f t="shared" si="10"/>
        <v>163516.98000000001</v>
      </c>
      <c r="S106" s="25">
        <f t="shared" si="11"/>
        <v>29730.36</v>
      </c>
      <c r="T106" s="25"/>
      <c r="U106" s="11">
        <f t="shared" si="12"/>
        <v>1620304.6199999999</v>
      </c>
      <c r="V106"/>
      <c r="W106"/>
      <c r="X106"/>
    </row>
    <row r="107" spans="1:24" s="36" customFormat="1" ht="15.45" x14ac:dyDescent="0.4">
      <c r="A107" s="19" t="s">
        <v>166</v>
      </c>
      <c r="B107" s="9">
        <v>45708</v>
      </c>
      <c r="C107" s="27" t="s">
        <v>874</v>
      </c>
      <c r="D107" s="23" t="s">
        <v>167</v>
      </c>
      <c r="E107" s="21"/>
      <c r="F107" s="23" t="s">
        <v>210</v>
      </c>
      <c r="G107" s="23" t="s">
        <v>168</v>
      </c>
      <c r="H107" s="23" t="s">
        <v>893</v>
      </c>
      <c r="I107" s="23" t="s">
        <v>169</v>
      </c>
      <c r="J107" s="23" t="s">
        <v>192</v>
      </c>
      <c r="K107" s="46" t="s">
        <v>972</v>
      </c>
      <c r="L107" s="23" t="s">
        <v>0</v>
      </c>
      <c r="M107" s="24">
        <v>8150</v>
      </c>
      <c r="N107" s="31">
        <v>225.23</v>
      </c>
      <c r="O107" s="24"/>
      <c r="P107" s="25">
        <f t="shared" si="9"/>
        <v>1835624.5</v>
      </c>
      <c r="Q107" s="25">
        <f t="shared" si="13"/>
        <v>1835624.5</v>
      </c>
      <c r="R107" s="25">
        <f t="shared" si="10"/>
        <v>201918.69500000001</v>
      </c>
      <c r="S107" s="25">
        <f t="shared" si="11"/>
        <v>36712.49</v>
      </c>
      <c r="T107" s="25"/>
      <c r="U107" s="11">
        <f t="shared" si="12"/>
        <v>2000830.7050000001</v>
      </c>
      <c r="V107"/>
      <c r="W107"/>
      <c r="X107"/>
    </row>
    <row r="108" spans="1:24" s="36" customFormat="1" ht="15.45" x14ac:dyDescent="0.35">
      <c r="A108" s="19" t="s">
        <v>133</v>
      </c>
      <c r="B108" s="9">
        <v>45708</v>
      </c>
      <c r="C108" s="14" t="s">
        <v>730</v>
      </c>
      <c r="D108" s="10" t="s">
        <v>731</v>
      </c>
      <c r="E108" s="9">
        <v>45707</v>
      </c>
      <c r="F108" s="10" t="s">
        <v>121</v>
      </c>
      <c r="G108" s="10" t="s">
        <v>122</v>
      </c>
      <c r="H108" s="10" t="s">
        <v>820</v>
      </c>
      <c r="I108" s="10" t="s">
        <v>24</v>
      </c>
      <c r="J108" s="10" t="s">
        <v>61</v>
      </c>
      <c r="K108" s="10"/>
      <c r="L108" s="10" t="s">
        <v>123</v>
      </c>
      <c r="M108" s="12">
        <f t="shared" ref="M108:M120" si="14">IF(LEFT(C108,2)="RP",V108*-1,V108)</f>
        <v>72</v>
      </c>
      <c r="N108" s="12">
        <v>19584</v>
      </c>
      <c r="O108" s="12">
        <v>0</v>
      </c>
      <c r="P108" s="11">
        <v>1410048</v>
      </c>
      <c r="Q108" s="11">
        <f t="shared" si="13"/>
        <v>1410048</v>
      </c>
      <c r="R108" s="11">
        <v>0</v>
      </c>
      <c r="S108" s="11">
        <v>0</v>
      </c>
      <c r="T108" s="59"/>
      <c r="U108" s="11">
        <f t="shared" ref="U108:U120" si="15">Q108+R108-S108</f>
        <v>1410048</v>
      </c>
      <c r="V108" s="42">
        <v>72</v>
      </c>
    </row>
    <row r="109" spans="1:24" s="36" customFormat="1" ht="15.45" x14ac:dyDescent="0.35">
      <c r="A109" s="19" t="s">
        <v>113</v>
      </c>
      <c r="B109" s="9">
        <v>45708</v>
      </c>
      <c r="C109" s="14" t="s">
        <v>732</v>
      </c>
      <c r="D109" s="10" t="s">
        <v>733</v>
      </c>
      <c r="E109" s="9">
        <v>45708</v>
      </c>
      <c r="F109" s="10" t="s">
        <v>42</v>
      </c>
      <c r="G109" s="10" t="s">
        <v>227</v>
      </c>
      <c r="H109" s="10" t="s">
        <v>820</v>
      </c>
      <c r="I109" s="10" t="s">
        <v>24</v>
      </c>
      <c r="J109" s="10" t="s">
        <v>61</v>
      </c>
      <c r="K109" s="10"/>
      <c r="L109" s="10" t="s">
        <v>8</v>
      </c>
      <c r="M109" s="12">
        <f t="shared" si="14"/>
        <v>24</v>
      </c>
      <c r="N109" s="12">
        <v>3750</v>
      </c>
      <c r="O109" s="12">
        <v>0</v>
      </c>
      <c r="P109" s="11">
        <v>90000</v>
      </c>
      <c r="Q109" s="11">
        <f t="shared" si="13"/>
        <v>90000</v>
      </c>
      <c r="R109" s="11">
        <v>0</v>
      </c>
      <c r="S109" s="11">
        <v>0</v>
      </c>
      <c r="T109" s="59"/>
      <c r="U109" s="11">
        <f t="shared" si="15"/>
        <v>90000</v>
      </c>
      <c r="V109" s="42">
        <v>24</v>
      </c>
    </row>
    <row r="110" spans="1:24" s="36" customFormat="1" ht="15.45" x14ac:dyDescent="0.35">
      <c r="A110" s="19" t="s">
        <v>113</v>
      </c>
      <c r="B110" s="9">
        <v>45708</v>
      </c>
      <c r="C110" s="14" t="s">
        <v>732</v>
      </c>
      <c r="D110" s="10" t="s">
        <v>733</v>
      </c>
      <c r="E110" s="9">
        <v>45708</v>
      </c>
      <c r="F110" s="10" t="s">
        <v>42</v>
      </c>
      <c r="G110" s="10" t="s">
        <v>734</v>
      </c>
      <c r="H110" s="10" t="s">
        <v>820</v>
      </c>
      <c r="I110" s="10" t="s">
        <v>24</v>
      </c>
      <c r="J110" s="10" t="s">
        <v>61</v>
      </c>
      <c r="K110" s="10"/>
      <c r="L110" s="10" t="s">
        <v>6</v>
      </c>
      <c r="M110" s="12">
        <f t="shared" si="14"/>
        <v>3</v>
      </c>
      <c r="N110" s="12">
        <v>125000</v>
      </c>
      <c r="O110" s="12">
        <v>0</v>
      </c>
      <c r="P110" s="11">
        <v>375000</v>
      </c>
      <c r="Q110" s="11">
        <f t="shared" si="13"/>
        <v>375000</v>
      </c>
      <c r="R110" s="11">
        <v>0</v>
      </c>
      <c r="S110" s="11">
        <v>0</v>
      </c>
      <c r="T110" s="59"/>
      <c r="U110" s="11">
        <f t="shared" si="15"/>
        <v>375000</v>
      </c>
      <c r="V110" s="42">
        <v>3</v>
      </c>
    </row>
    <row r="111" spans="1:24" s="36" customFormat="1" ht="15.45" x14ac:dyDescent="0.35">
      <c r="A111" s="19" t="s">
        <v>113</v>
      </c>
      <c r="B111" s="9">
        <v>45708</v>
      </c>
      <c r="C111" s="14" t="s">
        <v>732</v>
      </c>
      <c r="D111" s="10" t="s">
        <v>733</v>
      </c>
      <c r="E111" s="9">
        <v>45708</v>
      </c>
      <c r="F111" s="10" t="s">
        <v>42</v>
      </c>
      <c r="G111" s="10" t="s">
        <v>735</v>
      </c>
      <c r="H111" s="10" t="s">
        <v>820</v>
      </c>
      <c r="I111" s="10" t="s">
        <v>24</v>
      </c>
      <c r="J111" s="10" t="s">
        <v>61</v>
      </c>
      <c r="K111" s="10"/>
      <c r="L111" s="10" t="s">
        <v>10</v>
      </c>
      <c r="M111" s="12">
        <f t="shared" si="14"/>
        <v>10</v>
      </c>
      <c r="N111" s="12">
        <v>5500</v>
      </c>
      <c r="O111" s="12">
        <v>0</v>
      </c>
      <c r="P111" s="11">
        <v>55000</v>
      </c>
      <c r="Q111" s="11">
        <f t="shared" si="13"/>
        <v>55000</v>
      </c>
      <c r="R111" s="11">
        <v>0</v>
      </c>
      <c r="S111" s="11">
        <v>0</v>
      </c>
      <c r="T111" s="59"/>
      <c r="U111" s="11">
        <f t="shared" si="15"/>
        <v>55000</v>
      </c>
      <c r="V111" s="42">
        <v>10</v>
      </c>
    </row>
    <row r="112" spans="1:24" s="36" customFormat="1" ht="15.45" x14ac:dyDescent="0.35">
      <c r="A112" s="19" t="s">
        <v>113</v>
      </c>
      <c r="B112" s="9">
        <v>45708</v>
      </c>
      <c r="C112" s="14" t="s">
        <v>732</v>
      </c>
      <c r="D112" s="10" t="s">
        <v>733</v>
      </c>
      <c r="E112" s="9">
        <v>45708</v>
      </c>
      <c r="F112" s="10" t="s">
        <v>42</v>
      </c>
      <c r="G112" s="10" t="s">
        <v>736</v>
      </c>
      <c r="H112" s="10" t="s">
        <v>820</v>
      </c>
      <c r="I112" s="10" t="s">
        <v>24</v>
      </c>
      <c r="J112" s="10" t="s">
        <v>61</v>
      </c>
      <c r="K112" s="10"/>
      <c r="L112" s="10" t="s">
        <v>6</v>
      </c>
      <c r="M112" s="12">
        <f t="shared" si="14"/>
        <v>1</v>
      </c>
      <c r="N112" s="12">
        <v>175000</v>
      </c>
      <c r="O112" s="12">
        <v>0</v>
      </c>
      <c r="P112" s="11">
        <v>175000</v>
      </c>
      <c r="Q112" s="11">
        <f t="shared" si="13"/>
        <v>175000</v>
      </c>
      <c r="R112" s="11">
        <v>0</v>
      </c>
      <c r="S112" s="11">
        <v>0</v>
      </c>
      <c r="T112" s="59"/>
      <c r="U112" s="11">
        <f t="shared" si="15"/>
        <v>175000</v>
      </c>
      <c r="V112" s="42">
        <v>1</v>
      </c>
    </row>
    <row r="113" spans="1:24" s="36" customFormat="1" ht="15.45" x14ac:dyDescent="0.35">
      <c r="A113" s="19" t="s">
        <v>113</v>
      </c>
      <c r="B113" s="9">
        <v>45708</v>
      </c>
      <c r="C113" s="14" t="s">
        <v>732</v>
      </c>
      <c r="D113" s="10" t="s">
        <v>733</v>
      </c>
      <c r="E113" s="9">
        <v>45708</v>
      </c>
      <c r="F113" s="10" t="s">
        <v>42</v>
      </c>
      <c r="G113" s="10" t="s">
        <v>737</v>
      </c>
      <c r="H113" s="10" t="s">
        <v>820</v>
      </c>
      <c r="I113" s="10" t="s">
        <v>24</v>
      </c>
      <c r="J113" s="10" t="s">
        <v>61</v>
      </c>
      <c r="K113" s="10"/>
      <c r="L113" s="10" t="s">
        <v>6</v>
      </c>
      <c r="M113" s="12">
        <f t="shared" si="14"/>
        <v>3</v>
      </c>
      <c r="N113" s="12">
        <v>50000</v>
      </c>
      <c r="O113" s="12">
        <v>0</v>
      </c>
      <c r="P113" s="11">
        <v>150000</v>
      </c>
      <c r="Q113" s="11">
        <f t="shared" si="13"/>
        <v>150000</v>
      </c>
      <c r="R113" s="11">
        <v>0</v>
      </c>
      <c r="S113" s="11">
        <v>0</v>
      </c>
      <c r="T113" s="59"/>
      <c r="U113" s="11">
        <f t="shared" si="15"/>
        <v>150000</v>
      </c>
      <c r="V113" s="42">
        <v>3</v>
      </c>
    </row>
    <row r="114" spans="1:24" s="36" customFormat="1" ht="15.45" x14ac:dyDescent="0.35">
      <c r="A114" s="19" t="s">
        <v>113</v>
      </c>
      <c r="B114" s="9">
        <v>45708</v>
      </c>
      <c r="C114" s="14" t="s">
        <v>732</v>
      </c>
      <c r="D114" s="10" t="s">
        <v>733</v>
      </c>
      <c r="E114" s="9">
        <v>45708</v>
      </c>
      <c r="F114" s="10" t="s">
        <v>42</v>
      </c>
      <c r="G114" s="10" t="s">
        <v>738</v>
      </c>
      <c r="H114" s="10" t="s">
        <v>820</v>
      </c>
      <c r="I114" s="10" t="s">
        <v>24</v>
      </c>
      <c r="J114" s="10" t="s">
        <v>61</v>
      </c>
      <c r="K114" s="10"/>
      <c r="L114" s="10" t="s">
        <v>6</v>
      </c>
      <c r="M114" s="12">
        <f t="shared" si="14"/>
        <v>1</v>
      </c>
      <c r="N114" s="12">
        <v>175000</v>
      </c>
      <c r="O114" s="12">
        <v>0</v>
      </c>
      <c r="P114" s="11">
        <v>175000</v>
      </c>
      <c r="Q114" s="11">
        <f t="shared" si="13"/>
        <v>175000</v>
      </c>
      <c r="R114" s="11">
        <v>0</v>
      </c>
      <c r="S114" s="11">
        <v>0</v>
      </c>
      <c r="T114" s="59"/>
      <c r="U114" s="11">
        <f t="shared" si="15"/>
        <v>175000</v>
      </c>
      <c r="V114" s="42">
        <v>1</v>
      </c>
    </row>
    <row r="115" spans="1:24" s="36" customFormat="1" ht="15.45" x14ac:dyDescent="0.35">
      <c r="A115" s="19" t="s">
        <v>132</v>
      </c>
      <c r="B115" s="9">
        <v>45708</v>
      </c>
      <c r="C115" s="14" t="s">
        <v>739</v>
      </c>
      <c r="D115" s="10" t="s">
        <v>740</v>
      </c>
      <c r="E115" s="9">
        <v>45708</v>
      </c>
      <c r="F115" s="10" t="s">
        <v>129</v>
      </c>
      <c r="G115" s="10" t="s">
        <v>173</v>
      </c>
      <c r="H115" s="10" t="s">
        <v>820</v>
      </c>
      <c r="I115" s="10" t="s">
        <v>24</v>
      </c>
      <c r="J115" s="10" t="s">
        <v>61</v>
      </c>
      <c r="K115" s="10"/>
      <c r="L115" s="10" t="s">
        <v>10</v>
      </c>
      <c r="M115" s="12">
        <f t="shared" si="14"/>
        <v>5</v>
      </c>
      <c r="N115" s="12">
        <v>15000</v>
      </c>
      <c r="O115" s="12">
        <v>0</v>
      </c>
      <c r="P115" s="11">
        <v>75000</v>
      </c>
      <c r="Q115" s="11">
        <f t="shared" si="13"/>
        <v>75000</v>
      </c>
      <c r="R115" s="11">
        <v>0</v>
      </c>
      <c r="S115" s="11">
        <v>0</v>
      </c>
      <c r="T115" s="59"/>
      <c r="U115" s="11">
        <f t="shared" si="15"/>
        <v>75000</v>
      </c>
      <c r="V115" s="42">
        <v>5</v>
      </c>
    </row>
    <row r="116" spans="1:24" s="36" customFormat="1" ht="15.45" x14ac:dyDescent="0.35">
      <c r="A116" s="19" t="s">
        <v>132</v>
      </c>
      <c r="B116" s="9">
        <v>45708</v>
      </c>
      <c r="C116" s="14" t="s">
        <v>739</v>
      </c>
      <c r="D116" s="10" t="s">
        <v>740</v>
      </c>
      <c r="E116" s="9">
        <v>45708</v>
      </c>
      <c r="F116" s="10" t="s">
        <v>129</v>
      </c>
      <c r="G116" s="10" t="s">
        <v>741</v>
      </c>
      <c r="H116" s="10" t="s">
        <v>820</v>
      </c>
      <c r="I116" s="10" t="s">
        <v>24</v>
      </c>
      <c r="J116" s="10" t="s">
        <v>61</v>
      </c>
      <c r="K116" s="10"/>
      <c r="L116" s="10" t="s">
        <v>10</v>
      </c>
      <c r="M116" s="12">
        <f t="shared" si="14"/>
        <v>5</v>
      </c>
      <c r="N116" s="12">
        <v>22000</v>
      </c>
      <c r="O116" s="12">
        <v>0</v>
      </c>
      <c r="P116" s="11">
        <v>110000</v>
      </c>
      <c r="Q116" s="11">
        <f t="shared" si="13"/>
        <v>110000</v>
      </c>
      <c r="R116" s="11">
        <v>0</v>
      </c>
      <c r="S116" s="11">
        <v>0</v>
      </c>
      <c r="T116" s="59"/>
      <c r="U116" s="11">
        <f t="shared" si="15"/>
        <v>110000</v>
      </c>
      <c r="V116" s="42">
        <v>5</v>
      </c>
    </row>
    <row r="117" spans="1:24" s="36" customFormat="1" ht="15.45" x14ac:dyDescent="0.35">
      <c r="A117" s="19" t="s">
        <v>132</v>
      </c>
      <c r="B117" s="9">
        <v>45708</v>
      </c>
      <c r="C117" s="14" t="s">
        <v>739</v>
      </c>
      <c r="D117" s="10" t="s">
        <v>740</v>
      </c>
      <c r="E117" s="9">
        <v>45708</v>
      </c>
      <c r="F117" s="10" t="s">
        <v>129</v>
      </c>
      <c r="G117" s="10" t="s">
        <v>742</v>
      </c>
      <c r="H117" s="10" t="s">
        <v>820</v>
      </c>
      <c r="I117" s="10" t="s">
        <v>24</v>
      </c>
      <c r="J117" s="10" t="s">
        <v>61</v>
      </c>
      <c r="K117" s="10"/>
      <c r="L117" s="10" t="s">
        <v>6</v>
      </c>
      <c r="M117" s="12">
        <f t="shared" si="14"/>
        <v>3</v>
      </c>
      <c r="N117" s="12">
        <v>5000</v>
      </c>
      <c r="O117" s="12">
        <v>0</v>
      </c>
      <c r="P117" s="11">
        <v>15000</v>
      </c>
      <c r="Q117" s="11">
        <f t="shared" si="13"/>
        <v>15000</v>
      </c>
      <c r="R117" s="11">
        <v>0</v>
      </c>
      <c r="S117" s="11">
        <v>0</v>
      </c>
      <c r="T117" s="59"/>
      <c r="U117" s="11">
        <f t="shared" si="15"/>
        <v>15000</v>
      </c>
      <c r="V117" s="42">
        <v>3</v>
      </c>
    </row>
    <row r="118" spans="1:24" s="36" customFormat="1" ht="15.45" x14ac:dyDescent="0.35">
      <c r="A118" s="19" t="s">
        <v>111</v>
      </c>
      <c r="B118" s="9">
        <v>45708</v>
      </c>
      <c r="C118" s="14" t="s">
        <v>743</v>
      </c>
      <c r="D118" s="10" t="s">
        <v>744</v>
      </c>
      <c r="E118" s="9">
        <v>45708</v>
      </c>
      <c r="F118" s="10" t="s">
        <v>55</v>
      </c>
      <c r="G118" s="10" t="s">
        <v>87</v>
      </c>
      <c r="H118" s="23" t="s">
        <v>819</v>
      </c>
      <c r="I118" s="10" t="s">
        <v>26</v>
      </c>
      <c r="J118" s="10" t="s">
        <v>80</v>
      </c>
      <c r="K118" s="10"/>
      <c r="L118" s="10" t="s">
        <v>10</v>
      </c>
      <c r="M118" s="12">
        <f t="shared" si="14"/>
        <v>31</v>
      </c>
      <c r="N118" s="12">
        <v>12500</v>
      </c>
      <c r="O118" s="12">
        <v>0</v>
      </c>
      <c r="P118" s="11">
        <v>387500</v>
      </c>
      <c r="Q118" s="11">
        <f t="shared" si="13"/>
        <v>387500</v>
      </c>
      <c r="R118" s="11">
        <v>0</v>
      </c>
      <c r="S118" s="11">
        <v>0</v>
      </c>
      <c r="T118" s="59"/>
      <c r="U118" s="11">
        <f t="shared" si="15"/>
        <v>387500</v>
      </c>
      <c r="V118" s="42">
        <v>31</v>
      </c>
    </row>
    <row r="119" spans="1:24" s="36" customFormat="1" ht="15.45" x14ac:dyDescent="0.35">
      <c r="A119" s="19" t="s">
        <v>111</v>
      </c>
      <c r="B119" s="9">
        <v>45708</v>
      </c>
      <c r="C119" s="14" t="s">
        <v>745</v>
      </c>
      <c r="D119" s="10" t="s">
        <v>746</v>
      </c>
      <c r="E119" s="9">
        <v>45706</v>
      </c>
      <c r="F119" s="10" t="s">
        <v>55</v>
      </c>
      <c r="G119" s="10" t="s">
        <v>614</v>
      </c>
      <c r="H119" s="10" t="s">
        <v>820</v>
      </c>
      <c r="I119" s="10" t="s">
        <v>24</v>
      </c>
      <c r="J119" s="10" t="s">
        <v>61</v>
      </c>
      <c r="K119" s="10"/>
      <c r="L119" s="10" t="s">
        <v>6</v>
      </c>
      <c r="M119" s="12">
        <f t="shared" si="14"/>
        <v>3</v>
      </c>
      <c r="N119" s="12">
        <v>200000</v>
      </c>
      <c r="O119" s="12">
        <v>0</v>
      </c>
      <c r="P119" s="11">
        <v>600000</v>
      </c>
      <c r="Q119" s="11">
        <f t="shared" si="13"/>
        <v>600000</v>
      </c>
      <c r="R119" s="11">
        <v>0</v>
      </c>
      <c r="S119" s="11">
        <v>0</v>
      </c>
      <c r="T119" s="59"/>
      <c r="U119" s="11">
        <f t="shared" si="15"/>
        <v>600000</v>
      </c>
      <c r="V119" s="42">
        <v>3</v>
      </c>
    </row>
    <row r="120" spans="1:24" s="36" customFormat="1" ht="15.45" x14ac:dyDescent="0.35">
      <c r="A120" s="19" t="s">
        <v>111</v>
      </c>
      <c r="B120" s="9">
        <v>45708</v>
      </c>
      <c r="C120" s="14" t="s">
        <v>747</v>
      </c>
      <c r="D120" s="10" t="s">
        <v>748</v>
      </c>
      <c r="E120" s="9">
        <v>45706</v>
      </c>
      <c r="F120" s="10" t="s">
        <v>55</v>
      </c>
      <c r="G120" s="10" t="s">
        <v>749</v>
      </c>
      <c r="H120" s="10" t="s">
        <v>820</v>
      </c>
      <c r="I120" s="10" t="s">
        <v>24</v>
      </c>
      <c r="J120" s="10" t="s">
        <v>61</v>
      </c>
      <c r="K120" s="10"/>
      <c r="L120" s="10" t="s">
        <v>10</v>
      </c>
      <c r="M120" s="12">
        <f t="shared" si="14"/>
        <v>2</v>
      </c>
      <c r="N120" s="12">
        <v>250000</v>
      </c>
      <c r="O120" s="12">
        <v>0</v>
      </c>
      <c r="P120" s="11">
        <v>500000</v>
      </c>
      <c r="Q120" s="11">
        <f t="shared" si="13"/>
        <v>500000</v>
      </c>
      <c r="R120" s="11">
        <v>0</v>
      </c>
      <c r="S120" s="11">
        <v>0</v>
      </c>
      <c r="T120" s="59"/>
      <c r="U120" s="11">
        <f t="shared" si="15"/>
        <v>500000</v>
      </c>
      <c r="V120" s="42">
        <v>2</v>
      </c>
    </row>
    <row r="121" spans="1:24" s="36" customFormat="1" ht="15.45" x14ac:dyDescent="0.4">
      <c r="A121" s="19" t="s">
        <v>166</v>
      </c>
      <c r="B121" s="9">
        <v>45709</v>
      </c>
      <c r="C121" s="27" t="s">
        <v>875</v>
      </c>
      <c r="D121" s="23" t="s">
        <v>167</v>
      </c>
      <c r="E121" s="21"/>
      <c r="F121" s="23" t="s">
        <v>210</v>
      </c>
      <c r="G121" s="23" t="s">
        <v>168</v>
      </c>
      <c r="H121" s="23" t="s">
        <v>893</v>
      </c>
      <c r="I121" s="23" t="s">
        <v>169</v>
      </c>
      <c r="J121" s="23" t="s">
        <v>192</v>
      </c>
      <c r="K121" s="46" t="s">
        <v>973</v>
      </c>
      <c r="L121" s="23" t="s">
        <v>0</v>
      </c>
      <c r="M121" s="24">
        <v>6660</v>
      </c>
      <c r="N121" s="31">
        <v>225.23</v>
      </c>
      <c r="O121" s="24"/>
      <c r="P121" s="25">
        <f>M121*N121</f>
        <v>1500031.8</v>
      </c>
      <c r="Q121" s="25">
        <f t="shared" si="13"/>
        <v>1500031.8</v>
      </c>
      <c r="R121" s="25">
        <f>Q121*0.11</f>
        <v>165003.49799999999</v>
      </c>
      <c r="S121" s="25">
        <f>Q121*2%</f>
        <v>30000.636000000002</v>
      </c>
      <c r="T121" s="25"/>
      <c r="U121" s="11">
        <f>Q121+R121-T121-S121</f>
        <v>1635034.662</v>
      </c>
      <c r="V121"/>
      <c r="W121"/>
      <c r="X121"/>
    </row>
    <row r="122" spans="1:24" s="36" customFormat="1" ht="15.45" x14ac:dyDescent="0.4">
      <c r="A122" s="19" t="s">
        <v>166</v>
      </c>
      <c r="B122" s="9">
        <v>45712</v>
      </c>
      <c r="C122" s="27" t="s">
        <v>876</v>
      </c>
      <c r="D122" s="23" t="s">
        <v>167</v>
      </c>
      <c r="E122" s="21"/>
      <c r="F122" s="23" t="s">
        <v>210</v>
      </c>
      <c r="G122" s="23" t="s">
        <v>168</v>
      </c>
      <c r="H122" s="23" t="s">
        <v>893</v>
      </c>
      <c r="I122" s="23" t="s">
        <v>169</v>
      </c>
      <c r="J122" s="23" t="s">
        <v>192</v>
      </c>
      <c r="K122" s="46" t="s">
        <v>974</v>
      </c>
      <c r="L122" s="23" t="s">
        <v>0</v>
      </c>
      <c r="M122" s="24">
        <v>6550</v>
      </c>
      <c r="N122" s="31">
        <v>225.23</v>
      </c>
      <c r="O122" s="24"/>
      <c r="P122" s="25">
        <f>M122*N122</f>
        <v>1475256.5</v>
      </c>
      <c r="Q122" s="25">
        <f t="shared" si="13"/>
        <v>1475256.5</v>
      </c>
      <c r="R122" s="25">
        <f>Q122*0.11</f>
        <v>162278.215</v>
      </c>
      <c r="S122" s="25">
        <f>Q122*2%</f>
        <v>29505.13</v>
      </c>
      <c r="T122" s="25"/>
      <c r="U122" s="11">
        <f>Q122+R122-T122-S122</f>
        <v>1608029.5850000002</v>
      </c>
      <c r="V122"/>
      <c r="W122"/>
      <c r="X122"/>
    </row>
    <row r="123" spans="1:24" s="36" customFormat="1" ht="15.45" x14ac:dyDescent="0.4">
      <c r="A123" s="19" t="s">
        <v>166</v>
      </c>
      <c r="B123" s="9">
        <v>45713</v>
      </c>
      <c r="C123" s="27" t="s">
        <v>877</v>
      </c>
      <c r="D123" s="23" t="s">
        <v>167</v>
      </c>
      <c r="E123" s="21"/>
      <c r="F123" s="23" t="s">
        <v>210</v>
      </c>
      <c r="G123" s="23" t="s">
        <v>168</v>
      </c>
      <c r="H123" s="23" t="s">
        <v>893</v>
      </c>
      <c r="I123" s="23" t="s">
        <v>169</v>
      </c>
      <c r="J123" s="23" t="s">
        <v>192</v>
      </c>
      <c r="K123" s="46" t="s">
        <v>975</v>
      </c>
      <c r="L123" s="23" t="s">
        <v>0</v>
      </c>
      <c r="M123" s="24">
        <v>6220</v>
      </c>
      <c r="N123" s="31">
        <v>225.23</v>
      </c>
      <c r="O123" s="24"/>
      <c r="P123" s="25">
        <f>M123*N123</f>
        <v>1400930.5999999999</v>
      </c>
      <c r="Q123" s="25">
        <f t="shared" si="13"/>
        <v>1400930.5999999999</v>
      </c>
      <c r="R123" s="25">
        <f>Q123*0.11</f>
        <v>154102.36599999998</v>
      </c>
      <c r="S123" s="25">
        <f>Q123*2%</f>
        <v>28018.611999999997</v>
      </c>
      <c r="T123" s="25"/>
      <c r="U123" s="11">
        <f>Q123+R123-T123-S123</f>
        <v>1527014.3539999998</v>
      </c>
      <c r="V123"/>
      <c r="W123"/>
      <c r="X123"/>
    </row>
    <row r="124" spans="1:24" s="36" customFormat="1" ht="15.45" x14ac:dyDescent="0.4">
      <c r="A124" s="19" t="s">
        <v>166</v>
      </c>
      <c r="B124" s="9">
        <v>45715</v>
      </c>
      <c r="C124" s="27" t="s">
        <v>878</v>
      </c>
      <c r="D124" s="23" t="s">
        <v>167</v>
      </c>
      <c r="E124" s="21"/>
      <c r="F124" s="23" t="s">
        <v>210</v>
      </c>
      <c r="G124" s="23" t="s">
        <v>168</v>
      </c>
      <c r="H124" s="23" t="s">
        <v>893</v>
      </c>
      <c r="I124" s="23" t="s">
        <v>169</v>
      </c>
      <c r="J124" s="23" t="s">
        <v>192</v>
      </c>
      <c r="K124" s="46" t="s">
        <v>976</v>
      </c>
      <c r="L124" s="23" t="s">
        <v>0</v>
      </c>
      <c r="M124" s="24">
        <v>7020</v>
      </c>
      <c r="N124" s="31">
        <v>225.23</v>
      </c>
      <c r="O124" s="24"/>
      <c r="P124" s="25">
        <f>M124*N124</f>
        <v>1581114.5999999999</v>
      </c>
      <c r="Q124" s="25">
        <f t="shared" si="13"/>
        <v>1581114.5999999999</v>
      </c>
      <c r="R124" s="25">
        <f>Q124*0.11</f>
        <v>173922.606</v>
      </c>
      <c r="S124" s="25">
        <f>Q124*2%</f>
        <v>31622.291999999998</v>
      </c>
      <c r="T124" s="25"/>
      <c r="U124" s="11">
        <f>Q124+R124-T124-S124</f>
        <v>1723414.9139999999</v>
      </c>
      <c r="V124"/>
      <c r="W124"/>
      <c r="X124"/>
    </row>
    <row r="125" spans="1:24" s="36" customFormat="1" ht="15.45" x14ac:dyDescent="0.4">
      <c r="A125" s="19" t="s">
        <v>166</v>
      </c>
      <c r="B125" s="9">
        <v>45716</v>
      </c>
      <c r="C125" s="27" t="s">
        <v>879</v>
      </c>
      <c r="D125" s="23" t="s">
        <v>167</v>
      </c>
      <c r="E125" s="21"/>
      <c r="F125" s="23" t="s">
        <v>210</v>
      </c>
      <c r="G125" s="23" t="s">
        <v>168</v>
      </c>
      <c r="H125" s="23" t="s">
        <v>893</v>
      </c>
      <c r="I125" s="23" t="s">
        <v>169</v>
      </c>
      <c r="J125" s="23" t="s">
        <v>192</v>
      </c>
      <c r="K125" s="46" t="s">
        <v>977</v>
      </c>
      <c r="L125" s="23" t="s">
        <v>0</v>
      </c>
      <c r="M125" s="24">
        <v>6780</v>
      </c>
      <c r="N125" s="31">
        <v>225.23</v>
      </c>
      <c r="O125" s="24"/>
      <c r="P125" s="25">
        <f>M125*N125</f>
        <v>1527059.4</v>
      </c>
      <c r="Q125" s="25">
        <f t="shared" si="13"/>
        <v>1527059.4</v>
      </c>
      <c r="R125" s="25">
        <f>Q125*0.11</f>
        <v>167976.53399999999</v>
      </c>
      <c r="S125" s="25">
        <f>Q125*2%</f>
        <v>30541.187999999998</v>
      </c>
      <c r="T125" s="25"/>
      <c r="U125" s="11">
        <f>Q125+R125-T125-S125</f>
        <v>1664494.7459999998</v>
      </c>
      <c r="V125"/>
      <c r="W125"/>
      <c r="X125"/>
    </row>
    <row r="126" spans="1:24" s="36" customFormat="1" ht="15.45" x14ac:dyDescent="0.35">
      <c r="A126" s="19" t="s">
        <v>225</v>
      </c>
      <c r="B126" s="9">
        <v>45713</v>
      </c>
      <c r="C126" s="14" t="s">
        <v>792</v>
      </c>
      <c r="D126" s="10" t="s">
        <v>793</v>
      </c>
      <c r="E126" s="9">
        <v>45712</v>
      </c>
      <c r="F126" s="10" t="s">
        <v>221</v>
      </c>
      <c r="G126" s="10" t="s">
        <v>222</v>
      </c>
      <c r="H126" s="10" t="s">
        <v>885</v>
      </c>
      <c r="I126" s="10" t="s">
        <v>23</v>
      </c>
      <c r="J126" s="10" t="s">
        <v>45</v>
      </c>
      <c r="K126" s="50" t="s">
        <v>904</v>
      </c>
      <c r="L126" s="10" t="s">
        <v>1</v>
      </c>
      <c r="M126" s="12">
        <f t="shared" ref="M126:M168" si="16">IF(LEFT(C126,2)="RP",V126*-1,V126)</f>
        <v>400</v>
      </c>
      <c r="N126" s="12">
        <v>9131</v>
      </c>
      <c r="O126" s="12">
        <v>16305</v>
      </c>
      <c r="P126" s="11">
        <v>3652400</v>
      </c>
      <c r="Q126" s="11">
        <f t="shared" si="13"/>
        <v>3652400</v>
      </c>
      <c r="R126" s="11">
        <v>401764</v>
      </c>
      <c r="S126" s="11"/>
      <c r="T126" s="11">
        <v>0</v>
      </c>
      <c r="U126" s="11">
        <f>Q126+R126-T126</f>
        <v>4054164</v>
      </c>
      <c r="V126" s="42">
        <v>400</v>
      </c>
    </row>
    <row r="127" spans="1:24" s="36" customFormat="1" ht="15.45" x14ac:dyDescent="0.35">
      <c r="A127" s="19" t="s">
        <v>767</v>
      </c>
      <c r="B127" s="9">
        <v>45709</v>
      </c>
      <c r="C127" s="14" t="s">
        <v>750</v>
      </c>
      <c r="D127" s="10" t="s">
        <v>751</v>
      </c>
      <c r="E127" s="9">
        <v>45707</v>
      </c>
      <c r="F127" s="10" t="s">
        <v>752</v>
      </c>
      <c r="G127" s="10" t="s">
        <v>753</v>
      </c>
      <c r="H127" s="10" t="s">
        <v>887</v>
      </c>
      <c r="I127" s="10" t="s">
        <v>23</v>
      </c>
      <c r="J127" s="10" t="s">
        <v>45</v>
      </c>
      <c r="K127" s="50" t="s">
        <v>821</v>
      </c>
      <c r="L127" s="10" t="s">
        <v>1</v>
      </c>
      <c r="M127" s="12">
        <f t="shared" si="16"/>
        <v>500</v>
      </c>
      <c r="N127" s="12">
        <v>5280</v>
      </c>
      <c r="O127" s="12">
        <v>0</v>
      </c>
      <c r="P127" s="11">
        <v>2640000</v>
      </c>
      <c r="Q127" s="11">
        <f t="shared" si="13"/>
        <v>2640000</v>
      </c>
      <c r="R127" s="11">
        <v>290400</v>
      </c>
      <c r="S127" s="11">
        <v>0</v>
      </c>
      <c r="T127" s="59"/>
      <c r="U127" s="11">
        <f>Q127+R127-S127</f>
        <v>2930400</v>
      </c>
      <c r="V127" s="42">
        <v>500</v>
      </c>
    </row>
    <row r="128" spans="1:24" s="36" customFormat="1" ht="15.45" x14ac:dyDescent="0.35">
      <c r="A128" s="19" t="s">
        <v>110</v>
      </c>
      <c r="B128" s="9">
        <v>45707</v>
      </c>
      <c r="C128" s="14" t="s">
        <v>685</v>
      </c>
      <c r="D128" s="10" t="s">
        <v>686</v>
      </c>
      <c r="E128" s="9">
        <v>45700</v>
      </c>
      <c r="F128" s="10" t="s">
        <v>72</v>
      </c>
      <c r="G128" s="10" t="s">
        <v>77</v>
      </c>
      <c r="H128" s="10" t="s">
        <v>887</v>
      </c>
      <c r="I128" s="10" t="s">
        <v>23</v>
      </c>
      <c r="J128" s="10" t="s">
        <v>45</v>
      </c>
      <c r="K128" s="50" t="s">
        <v>778</v>
      </c>
      <c r="L128" s="10" t="s">
        <v>1</v>
      </c>
      <c r="M128" s="12">
        <f t="shared" si="16"/>
        <v>400</v>
      </c>
      <c r="N128" s="12">
        <v>30500</v>
      </c>
      <c r="O128" s="12">
        <v>0</v>
      </c>
      <c r="P128" s="11">
        <v>12200000</v>
      </c>
      <c r="Q128" s="11">
        <f t="shared" si="13"/>
        <v>12200000</v>
      </c>
      <c r="R128" s="11">
        <v>1342000</v>
      </c>
      <c r="S128" s="11"/>
      <c r="T128" s="11">
        <v>0</v>
      </c>
      <c r="U128" s="11">
        <f>Q128+R128-T128</f>
        <v>13542000</v>
      </c>
      <c r="V128" s="42">
        <v>400</v>
      </c>
    </row>
    <row r="129" spans="1:22" s="36" customFormat="1" ht="15.45" x14ac:dyDescent="0.35">
      <c r="A129" s="19" t="s">
        <v>110</v>
      </c>
      <c r="B129" s="9">
        <v>45691</v>
      </c>
      <c r="C129" s="14" t="s">
        <v>454</v>
      </c>
      <c r="D129" s="10" t="s">
        <v>455</v>
      </c>
      <c r="E129" s="9">
        <v>45687</v>
      </c>
      <c r="F129" s="10" t="s">
        <v>72</v>
      </c>
      <c r="G129" s="10" t="s">
        <v>29</v>
      </c>
      <c r="H129" s="10" t="s">
        <v>887</v>
      </c>
      <c r="I129" s="10" t="s">
        <v>23</v>
      </c>
      <c r="J129" s="10" t="s">
        <v>45</v>
      </c>
      <c r="K129" s="10"/>
      <c r="L129" s="10" t="s">
        <v>1</v>
      </c>
      <c r="M129" s="12">
        <f t="shared" si="16"/>
        <v>5000</v>
      </c>
      <c r="N129" s="12">
        <v>5500</v>
      </c>
      <c r="O129" s="12">
        <v>0</v>
      </c>
      <c r="P129" s="11">
        <v>27500000</v>
      </c>
      <c r="Q129" s="11">
        <f t="shared" si="13"/>
        <v>27500000</v>
      </c>
      <c r="R129" s="11">
        <v>3025000</v>
      </c>
      <c r="S129" s="11"/>
      <c r="T129" s="11">
        <v>0</v>
      </c>
      <c r="U129" s="11">
        <f>Q129+R129-T129-S129</f>
        <v>30525000</v>
      </c>
      <c r="V129" s="42">
        <v>5000</v>
      </c>
    </row>
    <row r="130" spans="1:22" s="36" customFormat="1" ht="15.45" x14ac:dyDescent="0.35">
      <c r="A130" s="19" t="s">
        <v>110</v>
      </c>
      <c r="B130" s="9">
        <v>45698</v>
      </c>
      <c r="C130" s="14" t="s">
        <v>575</v>
      </c>
      <c r="D130" s="10" t="s">
        <v>455</v>
      </c>
      <c r="E130" s="9">
        <v>45687</v>
      </c>
      <c r="F130" s="10" t="s">
        <v>72</v>
      </c>
      <c r="G130" s="10" t="s">
        <v>29</v>
      </c>
      <c r="H130" s="10" t="s">
        <v>887</v>
      </c>
      <c r="I130" s="10" t="s">
        <v>23</v>
      </c>
      <c r="J130" s="10" t="s">
        <v>45</v>
      </c>
      <c r="K130" s="50" t="s">
        <v>707</v>
      </c>
      <c r="L130" s="10" t="s">
        <v>1</v>
      </c>
      <c r="M130" s="12">
        <f t="shared" si="16"/>
        <v>5000</v>
      </c>
      <c r="N130" s="12">
        <v>5500</v>
      </c>
      <c r="O130" s="12">
        <v>0</v>
      </c>
      <c r="P130" s="11">
        <v>27500000</v>
      </c>
      <c r="Q130" s="11">
        <f t="shared" si="13"/>
        <v>27500000</v>
      </c>
      <c r="R130" s="11">
        <v>3025000</v>
      </c>
      <c r="S130" s="11"/>
      <c r="T130" s="11">
        <v>0</v>
      </c>
      <c r="U130" s="11">
        <f>Q130+R130-T130</f>
        <v>30525000</v>
      </c>
      <c r="V130" s="42">
        <v>5000</v>
      </c>
    </row>
    <row r="131" spans="1:22" s="36" customFormat="1" ht="15.45" x14ac:dyDescent="0.35">
      <c r="A131" s="19" t="s">
        <v>110</v>
      </c>
      <c r="B131" s="9">
        <v>45709</v>
      </c>
      <c r="C131" s="14" t="s">
        <v>764</v>
      </c>
      <c r="D131" s="10" t="s">
        <v>455</v>
      </c>
      <c r="E131" s="9">
        <v>45687</v>
      </c>
      <c r="F131" s="10" t="s">
        <v>72</v>
      </c>
      <c r="G131" s="10" t="s">
        <v>29</v>
      </c>
      <c r="H131" s="10" t="s">
        <v>887</v>
      </c>
      <c r="I131" s="10" t="s">
        <v>23</v>
      </c>
      <c r="J131" s="10" t="s">
        <v>45</v>
      </c>
      <c r="K131" s="50" t="s">
        <v>910</v>
      </c>
      <c r="L131" s="10" t="s">
        <v>1</v>
      </c>
      <c r="M131" s="12">
        <f t="shared" si="16"/>
        <v>5000</v>
      </c>
      <c r="N131" s="12">
        <v>5500</v>
      </c>
      <c r="O131" s="12">
        <v>0</v>
      </c>
      <c r="P131" s="11">
        <v>27500000</v>
      </c>
      <c r="Q131" s="11">
        <f t="shared" si="13"/>
        <v>27500000</v>
      </c>
      <c r="R131" s="11">
        <v>3025000</v>
      </c>
      <c r="S131" s="11">
        <v>0</v>
      </c>
      <c r="T131" s="59"/>
      <c r="U131" s="11">
        <f>Q131+R131-S131</f>
        <v>30525000</v>
      </c>
      <c r="V131" s="42">
        <v>5000</v>
      </c>
    </row>
    <row r="132" spans="1:22" s="36" customFormat="1" ht="15.45" x14ac:dyDescent="0.35">
      <c r="A132" s="19" t="s">
        <v>110</v>
      </c>
      <c r="B132" s="9">
        <v>45715</v>
      </c>
      <c r="C132" s="14" t="s">
        <v>823</v>
      </c>
      <c r="D132" s="10" t="s">
        <v>455</v>
      </c>
      <c r="E132" s="9">
        <v>45687</v>
      </c>
      <c r="F132" s="10" t="s">
        <v>72</v>
      </c>
      <c r="G132" s="10" t="s">
        <v>29</v>
      </c>
      <c r="H132" s="10" t="s">
        <v>887</v>
      </c>
      <c r="I132" s="10" t="s">
        <v>23</v>
      </c>
      <c r="J132" s="10" t="s">
        <v>45</v>
      </c>
      <c r="K132" s="50" t="s">
        <v>956</v>
      </c>
      <c r="L132" s="10" t="s">
        <v>1</v>
      </c>
      <c r="M132" s="12">
        <f t="shared" si="16"/>
        <v>5000</v>
      </c>
      <c r="N132" s="12">
        <v>5500</v>
      </c>
      <c r="O132" s="12">
        <v>0</v>
      </c>
      <c r="P132" s="11">
        <v>27500000</v>
      </c>
      <c r="Q132" s="11">
        <f t="shared" si="13"/>
        <v>27500000</v>
      </c>
      <c r="R132" s="11">
        <v>3025000</v>
      </c>
      <c r="S132" s="11"/>
      <c r="T132" s="11">
        <v>0</v>
      </c>
      <c r="U132" s="11">
        <f t="shared" ref="U132:U148" si="17">Q132+R132-T132</f>
        <v>30525000</v>
      </c>
      <c r="V132" s="42">
        <v>5000</v>
      </c>
    </row>
    <row r="133" spans="1:22" s="36" customFormat="1" ht="15.45" x14ac:dyDescent="0.35">
      <c r="A133" s="19" t="s">
        <v>218</v>
      </c>
      <c r="B133" s="9">
        <v>45699</v>
      </c>
      <c r="C133" s="14" t="s">
        <v>603</v>
      </c>
      <c r="D133" s="10" t="s">
        <v>368</v>
      </c>
      <c r="E133" s="9">
        <v>45667</v>
      </c>
      <c r="F133" s="10" t="s">
        <v>44</v>
      </c>
      <c r="G133" s="10" t="s">
        <v>41</v>
      </c>
      <c r="H133" s="10" t="s">
        <v>890</v>
      </c>
      <c r="I133" s="10" t="s">
        <v>23</v>
      </c>
      <c r="J133" s="10" t="s">
        <v>45</v>
      </c>
      <c r="K133" s="50" t="s">
        <v>713</v>
      </c>
      <c r="L133" s="10" t="s">
        <v>1</v>
      </c>
      <c r="M133" s="12">
        <f t="shared" si="16"/>
        <v>350</v>
      </c>
      <c r="N133" s="12">
        <v>21028</v>
      </c>
      <c r="O133" s="12">
        <v>16175</v>
      </c>
      <c r="P133" s="11">
        <v>7359800</v>
      </c>
      <c r="Q133" s="11">
        <f t="shared" si="13"/>
        <v>7359800</v>
      </c>
      <c r="R133" s="11">
        <v>809578</v>
      </c>
      <c r="S133" s="11"/>
      <c r="T133" s="11">
        <v>0</v>
      </c>
      <c r="U133" s="11">
        <f t="shared" si="17"/>
        <v>8169378</v>
      </c>
      <c r="V133" s="42">
        <v>350</v>
      </c>
    </row>
    <row r="134" spans="1:22" s="36" customFormat="1" ht="15.45" x14ac:dyDescent="0.35">
      <c r="A134" s="19" t="s">
        <v>218</v>
      </c>
      <c r="B134" s="9">
        <v>45700</v>
      </c>
      <c r="C134" s="14" t="s">
        <v>605</v>
      </c>
      <c r="D134" s="10" t="s">
        <v>368</v>
      </c>
      <c r="E134" s="9">
        <v>45667</v>
      </c>
      <c r="F134" s="10" t="s">
        <v>44</v>
      </c>
      <c r="G134" s="10" t="s">
        <v>41</v>
      </c>
      <c r="H134" s="10" t="s">
        <v>890</v>
      </c>
      <c r="I134" s="10" t="s">
        <v>23</v>
      </c>
      <c r="J134" s="10" t="s">
        <v>45</v>
      </c>
      <c r="K134" s="50" t="s">
        <v>714</v>
      </c>
      <c r="L134" s="10" t="s">
        <v>1</v>
      </c>
      <c r="M134" s="12">
        <f t="shared" si="16"/>
        <v>500</v>
      </c>
      <c r="N134" s="12">
        <v>21028</v>
      </c>
      <c r="O134" s="12">
        <v>16175</v>
      </c>
      <c r="P134" s="11">
        <v>10514000</v>
      </c>
      <c r="Q134" s="11">
        <f t="shared" si="13"/>
        <v>10514000</v>
      </c>
      <c r="R134" s="11">
        <v>1156540</v>
      </c>
      <c r="S134" s="11"/>
      <c r="T134" s="11">
        <v>0</v>
      </c>
      <c r="U134" s="11">
        <f t="shared" si="17"/>
        <v>11670540</v>
      </c>
      <c r="V134" s="42">
        <v>500</v>
      </c>
    </row>
    <row r="135" spans="1:22" s="36" customFormat="1" ht="15.45" x14ac:dyDescent="0.35">
      <c r="A135" s="19" t="s">
        <v>218</v>
      </c>
      <c r="B135" s="9">
        <v>45702</v>
      </c>
      <c r="C135" s="14" t="s">
        <v>642</v>
      </c>
      <c r="D135" s="10" t="s">
        <v>368</v>
      </c>
      <c r="E135" s="9">
        <v>45667</v>
      </c>
      <c r="F135" s="10" t="s">
        <v>44</v>
      </c>
      <c r="G135" s="10" t="s">
        <v>41</v>
      </c>
      <c r="H135" s="10" t="s">
        <v>890</v>
      </c>
      <c r="I135" s="10" t="s">
        <v>23</v>
      </c>
      <c r="J135" s="10" t="s">
        <v>45</v>
      </c>
      <c r="K135" s="50" t="s">
        <v>711</v>
      </c>
      <c r="L135" s="10" t="s">
        <v>1</v>
      </c>
      <c r="M135" s="12">
        <f t="shared" si="16"/>
        <v>1000</v>
      </c>
      <c r="N135" s="12">
        <v>21028</v>
      </c>
      <c r="O135" s="12">
        <v>16175</v>
      </c>
      <c r="P135" s="11">
        <v>21028000</v>
      </c>
      <c r="Q135" s="11">
        <f t="shared" si="13"/>
        <v>21028000</v>
      </c>
      <c r="R135" s="11">
        <v>2313080</v>
      </c>
      <c r="S135" s="11"/>
      <c r="T135" s="11">
        <v>0</v>
      </c>
      <c r="U135" s="11">
        <f t="shared" si="17"/>
        <v>23341080</v>
      </c>
      <c r="V135" s="42">
        <v>1000</v>
      </c>
    </row>
    <row r="136" spans="1:22" s="36" customFormat="1" ht="15.45" x14ac:dyDescent="0.35">
      <c r="A136" s="19" t="s">
        <v>218</v>
      </c>
      <c r="B136" s="9">
        <v>45705</v>
      </c>
      <c r="C136" s="14" t="s">
        <v>661</v>
      </c>
      <c r="D136" s="10" t="s">
        <v>368</v>
      </c>
      <c r="E136" s="9">
        <v>45667</v>
      </c>
      <c r="F136" s="10" t="s">
        <v>44</v>
      </c>
      <c r="G136" s="10" t="s">
        <v>41</v>
      </c>
      <c r="H136" s="10" t="s">
        <v>890</v>
      </c>
      <c r="I136" s="10" t="s">
        <v>23</v>
      </c>
      <c r="J136" s="10" t="s">
        <v>45</v>
      </c>
      <c r="K136" s="50" t="s">
        <v>712</v>
      </c>
      <c r="L136" s="10" t="s">
        <v>1</v>
      </c>
      <c r="M136" s="12">
        <f t="shared" si="16"/>
        <v>500</v>
      </c>
      <c r="N136" s="12">
        <v>21028</v>
      </c>
      <c r="O136" s="12">
        <v>16175</v>
      </c>
      <c r="P136" s="11">
        <v>10514000</v>
      </c>
      <c r="Q136" s="11">
        <f t="shared" ref="Q136:Q167" si="18">P136</f>
        <v>10514000</v>
      </c>
      <c r="R136" s="11">
        <v>1156540</v>
      </c>
      <c r="S136" s="11"/>
      <c r="T136" s="11">
        <v>0</v>
      </c>
      <c r="U136" s="11">
        <f t="shared" si="17"/>
        <v>11670540</v>
      </c>
      <c r="V136" s="42">
        <v>500</v>
      </c>
    </row>
    <row r="137" spans="1:22" s="36" customFormat="1" ht="15.45" x14ac:dyDescent="0.35">
      <c r="A137" s="19" t="s">
        <v>218</v>
      </c>
      <c r="B137" s="9">
        <v>45695</v>
      </c>
      <c r="C137" s="14" t="s">
        <v>664</v>
      </c>
      <c r="D137" s="10" t="s">
        <v>368</v>
      </c>
      <c r="E137" s="9">
        <v>45667</v>
      </c>
      <c r="F137" s="10" t="s">
        <v>44</v>
      </c>
      <c r="G137" s="10" t="s">
        <v>41</v>
      </c>
      <c r="H137" s="10" t="s">
        <v>890</v>
      </c>
      <c r="I137" s="10" t="s">
        <v>23</v>
      </c>
      <c r="J137" s="10" t="s">
        <v>45</v>
      </c>
      <c r="K137" s="50" t="s">
        <v>715</v>
      </c>
      <c r="L137" s="10" t="s">
        <v>1</v>
      </c>
      <c r="M137" s="12">
        <f t="shared" si="16"/>
        <v>1000</v>
      </c>
      <c r="N137" s="12">
        <v>21028</v>
      </c>
      <c r="O137" s="12">
        <v>16175</v>
      </c>
      <c r="P137" s="11">
        <v>21028000</v>
      </c>
      <c r="Q137" s="11">
        <f t="shared" si="18"/>
        <v>21028000</v>
      </c>
      <c r="R137" s="11">
        <v>2313080</v>
      </c>
      <c r="S137" s="11"/>
      <c r="T137" s="11">
        <v>0</v>
      </c>
      <c r="U137" s="11">
        <f t="shared" si="17"/>
        <v>23341080</v>
      </c>
      <c r="V137" s="42">
        <v>1000</v>
      </c>
    </row>
    <row r="138" spans="1:22" s="36" customFormat="1" ht="15.45" x14ac:dyDescent="0.35">
      <c r="A138" s="19" t="s">
        <v>218</v>
      </c>
      <c r="B138" s="9">
        <v>45707</v>
      </c>
      <c r="C138" s="14" t="s">
        <v>682</v>
      </c>
      <c r="D138" s="10" t="s">
        <v>368</v>
      </c>
      <c r="E138" s="9">
        <v>45667</v>
      </c>
      <c r="F138" s="10" t="s">
        <v>44</v>
      </c>
      <c r="G138" s="10" t="s">
        <v>41</v>
      </c>
      <c r="H138" s="10" t="s">
        <v>890</v>
      </c>
      <c r="I138" s="10" t="s">
        <v>23</v>
      </c>
      <c r="J138" s="10" t="s">
        <v>45</v>
      </c>
      <c r="K138" s="50" t="s">
        <v>884</v>
      </c>
      <c r="L138" s="10" t="s">
        <v>1</v>
      </c>
      <c r="M138" s="12">
        <f t="shared" si="16"/>
        <v>650</v>
      </c>
      <c r="N138" s="12">
        <v>21028</v>
      </c>
      <c r="O138" s="12">
        <v>16175</v>
      </c>
      <c r="P138" s="11">
        <v>13668200</v>
      </c>
      <c r="Q138" s="11">
        <f t="shared" si="18"/>
        <v>13668200</v>
      </c>
      <c r="R138" s="11">
        <v>1503502</v>
      </c>
      <c r="S138" s="11"/>
      <c r="T138" s="11">
        <v>0</v>
      </c>
      <c r="U138" s="11">
        <f t="shared" si="17"/>
        <v>15171702</v>
      </c>
      <c r="V138" s="42">
        <v>650</v>
      </c>
    </row>
    <row r="139" spans="1:22" s="36" customFormat="1" ht="15.45" x14ac:dyDescent="0.35">
      <c r="A139" s="19" t="s">
        <v>218</v>
      </c>
      <c r="B139" s="9">
        <v>45707</v>
      </c>
      <c r="C139" s="14" t="s">
        <v>683</v>
      </c>
      <c r="D139" s="10" t="s">
        <v>684</v>
      </c>
      <c r="E139" s="9">
        <v>45693</v>
      </c>
      <c r="F139" s="10" t="s">
        <v>44</v>
      </c>
      <c r="G139" s="10" t="s">
        <v>41</v>
      </c>
      <c r="H139" s="10" t="s">
        <v>890</v>
      </c>
      <c r="I139" s="10" t="s">
        <v>23</v>
      </c>
      <c r="J139" s="10" t="s">
        <v>45</v>
      </c>
      <c r="K139" s="50" t="s">
        <v>884</v>
      </c>
      <c r="L139" s="10" t="s">
        <v>1</v>
      </c>
      <c r="M139" s="12">
        <f t="shared" si="16"/>
        <v>2000</v>
      </c>
      <c r="N139" s="12">
        <v>21190</v>
      </c>
      <c r="O139" s="12">
        <v>16300</v>
      </c>
      <c r="P139" s="11">
        <v>42380000</v>
      </c>
      <c r="Q139" s="11">
        <f t="shared" si="18"/>
        <v>42380000</v>
      </c>
      <c r="R139" s="11">
        <v>4661800</v>
      </c>
      <c r="S139" s="11"/>
      <c r="T139" s="11">
        <v>0</v>
      </c>
      <c r="U139" s="11">
        <f t="shared" si="17"/>
        <v>47041800</v>
      </c>
      <c r="V139" s="42">
        <v>2000</v>
      </c>
    </row>
    <row r="140" spans="1:22" s="36" customFormat="1" ht="15.45" x14ac:dyDescent="0.35">
      <c r="A140" s="19" t="s">
        <v>218</v>
      </c>
      <c r="B140" s="9">
        <v>45712</v>
      </c>
      <c r="C140" s="14" t="s">
        <v>780</v>
      </c>
      <c r="D140" s="10" t="s">
        <v>684</v>
      </c>
      <c r="E140" s="9">
        <v>45693</v>
      </c>
      <c r="F140" s="10" t="s">
        <v>44</v>
      </c>
      <c r="G140" s="10" t="s">
        <v>41</v>
      </c>
      <c r="H140" s="10" t="s">
        <v>890</v>
      </c>
      <c r="I140" s="10" t="s">
        <v>23</v>
      </c>
      <c r="J140" s="10" t="s">
        <v>45</v>
      </c>
      <c r="K140" s="50" t="s">
        <v>901</v>
      </c>
      <c r="L140" s="10" t="s">
        <v>1</v>
      </c>
      <c r="M140" s="12">
        <f t="shared" si="16"/>
        <v>2000</v>
      </c>
      <c r="N140" s="12">
        <v>21190</v>
      </c>
      <c r="O140" s="12">
        <v>16300</v>
      </c>
      <c r="P140" s="11">
        <v>42380000</v>
      </c>
      <c r="Q140" s="11">
        <f t="shared" si="18"/>
        <v>42380000</v>
      </c>
      <c r="R140" s="11">
        <v>4661800</v>
      </c>
      <c r="S140" s="11"/>
      <c r="T140" s="11">
        <v>0</v>
      </c>
      <c r="U140" s="11">
        <f t="shared" si="17"/>
        <v>47041800</v>
      </c>
      <c r="V140" s="42">
        <v>2000</v>
      </c>
    </row>
    <row r="141" spans="1:22" s="36" customFormat="1" ht="15.45" x14ac:dyDescent="0.35">
      <c r="A141" s="19" t="s">
        <v>218</v>
      </c>
      <c r="B141" s="9">
        <v>45715</v>
      </c>
      <c r="C141" s="14" t="s">
        <v>824</v>
      </c>
      <c r="D141" s="10" t="s">
        <v>684</v>
      </c>
      <c r="E141" s="9">
        <v>45693</v>
      </c>
      <c r="F141" s="10" t="s">
        <v>44</v>
      </c>
      <c r="G141" s="10" t="s">
        <v>41</v>
      </c>
      <c r="H141" s="10" t="s">
        <v>890</v>
      </c>
      <c r="I141" s="10" t="s">
        <v>23</v>
      </c>
      <c r="J141" s="10" t="s">
        <v>45</v>
      </c>
      <c r="K141" s="50" t="s">
        <v>979</v>
      </c>
      <c r="L141" s="10" t="s">
        <v>1</v>
      </c>
      <c r="M141" s="12">
        <f t="shared" si="16"/>
        <v>4000</v>
      </c>
      <c r="N141" s="12">
        <v>21190</v>
      </c>
      <c r="O141" s="12">
        <v>16300</v>
      </c>
      <c r="P141" s="11">
        <v>84760000</v>
      </c>
      <c r="Q141" s="11">
        <f t="shared" si="18"/>
        <v>84760000</v>
      </c>
      <c r="R141" s="11">
        <v>9323600</v>
      </c>
      <c r="S141" s="11"/>
      <c r="T141" s="11">
        <v>0</v>
      </c>
      <c r="U141" s="11">
        <f t="shared" si="17"/>
        <v>94083600</v>
      </c>
      <c r="V141" s="42">
        <v>4000</v>
      </c>
    </row>
    <row r="142" spans="1:22" s="36" customFormat="1" ht="15.45" x14ac:dyDescent="0.35">
      <c r="A142" s="19" t="s">
        <v>863</v>
      </c>
      <c r="B142" s="9">
        <v>45715</v>
      </c>
      <c r="C142" s="14" t="s">
        <v>832</v>
      </c>
      <c r="D142" s="10" t="s">
        <v>833</v>
      </c>
      <c r="E142" s="9">
        <v>45714</v>
      </c>
      <c r="F142" s="10" t="s">
        <v>834</v>
      </c>
      <c r="G142" s="10" t="s">
        <v>835</v>
      </c>
      <c r="H142" s="10" t="s">
        <v>820</v>
      </c>
      <c r="I142" s="10" t="s">
        <v>24</v>
      </c>
      <c r="J142" s="10" t="s">
        <v>61</v>
      </c>
      <c r="K142" s="50" t="s">
        <v>1124</v>
      </c>
      <c r="L142" s="10" t="s">
        <v>4</v>
      </c>
      <c r="M142" s="12">
        <f t="shared" si="16"/>
        <v>40</v>
      </c>
      <c r="N142" s="12">
        <v>80000</v>
      </c>
      <c r="O142" s="12">
        <v>0</v>
      </c>
      <c r="P142" s="11">
        <v>3200000</v>
      </c>
      <c r="Q142" s="11">
        <f t="shared" si="18"/>
        <v>3200000</v>
      </c>
      <c r="R142" s="11">
        <v>352000</v>
      </c>
      <c r="S142" s="11"/>
      <c r="T142" s="11">
        <v>0</v>
      </c>
      <c r="U142" s="11">
        <f t="shared" si="17"/>
        <v>3552000</v>
      </c>
      <c r="V142" s="42">
        <v>40</v>
      </c>
    </row>
    <row r="143" spans="1:22" s="36" customFormat="1" ht="15.45" x14ac:dyDescent="0.35">
      <c r="A143" s="19" t="s">
        <v>112</v>
      </c>
      <c r="B143" s="9">
        <v>45713</v>
      </c>
      <c r="C143" s="14" t="s">
        <v>798</v>
      </c>
      <c r="D143" s="10" t="s">
        <v>799</v>
      </c>
      <c r="E143" s="9">
        <v>45712</v>
      </c>
      <c r="F143" s="10" t="s">
        <v>50</v>
      </c>
      <c r="G143" s="10" t="s">
        <v>35</v>
      </c>
      <c r="H143" s="10" t="s">
        <v>885</v>
      </c>
      <c r="I143" s="10" t="s">
        <v>23</v>
      </c>
      <c r="J143" s="10" t="s">
        <v>45</v>
      </c>
      <c r="K143" s="50" t="s">
        <v>1143</v>
      </c>
      <c r="L143" s="10" t="s">
        <v>1</v>
      </c>
      <c r="M143" s="12">
        <f t="shared" si="16"/>
        <v>120</v>
      </c>
      <c r="N143" s="12">
        <v>21197</v>
      </c>
      <c r="O143" s="12">
        <v>16305</v>
      </c>
      <c r="P143" s="11">
        <v>2543640</v>
      </c>
      <c r="Q143" s="11">
        <f t="shared" si="18"/>
        <v>2543640</v>
      </c>
      <c r="R143" s="11">
        <v>279800.40000000002</v>
      </c>
      <c r="S143" s="11"/>
      <c r="T143" s="11">
        <v>0</v>
      </c>
      <c r="U143" s="11">
        <f t="shared" si="17"/>
        <v>2823440.4</v>
      </c>
      <c r="V143" s="42">
        <v>120</v>
      </c>
    </row>
    <row r="144" spans="1:22" s="36" customFormat="1" ht="15.45" x14ac:dyDescent="0.35">
      <c r="A144" s="19" t="s">
        <v>817</v>
      </c>
      <c r="B144" s="9">
        <v>45714</v>
      </c>
      <c r="C144" s="14" t="s">
        <v>806</v>
      </c>
      <c r="D144" s="10" t="s">
        <v>807</v>
      </c>
      <c r="E144" s="9">
        <v>45714</v>
      </c>
      <c r="F144" s="10" t="s">
        <v>808</v>
      </c>
      <c r="G144" s="10" t="s">
        <v>809</v>
      </c>
      <c r="H144" s="10" t="s">
        <v>819</v>
      </c>
      <c r="I144" s="10" t="s">
        <v>26</v>
      </c>
      <c r="J144" s="10" t="s">
        <v>80</v>
      </c>
      <c r="K144" s="10"/>
      <c r="L144" s="10" t="s">
        <v>6</v>
      </c>
      <c r="M144" s="12">
        <f t="shared" si="16"/>
        <v>1</v>
      </c>
      <c r="N144" s="12">
        <v>1505000</v>
      </c>
      <c r="O144" s="12">
        <v>0</v>
      </c>
      <c r="P144" s="11">
        <v>1505000</v>
      </c>
      <c r="Q144" s="11">
        <f t="shared" si="18"/>
        <v>1505000</v>
      </c>
      <c r="R144" s="11">
        <v>0</v>
      </c>
      <c r="S144" s="11"/>
      <c r="T144" s="11">
        <v>0</v>
      </c>
      <c r="U144" s="11">
        <f t="shared" si="17"/>
        <v>1505000</v>
      </c>
      <c r="V144" s="42">
        <v>1</v>
      </c>
    </row>
    <row r="145" spans="1:22" s="36" customFormat="1" ht="15.45" x14ac:dyDescent="0.35">
      <c r="A145" s="19" t="s">
        <v>817</v>
      </c>
      <c r="B145" s="9">
        <v>45714</v>
      </c>
      <c r="C145" s="14" t="s">
        <v>810</v>
      </c>
      <c r="D145" s="10" t="s">
        <v>811</v>
      </c>
      <c r="E145" s="9">
        <v>45646</v>
      </c>
      <c r="F145" s="10" t="s">
        <v>808</v>
      </c>
      <c r="G145" s="10" t="s">
        <v>812</v>
      </c>
      <c r="H145" s="10" t="s">
        <v>819</v>
      </c>
      <c r="I145" s="10" t="s">
        <v>26</v>
      </c>
      <c r="J145" s="10" t="s">
        <v>80</v>
      </c>
      <c r="K145" s="10"/>
      <c r="L145" s="10" t="s">
        <v>16</v>
      </c>
      <c r="M145" s="12">
        <f t="shared" si="16"/>
        <v>1</v>
      </c>
      <c r="N145" s="12">
        <v>5950000</v>
      </c>
      <c r="O145" s="12">
        <v>0</v>
      </c>
      <c r="P145" s="11">
        <v>5950000</v>
      </c>
      <c r="Q145" s="11">
        <f t="shared" si="18"/>
        <v>5950000</v>
      </c>
      <c r="R145" s="11">
        <v>0</v>
      </c>
      <c r="S145" s="11"/>
      <c r="T145" s="11">
        <v>0</v>
      </c>
      <c r="U145" s="11">
        <f t="shared" si="17"/>
        <v>5950000</v>
      </c>
      <c r="V145" s="42">
        <v>1</v>
      </c>
    </row>
    <row r="146" spans="1:22" s="36" customFormat="1" ht="15.45" x14ac:dyDescent="0.35">
      <c r="A146" s="19" t="s">
        <v>864</v>
      </c>
      <c r="B146" s="9">
        <v>45715</v>
      </c>
      <c r="C146" s="14" t="s">
        <v>851</v>
      </c>
      <c r="D146" s="10" t="s">
        <v>852</v>
      </c>
      <c r="E146" s="9">
        <v>45714</v>
      </c>
      <c r="F146" s="10" t="s">
        <v>853</v>
      </c>
      <c r="G146" s="10" t="s">
        <v>854</v>
      </c>
      <c r="H146" s="10" t="s">
        <v>820</v>
      </c>
      <c r="I146" s="10" t="s">
        <v>24</v>
      </c>
      <c r="J146" s="10" t="s">
        <v>61</v>
      </c>
      <c r="K146" s="50" t="s">
        <v>980</v>
      </c>
      <c r="L146" s="10" t="s">
        <v>145</v>
      </c>
      <c r="M146" s="12">
        <f t="shared" si="16"/>
        <v>3</v>
      </c>
      <c r="N146" s="12">
        <v>1500000</v>
      </c>
      <c r="O146" s="12">
        <v>0</v>
      </c>
      <c r="P146" s="11">
        <v>4500000</v>
      </c>
      <c r="Q146" s="11">
        <f t="shared" si="18"/>
        <v>4500000</v>
      </c>
      <c r="R146" s="11">
        <v>495000</v>
      </c>
      <c r="S146" s="11"/>
      <c r="T146" s="11">
        <v>0</v>
      </c>
      <c r="U146" s="11">
        <f t="shared" si="17"/>
        <v>4995000</v>
      </c>
      <c r="V146" s="42">
        <v>3</v>
      </c>
    </row>
    <row r="147" spans="1:22" s="36" customFormat="1" ht="15.45" x14ac:dyDescent="0.35">
      <c r="A147" s="19" t="s">
        <v>864</v>
      </c>
      <c r="B147" s="9">
        <v>45715</v>
      </c>
      <c r="C147" s="14" t="s">
        <v>851</v>
      </c>
      <c r="D147" s="10" t="s">
        <v>852</v>
      </c>
      <c r="E147" s="9">
        <v>45714</v>
      </c>
      <c r="F147" s="10" t="s">
        <v>853</v>
      </c>
      <c r="G147" s="10" t="s">
        <v>855</v>
      </c>
      <c r="H147" s="10" t="s">
        <v>820</v>
      </c>
      <c r="I147" s="10" t="s">
        <v>24</v>
      </c>
      <c r="J147" s="10" t="s">
        <v>61</v>
      </c>
      <c r="K147" s="50" t="s">
        <v>980</v>
      </c>
      <c r="L147" s="10" t="s">
        <v>145</v>
      </c>
      <c r="M147" s="12">
        <f t="shared" si="16"/>
        <v>1</v>
      </c>
      <c r="N147" s="12">
        <v>925000</v>
      </c>
      <c r="O147" s="12">
        <v>0</v>
      </c>
      <c r="P147" s="11">
        <v>925000</v>
      </c>
      <c r="Q147" s="11">
        <f t="shared" si="18"/>
        <v>925000</v>
      </c>
      <c r="R147" s="11">
        <v>101750</v>
      </c>
      <c r="S147" s="11"/>
      <c r="T147" s="11">
        <v>0</v>
      </c>
      <c r="U147" s="11">
        <f t="shared" si="17"/>
        <v>1026750</v>
      </c>
      <c r="V147" s="42">
        <v>1</v>
      </c>
    </row>
    <row r="148" spans="1:22" s="36" customFormat="1" ht="15.45" x14ac:dyDescent="0.35">
      <c r="A148" s="19" t="s">
        <v>864</v>
      </c>
      <c r="B148" s="9">
        <v>45715</v>
      </c>
      <c r="C148" s="14" t="s">
        <v>856</v>
      </c>
      <c r="D148" s="10" t="s">
        <v>857</v>
      </c>
      <c r="E148" s="9">
        <v>45714</v>
      </c>
      <c r="F148" s="10" t="s">
        <v>853</v>
      </c>
      <c r="G148" s="10" t="s">
        <v>858</v>
      </c>
      <c r="H148" s="10" t="s">
        <v>820</v>
      </c>
      <c r="I148" s="10" t="s">
        <v>24</v>
      </c>
      <c r="J148" s="10" t="s">
        <v>61</v>
      </c>
      <c r="K148" s="50" t="s">
        <v>981</v>
      </c>
      <c r="L148" s="10" t="s">
        <v>124</v>
      </c>
      <c r="M148" s="12">
        <f t="shared" si="16"/>
        <v>1</v>
      </c>
      <c r="N148" s="12">
        <v>260000</v>
      </c>
      <c r="O148" s="12">
        <v>0</v>
      </c>
      <c r="P148" s="11">
        <v>260000</v>
      </c>
      <c r="Q148" s="11">
        <f t="shared" si="18"/>
        <v>260000</v>
      </c>
      <c r="R148" s="11">
        <v>28600</v>
      </c>
      <c r="S148" s="11"/>
      <c r="T148" s="11">
        <v>0</v>
      </c>
      <c r="U148" s="11">
        <f t="shared" si="17"/>
        <v>288600</v>
      </c>
      <c r="V148" s="42">
        <v>1</v>
      </c>
    </row>
    <row r="149" spans="1:22" s="36" customFormat="1" ht="15.45" x14ac:dyDescent="0.35">
      <c r="A149" s="19" t="s">
        <v>114</v>
      </c>
      <c r="B149" s="9">
        <v>45689</v>
      </c>
      <c r="C149" s="14" t="s">
        <v>441</v>
      </c>
      <c r="D149" s="10" t="s">
        <v>370</v>
      </c>
      <c r="E149" s="9">
        <v>45672</v>
      </c>
      <c r="F149" s="10" t="s">
        <v>71</v>
      </c>
      <c r="G149" s="10" t="s">
        <v>76</v>
      </c>
      <c r="H149" s="10" t="s">
        <v>978</v>
      </c>
      <c r="I149" s="10" t="s">
        <v>23</v>
      </c>
      <c r="J149" s="10" t="s">
        <v>45</v>
      </c>
      <c r="K149" s="50" t="s">
        <v>990</v>
      </c>
      <c r="L149" s="10" t="s">
        <v>1</v>
      </c>
      <c r="M149" s="12">
        <f t="shared" si="16"/>
        <v>500</v>
      </c>
      <c r="N149" s="12">
        <v>30072</v>
      </c>
      <c r="O149" s="12">
        <v>16255</v>
      </c>
      <c r="P149" s="11">
        <v>15036000</v>
      </c>
      <c r="Q149" s="11">
        <f t="shared" si="18"/>
        <v>15036000</v>
      </c>
      <c r="R149" s="11">
        <v>1653960</v>
      </c>
      <c r="S149" s="11"/>
      <c r="T149" s="11">
        <v>0</v>
      </c>
      <c r="U149" s="11">
        <f>Q149+R149-T149-S149</f>
        <v>16689960</v>
      </c>
      <c r="V149" s="42">
        <v>500</v>
      </c>
    </row>
    <row r="150" spans="1:22" s="36" customFormat="1" ht="15.45" x14ac:dyDescent="0.35">
      <c r="A150" s="19" t="s">
        <v>114</v>
      </c>
      <c r="B150" s="9">
        <v>45693</v>
      </c>
      <c r="C150" s="14" t="s">
        <v>466</v>
      </c>
      <c r="D150" s="10" t="s">
        <v>370</v>
      </c>
      <c r="E150" s="9">
        <v>45672</v>
      </c>
      <c r="F150" s="10" t="s">
        <v>71</v>
      </c>
      <c r="G150" s="10" t="s">
        <v>76</v>
      </c>
      <c r="H150" s="10" t="s">
        <v>978</v>
      </c>
      <c r="I150" s="10" t="s">
        <v>23</v>
      </c>
      <c r="J150" s="10" t="s">
        <v>45</v>
      </c>
      <c r="K150" s="50" t="s">
        <v>983</v>
      </c>
      <c r="L150" s="10" t="s">
        <v>1</v>
      </c>
      <c r="M150" s="12">
        <f t="shared" si="16"/>
        <v>500</v>
      </c>
      <c r="N150" s="12">
        <v>30072</v>
      </c>
      <c r="O150" s="12">
        <v>16255</v>
      </c>
      <c r="P150" s="11">
        <v>15036000</v>
      </c>
      <c r="Q150" s="11">
        <f t="shared" si="18"/>
        <v>15036000</v>
      </c>
      <c r="R150" s="11">
        <v>1653960</v>
      </c>
      <c r="S150" s="11"/>
      <c r="T150" s="11">
        <v>0</v>
      </c>
      <c r="U150" s="11">
        <f>Q150+R150-T150-S150</f>
        <v>16689960</v>
      </c>
      <c r="V150" s="42">
        <v>500</v>
      </c>
    </row>
    <row r="151" spans="1:22" s="36" customFormat="1" ht="15.45" x14ac:dyDescent="0.35">
      <c r="A151" s="19" t="s">
        <v>114</v>
      </c>
      <c r="B151" s="9">
        <v>45698</v>
      </c>
      <c r="C151" s="14" t="s">
        <v>579</v>
      </c>
      <c r="D151" s="10" t="s">
        <v>580</v>
      </c>
      <c r="E151" s="9">
        <v>45693</v>
      </c>
      <c r="F151" s="10" t="s">
        <v>71</v>
      </c>
      <c r="G151" s="10" t="s">
        <v>76</v>
      </c>
      <c r="H151" s="10" t="s">
        <v>978</v>
      </c>
      <c r="I151" s="10" t="s">
        <v>23</v>
      </c>
      <c r="J151" s="10" t="s">
        <v>45</v>
      </c>
      <c r="K151" s="50" t="s">
        <v>984</v>
      </c>
      <c r="L151" s="10" t="s">
        <v>1</v>
      </c>
      <c r="M151" s="12">
        <f t="shared" si="16"/>
        <v>500</v>
      </c>
      <c r="N151" s="12">
        <v>30155</v>
      </c>
      <c r="O151" s="12">
        <v>16300</v>
      </c>
      <c r="P151" s="11">
        <v>15077500</v>
      </c>
      <c r="Q151" s="11">
        <f t="shared" si="18"/>
        <v>15077500</v>
      </c>
      <c r="R151" s="11">
        <v>1658525</v>
      </c>
      <c r="S151" s="11"/>
      <c r="T151" s="11">
        <v>0</v>
      </c>
      <c r="U151" s="11">
        <f t="shared" ref="U151:U160" si="19">Q151+R151-T151</f>
        <v>16736025</v>
      </c>
      <c r="V151" s="42">
        <v>500</v>
      </c>
    </row>
    <row r="152" spans="1:22" s="36" customFormat="1" ht="15.45" x14ac:dyDescent="0.35">
      <c r="A152" s="19" t="s">
        <v>114</v>
      </c>
      <c r="B152" s="9">
        <v>45700</v>
      </c>
      <c r="C152" s="14" t="s">
        <v>611</v>
      </c>
      <c r="D152" s="10" t="s">
        <v>580</v>
      </c>
      <c r="E152" s="9">
        <v>45693</v>
      </c>
      <c r="F152" s="10" t="s">
        <v>71</v>
      </c>
      <c r="G152" s="10" t="s">
        <v>76</v>
      </c>
      <c r="H152" s="10" t="s">
        <v>978</v>
      </c>
      <c r="I152" s="10" t="s">
        <v>23</v>
      </c>
      <c r="J152" s="10" t="s">
        <v>45</v>
      </c>
      <c r="K152" s="50" t="s">
        <v>985</v>
      </c>
      <c r="L152" s="10" t="s">
        <v>1</v>
      </c>
      <c r="M152" s="12">
        <f t="shared" si="16"/>
        <v>500</v>
      </c>
      <c r="N152" s="12">
        <v>30155</v>
      </c>
      <c r="O152" s="12">
        <v>16300</v>
      </c>
      <c r="P152" s="11">
        <v>15077500</v>
      </c>
      <c r="Q152" s="11">
        <f t="shared" si="18"/>
        <v>15077500</v>
      </c>
      <c r="R152" s="11">
        <v>1658525</v>
      </c>
      <c r="S152" s="11"/>
      <c r="T152" s="11">
        <v>0</v>
      </c>
      <c r="U152" s="11">
        <f t="shared" si="19"/>
        <v>16736025</v>
      </c>
      <c r="V152" s="42">
        <v>500</v>
      </c>
    </row>
    <row r="153" spans="1:22" s="36" customFormat="1" ht="15.45" x14ac:dyDescent="0.35">
      <c r="A153" s="19" t="s">
        <v>114</v>
      </c>
      <c r="B153" s="9">
        <v>45702</v>
      </c>
      <c r="C153" s="14" t="s">
        <v>643</v>
      </c>
      <c r="D153" s="10" t="s">
        <v>580</v>
      </c>
      <c r="E153" s="9">
        <v>45693</v>
      </c>
      <c r="F153" s="10" t="s">
        <v>71</v>
      </c>
      <c r="G153" s="10" t="s">
        <v>76</v>
      </c>
      <c r="H153" s="10" t="s">
        <v>978</v>
      </c>
      <c r="I153" s="10" t="s">
        <v>23</v>
      </c>
      <c r="J153" s="10" t="s">
        <v>45</v>
      </c>
      <c r="K153" s="50" t="s">
        <v>986</v>
      </c>
      <c r="L153" s="10" t="s">
        <v>1</v>
      </c>
      <c r="M153" s="12">
        <f t="shared" si="16"/>
        <v>500</v>
      </c>
      <c r="N153" s="12">
        <v>30155</v>
      </c>
      <c r="O153" s="12">
        <v>16300</v>
      </c>
      <c r="P153" s="11">
        <v>15077500</v>
      </c>
      <c r="Q153" s="11">
        <f t="shared" si="18"/>
        <v>15077500</v>
      </c>
      <c r="R153" s="11">
        <v>1658525</v>
      </c>
      <c r="S153" s="11"/>
      <c r="T153" s="11">
        <v>0</v>
      </c>
      <c r="U153" s="11">
        <f t="shared" si="19"/>
        <v>16736025</v>
      </c>
      <c r="V153" s="42">
        <v>500</v>
      </c>
    </row>
    <row r="154" spans="1:22" s="36" customFormat="1" ht="15.45" x14ac:dyDescent="0.35">
      <c r="A154" s="19" t="s">
        <v>114</v>
      </c>
      <c r="B154" s="9">
        <v>45706</v>
      </c>
      <c r="C154" s="14" t="s">
        <v>663</v>
      </c>
      <c r="D154" s="10" t="s">
        <v>580</v>
      </c>
      <c r="E154" s="9">
        <v>45693</v>
      </c>
      <c r="F154" s="10" t="s">
        <v>71</v>
      </c>
      <c r="G154" s="10" t="s">
        <v>76</v>
      </c>
      <c r="H154" s="10" t="s">
        <v>978</v>
      </c>
      <c r="I154" s="10" t="s">
        <v>23</v>
      </c>
      <c r="J154" s="10" t="s">
        <v>45</v>
      </c>
      <c r="K154" s="50" t="s">
        <v>987</v>
      </c>
      <c r="L154" s="10" t="s">
        <v>1</v>
      </c>
      <c r="M154" s="12">
        <f t="shared" si="16"/>
        <v>500</v>
      </c>
      <c r="N154" s="12">
        <v>30155</v>
      </c>
      <c r="O154" s="12">
        <v>16300</v>
      </c>
      <c r="P154" s="11">
        <v>15077500</v>
      </c>
      <c r="Q154" s="11">
        <f t="shared" si="18"/>
        <v>15077500</v>
      </c>
      <c r="R154" s="11">
        <v>1658525</v>
      </c>
      <c r="S154" s="11"/>
      <c r="T154" s="11">
        <v>0</v>
      </c>
      <c r="U154" s="11">
        <f t="shared" si="19"/>
        <v>16736025</v>
      </c>
      <c r="V154" s="42">
        <v>500</v>
      </c>
    </row>
    <row r="155" spans="1:22" s="36" customFormat="1" ht="15.45" x14ac:dyDescent="0.35">
      <c r="A155" s="19" t="s">
        <v>150</v>
      </c>
      <c r="B155" s="9">
        <v>45715</v>
      </c>
      <c r="C155" s="14" t="s">
        <v>836</v>
      </c>
      <c r="D155" s="10" t="s">
        <v>837</v>
      </c>
      <c r="E155" s="9">
        <v>45715</v>
      </c>
      <c r="F155" s="10" t="s">
        <v>147</v>
      </c>
      <c r="G155" s="10" t="s">
        <v>838</v>
      </c>
      <c r="H155" s="10" t="s">
        <v>820</v>
      </c>
      <c r="I155" s="10" t="s">
        <v>24</v>
      </c>
      <c r="J155" s="10" t="s">
        <v>61</v>
      </c>
      <c r="K155" s="10"/>
      <c r="L155" s="10" t="s">
        <v>839</v>
      </c>
      <c r="M155" s="12">
        <f t="shared" si="16"/>
        <v>20</v>
      </c>
      <c r="N155" s="12">
        <v>27500</v>
      </c>
      <c r="O155" s="12">
        <v>0</v>
      </c>
      <c r="P155" s="11">
        <v>550000</v>
      </c>
      <c r="Q155" s="11">
        <f t="shared" si="18"/>
        <v>550000</v>
      </c>
      <c r="R155" s="11">
        <v>0</v>
      </c>
      <c r="S155" s="11"/>
      <c r="T155" s="11">
        <v>0</v>
      </c>
      <c r="U155" s="11">
        <f t="shared" si="19"/>
        <v>550000</v>
      </c>
      <c r="V155" s="42">
        <v>20</v>
      </c>
    </row>
    <row r="156" spans="1:22" s="36" customFormat="1" ht="15.45" x14ac:dyDescent="0.35">
      <c r="A156" s="19" t="s">
        <v>113</v>
      </c>
      <c r="B156" s="9">
        <v>45715</v>
      </c>
      <c r="C156" s="14" t="s">
        <v>840</v>
      </c>
      <c r="D156" s="10" t="s">
        <v>841</v>
      </c>
      <c r="E156" s="9">
        <v>45715</v>
      </c>
      <c r="F156" s="10" t="s">
        <v>42</v>
      </c>
      <c r="G156" s="10" t="s">
        <v>842</v>
      </c>
      <c r="H156" s="10" t="s">
        <v>820</v>
      </c>
      <c r="I156" s="10" t="s">
        <v>24</v>
      </c>
      <c r="J156" s="10" t="s">
        <v>61</v>
      </c>
      <c r="K156" s="10"/>
      <c r="L156" s="10" t="s">
        <v>6</v>
      </c>
      <c r="M156" s="12">
        <f t="shared" si="16"/>
        <v>5</v>
      </c>
      <c r="N156" s="12">
        <v>65000</v>
      </c>
      <c r="O156" s="12">
        <v>0</v>
      </c>
      <c r="P156" s="11">
        <v>325000</v>
      </c>
      <c r="Q156" s="11">
        <f t="shared" si="18"/>
        <v>325000</v>
      </c>
      <c r="R156" s="11">
        <v>0</v>
      </c>
      <c r="S156" s="11"/>
      <c r="T156" s="11">
        <v>0</v>
      </c>
      <c r="U156" s="11">
        <f t="shared" si="19"/>
        <v>325000</v>
      </c>
      <c r="V156" s="42">
        <v>5</v>
      </c>
    </row>
    <row r="157" spans="1:22" s="36" customFormat="1" ht="15.45" x14ac:dyDescent="0.35">
      <c r="A157" s="19" t="s">
        <v>113</v>
      </c>
      <c r="B157" s="9">
        <v>45715</v>
      </c>
      <c r="C157" s="14" t="s">
        <v>840</v>
      </c>
      <c r="D157" s="10" t="s">
        <v>841</v>
      </c>
      <c r="E157" s="9">
        <v>45715</v>
      </c>
      <c r="F157" s="10" t="s">
        <v>42</v>
      </c>
      <c r="G157" s="10" t="s">
        <v>553</v>
      </c>
      <c r="H157" s="10" t="s">
        <v>820</v>
      </c>
      <c r="I157" s="10" t="s">
        <v>24</v>
      </c>
      <c r="J157" s="10" t="s">
        <v>61</v>
      </c>
      <c r="K157" s="10"/>
      <c r="L157" s="10" t="s">
        <v>8</v>
      </c>
      <c r="M157" s="12">
        <f t="shared" si="16"/>
        <v>10</v>
      </c>
      <c r="N157" s="12">
        <v>45000</v>
      </c>
      <c r="O157" s="12">
        <v>0</v>
      </c>
      <c r="P157" s="11">
        <v>450000</v>
      </c>
      <c r="Q157" s="11">
        <f t="shared" si="18"/>
        <v>450000</v>
      </c>
      <c r="R157" s="11">
        <v>0</v>
      </c>
      <c r="S157" s="11"/>
      <c r="T157" s="11">
        <v>0</v>
      </c>
      <c r="U157" s="11">
        <f t="shared" si="19"/>
        <v>450000</v>
      </c>
      <c r="V157" s="42">
        <v>10</v>
      </c>
    </row>
    <row r="158" spans="1:22" s="36" customFormat="1" ht="15.45" x14ac:dyDescent="0.35">
      <c r="A158" s="19" t="s">
        <v>132</v>
      </c>
      <c r="B158" s="9">
        <v>45715</v>
      </c>
      <c r="C158" s="14" t="s">
        <v>843</v>
      </c>
      <c r="D158" s="10" t="s">
        <v>844</v>
      </c>
      <c r="E158" s="9">
        <v>45715</v>
      </c>
      <c r="F158" s="10" t="s">
        <v>129</v>
      </c>
      <c r="G158" s="10" t="s">
        <v>90</v>
      </c>
      <c r="H158" s="10" t="s">
        <v>820</v>
      </c>
      <c r="I158" s="10" t="s">
        <v>24</v>
      </c>
      <c r="J158" s="10" t="s">
        <v>61</v>
      </c>
      <c r="K158" s="10"/>
      <c r="L158" s="10" t="s">
        <v>6</v>
      </c>
      <c r="M158" s="12">
        <f t="shared" si="16"/>
        <v>60</v>
      </c>
      <c r="N158" s="12">
        <v>3250</v>
      </c>
      <c r="O158" s="12">
        <v>0</v>
      </c>
      <c r="P158" s="11">
        <v>195000</v>
      </c>
      <c r="Q158" s="11">
        <f t="shared" si="18"/>
        <v>195000</v>
      </c>
      <c r="R158" s="11">
        <v>0</v>
      </c>
      <c r="S158" s="11"/>
      <c r="T158" s="11">
        <v>0</v>
      </c>
      <c r="U158" s="11">
        <f t="shared" si="19"/>
        <v>195000</v>
      </c>
      <c r="V158" s="42">
        <v>60</v>
      </c>
    </row>
    <row r="159" spans="1:22" s="36" customFormat="1" ht="15.45" x14ac:dyDescent="0.35">
      <c r="A159" s="19" t="s">
        <v>116</v>
      </c>
      <c r="B159" s="9">
        <v>45715</v>
      </c>
      <c r="C159" s="14" t="s">
        <v>845</v>
      </c>
      <c r="D159" s="10" t="s">
        <v>846</v>
      </c>
      <c r="E159" s="9">
        <v>45715</v>
      </c>
      <c r="F159" s="10" t="s">
        <v>40</v>
      </c>
      <c r="G159" s="10" t="s">
        <v>847</v>
      </c>
      <c r="H159" s="10" t="s">
        <v>820</v>
      </c>
      <c r="I159" s="10" t="s">
        <v>24</v>
      </c>
      <c r="J159" s="10" t="s">
        <v>61</v>
      </c>
      <c r="K159" s="10"/>
      <c r="L159" s="10" t="s">
        <v>6</v>
      </c>
      <c r="M159" s="12">
        <f t="shared" si="16"/>
        <v>2</v>
      </c>
      <c r="N159" s="12">
        <v>465000</v>
      </c>
      <c r="O159" s="12">
        <v>0</v>
      </c>
      <c r="P159" s="11">
        <v>930000</v>
      </c>
      <c r="Q159" s="11">
        <f t="shared" si="18"/>
        <v>930000</v>
      </c>
      <c r="R159" s="11">
        <v>0</v>
      </c>
      <c r="S159" s="11"/>
      <c r="T159" s="11">
        <v>0</v>
      </c>
      <c r="U159" s="11">
        <f t="shared" si="19"/>
        <v>930000</v>
      </c>
      <c r="V159" s="42">
        <v>2</v>
      </c>
    </row>
    <row r="160" spans="1:22" s="36" customFormat="1" ht="15.45" x14ac:dyDescent="0.35">
      <c r="A160" s="19" t="s">
        <v>111</v>
      </c>
      <c r="B160" s="9">
        <v>45715</v>
      </c>
      <c r="C160" s="14" t="s">
        <v>848</v>
      </c>
      <c r="D160" s="10" t="s">
        <v>849</v>
      </c>
      <c r="E160" s="9">
        <v>45715</v>
      </c>
      <c r="F160" s="10" t="s">
        <v>55</v>
      </c>
      <c r="G160" s="10" t="s">
        <v>850</v>
      </c>
      <c r="H160" s="10" t="s">
        <v>820</v>
      </c>
      <c r="I160" s="10" t="s">
        <v>24</v>
      </c>
      <c r="J160" s="10" t="s">
        <v>61</v>
      </c>
      <c r="K160" s="10"/>
      <c r="L160" s="10" t="s">
        <v>6</v>
      </c>
      <c r="M160" s="12">
        <f t="shared" si="16"/>
        <v>10</v>
      </c>
      <c r="N160" s="12">
        <v>60000</v>
      </c>
      <c r="O160" s="12">
        <v>0</v>
      </c>
      <c r="P160" s="11">
        <v>600000</v>
      </c>
      <c r="Q160" s="11">
        <f t="shared" si="18"/>
        <v>600000</v>
      </c>
      <c r="R160" s="11">
        <v>0</v>
      </c>
      <c r="S160" s="11"/>
      <c r="T160" s="11">
        <v>0</v>
      </c>
      <c r="U160" s="11">
        <f t="shared" si="19"/>
        <v>600000</v>
      </c>
      <c r="V160" s="42">
        <v>10</v>
      </c>
    </row>
    <row r="161" spans="1:24" s="36" customFormat="1" ht="15.45" x14ac:dyDescent="0.35">
      <c r="A161" s="19" t="s">
        <v>114</v>
      </c>
      <c r="B161" s="9">
        <v>45709</v>
      </c>
      <c r="C161" s="14" t="s">
        <v>754</v>
      </c>
      <c r="D161" s="10" t="s">
        <v>580</v>
      </c>
      <c r="E161" s="9">
        <v>45693</v>
      </c>
      <c r="F161" s="10" t="s">
        <v>71</v>
      </c>
      <c r="G161" s="10" t="s">
        <v>76</v>
      </c>
      <c r="H161" s="10" t="s">
        <v>978</v>
      </c>
      <c r="I161" s="10" t="s">
        <v>23</v>
      </c>
      <c r="J161" s="10" t="s">
        <v>45</v>
      </c>
      <c r="K161" s="50" t="s">
        <v>988</v>
      </c>
      <c r="L161" s="10" t="s">
        <v>1</v>
      </c>
      <c r="M161" s="12">
        <f t="shared" si="16"/>
        <v>500</v>
      </c>
      <c r="N161" s="12">
        <v>30155</v>
      </c>
      <c r="O161" s="12">
        <v>16300</v>
      </c>
      <c r="P161" s="11">
        <v>15077500</v>
      </c>
      <c r="Q161" s="11">
        <f t="shared" si="18"/>
        <v>15077500</v>
      </c>
      <c r="R161" s="11">
        <v>1658525</v>
      </c>
      <c r="S161" s="11">
        <v>0</v>
      </c>
      <c r="T161" s="59"/>
      <c r="U161" s="11">
        <f>Q161+R161-S161</f>
        <v>16736025</v>
      </c>
      <c r="V161" s="42">
        <v>500</v>
      </c>
    </row>
    <row r="162" spans="1:24" s="36" customFormat="1" ht="15.45" x14ac:dyDescent="0.35">
      <c r="A162" s="19" t="s">
        <v>114</v>
      </c>
      <c r="B162" s="9">
        <v>45714</v>
      </c>
      <c r="C162" s="14" t="s">
        <v>813</v>
      </c>
      <c r="D162" s="10" t="s">
        <v>580</v>
      </c>
      <c r="E162" s="9">
        <v>45693</v>
      </c>
      <c r="F162" s="10" t="s">
        <v>71</v>
      </c>
      <c r="G162" s="10" t="s">
        <v>76</v>
      </c>
      <c r="H162" s="10" t="s">
        <v>978</v>
      </c>
      <c r="I162" s="10" t="s">
        <v>23</v>
      </c>
      <c r="J162" s="10" t="s">
        <v>45</v>
      </c>
      <c r="K162" s="50" t="s">
        <v>989</v>
      </c>
      <c r="L162" s="10" t="s">
        <v>1</v>
      </c>
      <c r="M162" s="12">
        <f t="shared" si="16"/>
        <v>500</v>
      </c>
      <c r="N162" s="12">
        <v>30155</v>
      </c>
      <c r="O162" s="12">
        <v>16300</v>
      </c>
      <c r="P162" s="11">
        <v>15077500</v>
      </c>
      <c r="Q162" s="11">
        <f t="shared" si="18"/>
        <v>15077500</v>
      </c>
      <c r="R162" s="11">
        <v>1658525</v>
      </c>
      <c r="S162" s="11"/>
      <c r="T162" s="11">
        <v>0</v>
      </c>
      <c r="U162" s="11">
        <f>Q162+R162-T162</f>
        <v>16736025</v>
      </c>
      <c r="V162" s="42">
        <v>500</v>
      </c>
    </row>
    <row r="163" spans="1:24" s="36" customFormat="1" ht="15.45" x14ac:dyDescent="0.35">
      <c r="A163" s="19" t="s">
        <v>115</v>
      </c>
      <c r="B163" s="9">
        <v>45690</v>
      </c>
      <c r="C163" s="14" t="s">
        <v>442</v>
      </c>
      <c r="D163" s="10" t="s">
        <v>443</v>
      </c>
      <c r="E163" s="9">
        <v>45688</v>
      </c>
      <c r="F163" s="10" t="s">
        <v>81</v>
      </c>
      <c r="G163" s="10" t="s">
        <v>89</v>
      </c>
      <c r="H163" s="10" t="s">
        <v>818</v>
      </c>
      <c r="I163" s="10" t="s">
        <v>25</v>
      </c>
      <c r="J163" s="10" t="s">
        <v>79</v>
      </c>
      <c r="K163" s="50" t="s">
        <v>777</v>
      </c>
      <c r="L163" s="10" t="s">
        <v>1</v>
      </c>
      <c r="M163" s="12">
        <f t="shared" si="16"/>
        <v>31360</v>
      </c>
      <c r="N163" s="12">
        <v>1565</v>
      </c>
      <c r="O163" s="12">
        <v>0</v>
      </c>
      <c r="P163" s="11">
        <v>49078400</v>
      </c>
      <c r="Q163" s="11">
        <f t="shared" si="18"/>
        <v>49078400</v>
      </c>
      <c r="R163" s="11">
        <v>5398624</v>
      </c>
      <c r="S163" s="11">
        <f t="shared" ref="S163:S168" si="20">Q163*1.5%</f>
        <v>736176</v>
      </c>
      <c r="T163" s="11">
        <v>0</v>
      </c>
      <c r="U163" s="11">
        <f t="shared" ref="U163:U169" si="21">Q163+R163-T163-S163</f>
        <v>53740848</v>
      </c>
      <c r="V163" s="42">
        <v>31360</v>
      </c>
    </row>
    <row r="164" spans="1:24" s="36" customFormat="1" ht="15.45" x14ac:dyDescent="0.35">
      <c r="A164" s="19" t="s">
        <v>115</v>
      </c>
      <c r="B164" s="9">
        <v>45697</v>
      </c>
      <c r="C164" s="14" t="s">
        <v>573</v>
      </c>
      <c r="D164" s="10" t="s">
        <v>443</v>
      </c>
      <c r="E164" s="9">
        <v>45688</v>
      </c>
      <c r="F164" s="10" t="s">
        <v>81</v>
      </c>
      <c r="G164" s="10" t="s">
        <v>89</v>
      </c>
      <c r="H164" s="10" t="s">
        <v>818</v>
      </c>
      <c r="I164" s="10" t="s">
        <v>25</v>
      </c>
      <c r="J164" s="10" t="s">
        <v>79</v>
      </c>
      <c r="K164" s="50" t="s">
        <v>1131</v>
      </c>
      <c r="L164" s="10" t="s">
        <v>1</v>
      </c>
      <c r="M164" s="12">
        <f t="shared" si="16"/>
        <v>30740</v>
      </c>
      <c r="N164" s="12">
        <v>1565</v>
      </c>
      <c r="O164" s="12">
        <v>0</v>
      </c>
      <c r="P164" s="11">
        <v>48108100</v>
      </c>
      <c r="Q164" s="11">
        <f t="shared" si="18"/>
        <v>48108100</v>
      </c>
      <c r="R164" s="11">
        <v>5291891</v>
      </c>
      <c r="S164" s="11">
        <f t="shared" si="20"/>
        <v>721621.5</v>
      </c>
      <c r="T164" s="11">
        <v>0</v>
      </c>
      <c r="U164" s="11">
        <f t="shared" si="21"/>
        <v>52678369.5</v>
      </c>
      <c r="V164" s="42">
        <v>30740</v>
      </c>
    </row>
    <row r="165" spans="1:24" s="36" customFormat="1" ht="15.45" x14ac:dyDescent="0.35">
      <c r="A165" s="19" t="s">
        <v>115</v>
      </c>
      <c r="B165" s="9">
        <v>45699</v>
      </c>
      <c r="C165" s="14" t="s">
        <v>604</v>
      </c>
      <c r="D165" s="10" t="s">
        <v>443</v>
      </c>
      <c r="E165" s="9">
        <v>45688</v>
      </c>
      <c r="F165" s="10" t="s">
        <v>81</v>
      </c>
      <c r="G165" s="10" t="s">
        <v>89</v>
      </c>
      <c r="H165" s="10" t="s">
        <v>818</v>
      </c>
      <c r="I165" s="10" t="s">
        <v>25</v>
      </c>
      <c r="J165" s="10" t="s">
        <v>79</v>
      </c>
      <c r="K165" s="50" t="s">
        <v>1131</v>
      </c>
      <c r="L165" s="10" t="s">
        <v>1</v>
      </c>
      <c r="M165" s="12">
        <f t="shared" si="16"/>
        <v>32220</v>
      </c>
      <c r="N165" s="12">
        <v>1565</v>
      </c>
      <c r="O165" s="12">
        <v>0</v>
      </c>
      <c r="P165" s="11">
        <v>50424300</v>
      </c>
      <c r="Q165" s="11">
        <f t="shared" si="18"/>
        <v>50424300</v>
      </c>
      <c r="R165" s="11">
        <v>5546673</v>
      </c>
      <c r="S165" s="11">
        <f t="shared" si="20"/>
        <v>756364.5</v>
      </c>
      <c r="T165" s="11">
        <v>0</v>
      </c>
      <c r="U165" s="11">
        <f t="shared" si="21"/>
        <v>55214608.5</v>
      </c>
      <c r="V165" s="42">
        <v>32220</v>
      </c>
    </row>
    <row r="166" spans="1:24" s="36" customFormat="1" ht="15.45" x14ac:dyDescent="0.35">
      <c r="A166" s="19" t="s">
        <v>115</v>
      </c>
      <c r="B166" s="9">
        <v>45705</v>
      </c>
      <c r="C166" s="14" t="s">
        <v>662</v>
      </c>
      <c r="D166" s="10" t="s">
        <v>443</v>
      </c>
      <c r="E166" s="9">
        <v>45688</v>
      </c>
      <c r="F166" s="10" t="s">
        <v>81</v>
      </c>
      <c r="G166" s="10" t="s">
        <v>89</v>
      </c>
      <c r="H166" s="10" t="s">
        <v>818</v>
      </c>
      <c r="I166" s="10" t="s">
        <v>25</v>
      </c>
      <c r="J166" s="10" t="s">
        <v>79</v>
      </c>
      <c r="K166" s="50" t="s">
        <v>1132</v>
      </c>
      <c r="L166" s="10" t="s">
        <v>1</v>
      </c>
      <c r="M166" s="12">
        <f t="shared" si="16"/>
        <v>30520</v>
      </c>
      <c r="N166" s="12">
        <v>1565</v>
      </c>
      <c r="O166" s="12">
        <v>0</v>
      </c>
      <c r="P166" s="11">
        <v>47763800</v>
      </c>
      <c r="Q166" s="11">
        <f t="shared" si="18"/>
        <v>47763800</v>
      </c>
      <c r="R166" s="11">
        <v>5254018</v>
      </c>
      <c r="S166" s="11">
        <f t="shared" si="20"/>
        <v>716457</v>
      </c>
      <c r="T166" s="11">
        <v>0</v>
      </c>
      <c r="U166" s="11">
        <f t="shared" si="21"/>
        <v>52301361</v>
      </c>
      <c r="V166" s="42">
        <v>30520</v>
      </c>
    </row>
    <row r="167" spans="1:24" customFormat="1" ht="15.45" x14ac:dyDescent="0.4">
      <c r="A167" s="19" t="s">
        <v>115</v>
      </c>
      <c r="B167" s="9">
        <v>45709</v>
      </c>
      <c r="C167" s="14" t="s">
        <v>765</v>
      </c>
      <c r="D167" s="10" t="s">
        <v>443</v>
      </c>
      <c r="E167" s="9">
        <v>45688</v>
      </c>
      <c r="F167" s="10" t="s">
        <v>81</v>
      </c>
      <c r="G167" s="10" t="s">
        <v>89</v>
      </c>
      <c r="H167" s="10" t="s">
        <v>818</v>
      </c>
      <c r="I167" s="10" t="s">
        <v>25</v>
      </c>
      <c r="J167" s="10" t="s">
        <v>79</v>
      </c>
      <c r="K167" s="50" t="s">
        <v>1132</v>
      </c>
      <c r="L167" s="10" t="s">
        <v>1</v>
      </c>
      <c r="M167" s="12">
        <f t="shared" si="16"/>
        <v>30560</v>
      </c>
      <c r="N167" s="12">
        <v>1565</v>
      </c>
      <c r="O167" s="12">
        <v>0</v>
      </c>
      <c r="P167" s="11">
        <v>47826400</v>
      </c>
      <c r="Q167" s="11">
        <f t="shared" si="18"/>
        <v>47826400</v>
      </c>
      <c r="R167" s="11">
        <v>5260904</v>
      </c>
      <c r="S167" s="11">
        <f t="shared" si="20"/>
        <v>717396</v>
      </c>
      <c r="T167" s="11">
        <v>0</v>
      </c>
      <c r="U167" s="11">
        <f t="shared" si="21"/>
        <v>52369908</v>
      </c>
      <c r="V167" s="42">
        <v>30560</v>
      </c>
      <c r="W167" s="36"/>
      <c r="X167" s="36"/>
    </row>
    <row r="168" spans="1:24" customFormat="1" ht="15.45" x14ac:dyDescent="0.4">
      <c r="A168" s="19" t="s">
        <v>115</v>
      </c>
      <c r="B168" s="9">
        <v>45714</v>
      </c>
      <c r="C168" s="14" t="s">
        <v>822</v>
      </c>
      <c r="D168" s="10" t="s">
        <v>443</v>
      </c>
      <c r="E168" s="9">
        <v>45688</v>
      </c>
      <c r="F168" s="10" t="s">
        <v>81</v>
      </c>
      <c r="G168" s="10" t="s">
        <v>89</v>
      </c>
      <c r="H168" s="10" t="s">
        <v>818</v>
      </c>
      <c r="I168" s="10" t="s">
        <v>25</v>
      </c>
      <c r="J168" s="10" t="s">
        <v>79</v>
      </c>
      <c r="K168" s="50" t="s">
        <v>1133</v>
      </c>
      <c r="L168" s="10" t="s">
        <v>1</v>
      </c>
      <c r="M168" s="12">
        <f t="shared" si="16"/>
        <v>31230</v>
      </c>
      <c r="N168" s="12">
        <v>1565</v>
      </c>
      <c r="O168" s="12">
        <v>0</v>
      </c>
      <c r="P168" s="11">
        <v>48874950</v>
      </c>
      <c r="Q168" s="11">
        <f t="shared" ref="Q168:Q183" si="22">P168</f>
        <v>48874950</v>
      </c>
      <c r="R168" s="11">
        <v>5376244.5</v>
      </c>
      <c r="S168" s="11">
        <f t="shared" si="20"/>
        <v>733124.25</v>
      </c>
      <c r="T168" s="11">
        <v>0</v>
      </c>
      <c r="U168" s="11">
        <f t="shared" si="21"/>
        <v>53518070.25</v>
      </c>
      <c r="V168" s="42">
        <v>31230</v>
      </c>
      <c r="W168" s="36"/>
      <c r="X168" s="36"/>
    </row>
    <row r="169" spans="1:24" customFormat="1" ht="15.45" x14ac:dyDescent="0.4">
      <c r="A169" s="19" t="s">
        <v>894</v>
      </c>
      <c r="B169" s="21">
        <v>45709</v>
      </c>
      <c r="C169" s="22"/>
      <c r="D169" s="23"/>
      <c r="E169" s="21"/>
      <c r="F169" s="23" t="s">
        <v>882</v>
      </c>
      <c r="G169" s="23" t="s">
        <v>883</v>
      </c>
      <c r="H169" s="23" t="s">
        <v>819</v>
      </c>
      <c r="I169" s="23" t="s">
        <v>513</v>
      </c>
      <c r="J169" s="23" t="s">
        <v>514</v>
      </c>
      <c r="K169" s="46"/>
      <c r="L169" s="23" t="s">
        <v>6</v>
      </c>
      <c r="M169" s="24">
        <v>3</v>
      </c>
      <c r="N169" s="31">
        <v>360000</v>
      </c>
      <c r="O169" s="24">
        <v>0</v>
      </c>
      <c r="P169" s="25">
        <f>M169*N169</f>
        <v>1080000</v>
      </c>
      <c r="Q169" s="25">
        <f t="shared" si="22"/>
        <v>1080000</v>
      </c>
      <c r="R169" s="25">
        <f>Q169*0.11</f>
        <v>118800</v>
      </c>
      <c r="S169" s="25"/>
      <c r="T169" s="25"/>
      <c r="U169" s="11">
        <f t="shared" si="21"/>
        <v>1198800</v>
      </c>
      <c r="V169" s="33"/>
      <c r="W169" s="30"/>
      <c r="X169" s="30"/>
    </row>
    <row r="170" spans="1:24" customFormat="1" ht="15.45" x14ac:dyDescent="0.4">
      <c r="A170" s="19" t="s">
        <v>148</v>
      </c>
      <c r="B170" s="9">
        <v>45705</v>
      </c>
      <c r="C170" s="14" t="s">
        <v>655</v>
      </c>
      <c r="D170" s="10" t="s">
        <v>656</v>
      </c>
      <c r="E170" s="9">
        <v>45700</v>
      </c>
      <c r="F170" s="10" t="s">
        <v>141</v>
      </c>
      <c r="G170" s="10" t="s">
        <v>142</v>
      </c>
      <c r="H170" s="10" t="s">
        <v>887</v>
      </c>
      <c r="I170" s="10" t="s">
        <v>23</v>
      </c>
      <c r="J170" s="10" t="s">
        <v>45</v>
      </c>
      <c r="K170" s="50" t="s">
        <v>955</v>
      </c>
      <c r="L170" s="10" t="s">
        <v>1</v>
      </c>
      <c r="M170" s="12">
        <f>IF(LEFT(C170,2)="RP",V170*-1,V170)</f>
        <v>500</v>
      </c>
      <c r="N170" s="12">
        <v>14750</v>
      </c>
      <c r="O170" s="12">
        <v>0</v>
      </c>
      <c r="P170" s="11">
        <v>7375000</v>
      </c>
      <c r="Q170" s="11">
        <f t="shared" si="22"/>
        <v>7375000</v>
      </c>
      <c r="R170" s="11">
        <v>811250</v>
      </c>
      <c r="S170" s="11"/>
      <c r="T170" s="11">
        <v>0</v>
      </c>
      <c r="U170" s="11">
        <f>Q170+R170-T170</f>
        <v>8186250</v>
      </c>
      <c r="V170" s="42">
        <v>500</v>
      </c>
      <c r="W170" s="36"/>
      <c r="X170" s="36"/>
    </row>
    <row r="171" spans="1:24" customFormat="1" ht="15.45" x14ac:dyDescent="0.4">
      <c r="A171" s="19" t="s">
        <v>187</v>
      </c>
      <c r="B171" s="9">
        <v>45690</v>
      </c>
      <c r="C171" s="14" t="s">
        <v>446</v>
      </c>
      <c r="D171" s="10" t="s">
        <v>447</v>
      </c>
      <c r="E171" s="9">
        <v>45691</v>
      </c>
      <c r="F171" s="10" t="s">
        <v>186</v>
      </c>
      <c r="G171" s="10" t="s">
        <v>89</v>
      </c>
      <c r="H171" s="10" t="s">
        <v>818</v>
      </c>
      <c r="I171" s="10" t="s">
        <v>25</v>
      </c>
      <c r="J171" s="10" t="s">
        <v>79</v>
      </c>
      <c r="K171" s="50" t="s">
        <v>705</v>
      </c>
      <c r="L171" s="10" t="s">
        <v>1</v>
      </c>
      <c r="M171" s="12">
        <f>IF(LEFT(C171,2)="RP",V171*-1,V171)</f>
        <v>29920</v>
      </c>
      <c r="N171" s="12">
        <v>1575</v>
      </c>
      <c r="O171" s="12">
        <v>0</v>
      </c>
      <c r="P171" s="11">
        <v>47124000</v>
      </c>
      <c r="Q171" s="11">
        <f t="shared" si="22"/>
        <v>47124000</v>
      </c>
      <c r="R171" s="11">
        <v>5183640</v>
      </c>
      <c r="S171" s="11">
        <f>Q171*1.5%</f>
        <v>706860</v>
      </c>
      <c r="T171" s="11">
        <v>0</v>
      </c>
      <c r="U171" s="11">
        <f>Q171+R171-T171-S171</f>
        <v>51600780</v>
      </c>
      <c r="V171" s="42">
        <v>29920</v>
      </c>
      <c r="W171" s="36"/>
      <c r="X171" s="36"/>
    </row>
    <row r="172" spans="1:24" customFormat="1" ht="15.45" x14ac:dyDescent="0.4">
      <c r="A172" s="19" t="s">
        <v>187</v>
      </c>
      <c r="B172" s="9">
        <v>45701</v>
      </c>
      <c r="C172" s="14" t="s">
        <v>639</v>
      </c>
      <c r="D172" s="10" t="s">
        <v>640</v>
      </c>
      <c r="E172" s="9">
        <v>45701</v>
      </c>
      <c r="F172" s="10" t="s">
        <v>186</v>
      </c>
      <c r="G172" s="10" t="s">
        <v>89</v>
      </c>
      <c r="H172" s="10" t="s">
        <v>818</v>
      </c>
      <c r="I172" s="10" t="s">
        <v>25</v>
      </c>
      <c r="J172" s="10" t="s">
        <v>79</v>
      </c>
      <c r="K172" s="50" t="s">
        <v>695</v>
      </c>
      <c r="L172" s="10" t="s">
        <v>1</v>
      </c>
      <c r="M172" s="12">
        <f>IF(LEFT(C172,2)="RP",V172*-1,V172)</f>
        <v>29660</v>
      </c>
      <c r="N172" s="12">
        <v>1575</v>
      </c>
      <c r="O172" s="12">
        <v>0</v>
      </c>
      <c r="P172" s="11">
        <v>46714500</v>
      </c>
      <c r="Q172" s="11">
        <f t="shared" si="22"/>
        <v>46714500</v>
      </c>
      <c r="R172" s="11">
        <v>5138595</v>
      </c>
      <c r="S172" s="11">
        <f>Q172*1.5%</f>
        <v>700717.5</v>
      </c>
      <c r="T172" s="11">
        <v>0</v>
      </c>
      <c r="U172" s="11">
        <f>Q172+R172-T172-S172</f>
        <v>51152377.5</v>
      </c>
      <c r="V172" s="42">
        <v>29660</v>
      </c>
      <c r="W172" s="36"/>
      <c r="X172" s="36"/>
    </row>
    <row r="173" spans="1:24" customFormat="1" ht="15.45" x14ac:dyDescent="0.4">
      <c r="A173" s="19" t="s">
        <v>187</v>
      </c>
      <c r="B173" s="9">
        <v>45707</v>
      </c>
      <c r="C173" s="14" t="s">
        <v>717</v>
      </c>
      <c r="D173" s="10" t="s">
        <v>718</v>
      </c>
      <c r="E173" s="9">
        <v>45707</v>
      </c>
      <c r="F173" s="10" t="s">
        <v>186</v>
      </c>
      <c r="G173" s="10" t="s">
        <v>175</v>
      </c>
      <c r="H173" s="10" t="s">
        <v>818</v>
      </c>
      <c r="I173" s="10" t="s">
        <v>25</v>
      </c>
      <c r="J173" s="10" t="s">
        <v>79</v>
      </c>
      <c r="K173" s="50" t="s">
        <v>906</v>
      </c>
      <c r="L173" s="10" t="s">
        <v>1</v>
      </c>
      <c r="M173" s="12">
        <f>IF(LEFT(C173,2)="RP",V173*-1,V173)</f>
        <v>29920</v>
      </c>
      <c r="N173" s="12">
        <v>1300</v>
      </c>
      <c r="O173" s="12">
        <v>0</v>
      </c>
      <c r="P173" s="11">
        <v>38896000</v>
      </c>
      <c r="Q173" s="11">
        <f t="shared" si="22"/>
        <v>38896000</v>
      </c>
      <c r="R173" s="11">
        <v>4278560</v>
      </c>
      <c r="S173" s="11">
        <f>Q173*1.5%</f>
        <v>583440</v>
      </c>
      <c r="T173" s="11">
        <v>0</v>
      </c>
      <c r="U173" s="11">
        <f>Q173+R173-T173-S173</f>
        <v>42591120</v>
      </c>
      <c r="V173" s="42">
        <v>29920</v>
      </c>
      <c r="W173" s="36"/>
      <c r="X173" s="36"/>
    </row>
    <row r="174" spans="1:24" customFormat="1" ht="15.45" x14ac:dyDescent="0.4">
      <c r="A174" s="19" t="s">
        <v>206</v>
      </c>
      <c r="B174" s="9">
        <v>45692</v>
      </c>
      <c r="C174" s="14" t="s">
        <v>462</v>
      </c>
      <c r="D174" s="10" t="s">
        <v>463</v>
      </c>
      <c r="E174" s="9">
        <v>45681</v>
      </c>
      <c r="F174" s="10" t="s">
        <v>204</v>
      </c>
      <c r="G174" s="10" t="s">
        <v>205</v>
      </c>
      <c r="H174" s="10" t="s">
        <v>820</v>
      </c>
      <c r="I174" s="10" t="s">
        <v>24</v>
      </c>
      <c r="J174" s="10" t="s">
        <v>61</v>
      </c>
      <c r="K174" s="50" t="s">
        <v>708</v>
      </c>
      <c r="L174" s="10" t="s">
        <v>10</v>
      </c>
      <c r="M174" s="12">
        <f>IF(LEFT(C174,2)="RP",V174*-1,V174)</f>
        <v>20</v>
      </c>
      <c r="N174" s="12">
        <v>711700</v>
      </c>
      <c r="O174" s="12">
        <v>16175</v>
      </c>
      <c r="P174" s="11">
        <v>14234000</v>
      </c>
      <c r="Q174" s="11">
        <f t="shared" si="22"/>
        <v>14234000</v>
      </c>
      <c r="R174" s="11">
        <v>1565740</v>
      </c>
      <c r="S174" s="11"/>
      <c r="T174" s="11">
        <v>0</v>
      </c>
      <c r="U174" s="11">
        <f>Q174+R174-T174-S174</f>
        <v>15799740</v>
      </c>
      <c r="V174" s="42">
        <v>20</v>
      </c>
      <c r="W174" s="36"/>
      <c r="X174" s="36"/>
    </row>
    <row r="175" spans="1:24" customFormat="1" ht="15.45" x14ac:dyDescent="0.4">
      <c r="A175" s="19" t="s">
        <v>510</v>
      </c>
      <c r="B175" s="21">
        <v>45705</v>
      </c>
      <c r="C175" s="22"/>
      <c r="D175" s="23"/>
      <c r="E175" s="21"/>
      <c r="F175" s="23" t="s">
        <v>511</v>
      </c>
      <c r="G175" s="23" t="s">
        <v>512</v>
      </c>
      <c r="H175" s="23" t="s">
        <v>819</v>
      </c>
      <c r="I175" s="23" t="s">
        <v>513</v>
      </c>
      <c r="J175" s="23" t="s">
        <v>514</v>
      </c>
      <c r="K175" s="46" t="s">
        <v>716</v>
      </c>
      <c r="L175" s="23" t="s">
        <v>16</v>
      </c>
      <c r="M175" s="24">
        <v>1</v>
      </c>
      <c r="N175" s="31">
        <v>450000</v>
      </c>
      <c r="O175" s="24">
        <v>0</v>
      </c>
      <c r="P175" s="25">
        <f>M175*N175</f>
        <v>450000</v>
      </c>
      <c r="Q175" s="25">
        <f t="shared" si="22"/>
        <v>450000</v>
      </c>
      <c r="R175" s="25">
        <f>Q175*0.11</f>
        <v>49500</v>
      </c>
      <c r="S175" s="25">
        <f>Q175*2%</f>
        <v>9000</v>
      </c>
      <c r="T175" s="25">
        <v>0</v>
      </c>
      <c r="U175" s="25">
        <f>Q175+R175-S175</f>
        <v>490500</v>
      </c>
      <c r="V175" s="28"/>
      <c r="W175" s="57"/>
      <c r="X175" s="57"/>
    </row>
    <row r="176" spans="1:24" customFormat="1" ht="15.45" x14ac:dyDescent="0.4">
      <c r="A176" s="19" t="s">
        <v>117</v>
      </c>
      <c r="B176" s="9">
        <v>45701</v>
      </c>
      <c r="C176" s="14" t="s">
        <v>635</v>
      </c>
      <c r="D176" s="10" t="s">
        <v>636</v>
      </c>
      <c r="E176" s="9">
        <v>45701</v>
      </c>
      <c r="F176" s="10" t="s">
        <v>68</v>
      </c>
      <c r="G176" s="10" t="s">
        <v>637</v>
      </c>
      <c r="H176" s="10" t="s">
        <v>820</v>
      </c>
      <c r="I176" s="10" t="s">
        <v>24</v>
      </c>
      <c r="J176" s="10" t="s">
        <v>61</v>
      </c>
      <c r="K176" s="50" t="s">
        <v>1123</v>
      </c>
      <c r="L176" s="10" t="s">
        <v>3</v>
      </c>
      <c r="M176" s="12">
        <f t="shared" ref="M176:M183" si="23">IF(LEFT(C176,2)="RP",V176*-1,V176)</f>
        <v>5</v>
      </c>
      <c r="N176" s="12">
        <v>31081.08</v>
      </c>
      <c r="O176" s="12">
        <v>0</v>
      </c>
      <c r="P176" s="11">
        <v>155405.4</v>
      </c>
      <c r="Q176" s="11">
        <f t="shared" si="22"/>
        <v>155405.4</v>
      </c>
      <c r="R176" s="11">
        <v>17094.594000000001</v>
      </c>
      <c r="S176" s="11"/>
      <c r="T176" s="11">
        <v>0</v>
      </c>
      <c r="U176" s="11">
        <f>Q176+R176-T176</f>
        <v>172499.99400000001</v>
      </c>
      <c r="V176" s="42">
        <v>5</v>
      </c>
      <c r="W176" s="36"/>
      <c r="X176" s="36"/>
    </row>
    <row r="177" spans="1:24" customFormat="1" ht="15.45" x14ac:dyDescent="0.4">
      <c r="A177" s="19" t="s">
        <v>149</v>
      </c>
      <c r="B177" s="9">
        <v>45692</v>
      </c>
      <c r="C177" s="14" t="s">
        <v>460</v>
      </c>
      <c r="D177" s="10" t="s">
        <v>461</v>
      </c>
      <c r="E177" s="9">
        <v>45687</v>
      </c>
      <c r="F177" s="10" t="s">
        <v>143</v>
      </c>
      <c r="G177" s="10" t="s">
        <v>211</v>
      </c>
      <c r="H177" s="10" t="s">
        <v>820</v>
      </c>
      <c r="I177" s="10" t="s">
        <v>24</v>
      </c>
      <c r="J177" s="10" t="s">
        <v>61</v>
      </c>
      <c r="K177" s="50" t="s">
        <v>779</v>
      </c>
      <c r="L177" s="10" t="s">
        <v>10</v>
      </c>
      <c r="M177" s="12">
        <f t="shared" si="23"/>
        <v>10</v>
      </c>
      <c r="N177" s="12">
        <v>92000</v>
      </c>
      <c r="O177" s="12">
        <v>0</v>
      </c>
      <c r="P177" s="11">
        <v>920000</v>
      </c>
      <c r="Q177" s="11">
        <f t="shared" si="22"/>
        <v>920000</v>
      </c>
      <c r="R177" s="11">
        <v>101200</v>
      </c>
      <c r="S177" s="11"/>
      <c r="T177" s="11">
        <v>0</v>
      </c>
      <c r="U177" s="11">
        <f>Q177+R177-T177-S177</f>
        <v>1021200</v>
      </c>
      <c r="V177" s="42">
        <v>10</v>
      </c>
      <c r="W177" s="36"/>
      <c r="X177" s="36"/>
    </row>
    <row r="178" spans="1:24" customFormat="1" ht="15.45" x14ac:dyDescent="0.4">
      <c r="A178" s="19" t="s">
        <v>149</v>
      </c>
      <c r="B178" s="9">
        <v>45709</v>
      </c>
      <c r="C178" s="14" t="s">
        <v>755</v>
      </c>
      <c r="D178" s="10" t="s">
        <v>756</v>
      </c>
      <c r="E178" s="9">
        <v>45700</v>
      </c>
      <c r="F178" s="10" t="s">
        <v>143</v>
      </c>
      <c r="G178" s="10" t="s">
        <v>198</v>
      </c>
      <c r="H178" s="10" t="s">
        <v>820</v>
      </c>
      <c r="I178" s="10" t="s">
        <v>24</v>
      </c>
      <c r="J178" s="10" t="s">
        <v>61</v>
      </c>
      <c r="K178" s="50" t="s">
        <v>959</v>
      </c>
      <c r="L178" s="10" t="s">
        <v>10</v>
      </c>
      <c r="M178" s="12">
        <f t="shared" si="23"/>
        <v>10</v>
      </c>
      <c r="N178" s="12">
        <v>28500</v>
      </c>
      <c r="O178" s="12">
        <v>0</v>
      </c>
      <c r="P178" s="11">
        <v>285000</v>
      </c>
      <c r="Q178" s="11">
        <f t="shared" si="22"/>
        <v>285000</v>
      </c>
      <c r="R178" s="11">
        <v>31350</v>
      </c>
      <c r="S178" s="11">
        <v>0</v>
      </c>
      <c r="T178" s="59"/>
      <c r="U178" s="11">
        <f>Q178+R178-S178</f>
        <v>316350</v>
      </c>
      <c r="V178" s="42">
        <v>10</v>
      </c>
      <c r="W178" s="36"/>
      <c r="X178" s="36"/>
    </row>
    <row r="179" spans="1:24" customFormat="1" ht="15.45" x14ac:dyDescent="0.4">
      <c r="A179" s="19" t="s">
        <v>149</v>
      </c>
      <c r="B179" s="9">
        <v>45709</v>
      </c>
      <c r="C179" s="14" t="s">
        <v>755</v>
      </c>
      <c r="D179" s="10" t="s">
        <v>756</v>
      </c>
      <c r="E179" s="9">
        <v>45700</v>
      </c>
      <c r="F179" s="10" t="s">
        <v>143</v>
      </c>
      <c r="G179" s="10" t="s">
        <v>757</v>
      </c>
      <c r="H179" s="10" t="s">
        <v>820</v>
      </c>
      <c r="I179" s="10" t="s">
        <v>24</v>
      </c>
      <c r="J179" s="10" t="s">
        <v>61</v>
      </c>
      <c r="K179" s="50" t="s">
        <v>959</v>
      </c>
      <c r="L179" s="10" t="s">
        <v>6</v>
      </c>
      <c r="M179" s="12">
        <f t="shared" si="23"/>
        <v>2</v>
      </c>
      <c r="N179" s="12">
        <v>635000</v>
      </c>
      <c r="O179" s="12">
        <v>0</v>
      </c>
      <c r="P179" s="11">
        <v>1270000</v>
      </c>
      <c r="Q179" s="11">
        <f t="shared" si="22"/>
        <v>1270000</v>
      </c>
      <c r="R179" s="11">
        <v>139700</v>
      </c>
      <c r="S179" s="11">
        <v>0</v>
      </c>
      <c r="T179" s="59"/>
      <c r="U179" s="11">
        <f>Q179+R179-S179</f>
        <v>1409700</v>
      </c>
      <c r="V179" s="42">
        <v>2</v>
      </c>
      <c r="W179" s="36"/>
      <c r="X179" s="36"/>
    </row>
    <row r="180" spans="1:24" customFormat="1" ht="15.45" x14ac:dyDescent="0.4">
      <c r="A180" s="19" t="s">
        <v>149</v>
      </c>
      <c r="B180" s="9">
        <v>45709</v>
      </c>
      <c r="C180" s="14" t="s">
        <v>755</v>
      </c>
      <c r="D180" s="10" t="s">
        <v>756</v>
      </c>
      <c r="E180" s="9">
        <v>45700</v>
      </c>
      <c r="F180" s="10" t="s">
        <v>143</v>
      </c>
      <c r="G180" s="10" t="s">
        <v>758</v>
      </c>
      <c r="H180" s="10" t="s">
        <v>820</v>
      </c>
      <c r="I180" s="10" t="s">
        <v>24</v>
      </c>
      <c r="J180" s="10" t="s">
        <v>61</v>
      </c>
      <c r="K180" s="50" t="s">
        <v>959</v>
      </c>
      <c r="L180" s="10" t="s">
        <v>6</v>
      </c>
      <c r="M180" s="12">
        <f t="shared" si="23"/>
        <v>5</v>
      </c>
      <c r="N180" s="12">
        <v>42500</v>
      </c>
      <c r="O180" s="12">
        <v>0</v>
      </c>
      <c r="P180" s="11">
        <v>212500</v>
      </c>
      <c r="Q180" s="11">
        <f t="shared" si="22"/>
        <v>212500</v>
      </c>
      <c r="R180" s="11">
        <v>23375</v>
      </c>
      <c r="S180" s="11">
        <v>0</v>
      </c>
      <c r="T180" s="59"/>
      <c r="U180" s="11">
        <f>Q180+R180-S180</f>
        <v>235875</v>
      </c>
      <c r="V180" s="42">
        <v>5</v>
      </c>
      <c r="W180" s="36"/>
      <c r="X180" s="36"/>
    </row>
    <row r="181" spans="1:24" customFormat="1" ht="15.45" x14ac:dyDescent="0.4">
      <c r="A181" s="19" t="s">
        <v>149</v>
      </c>
      <c r="B181" s="9">
        <v>45709</v>
      </c>
      <c r="C181" s="14" t="s">
        <v>761</v>
      </c>
      <c r="D181" s="10" t="s">
        <v>762</v>
      </c>
      <c r="E181" s="9">
        <v>45707</v>
      </c>
      <c r="F181" s="10" t="s">
        <v>143</v>
      </c>
      <c r="G181" s="10" t="s">
        <v>763</v>
      </c>
      <c r="H181" s="10" t="s">
        <v>820</v>
      </c>
      <c r="I181" s="10" t="s">
        <v>24</v>
      </c>
      <c r="J181" s="10" t="s">
        <v>61</v>
      </c>
      <c r="K181" s="50" t="s">
        <v>958</v>
      </c>
      <c r="L181" s="10" t="s">
        <v>10</v>
      </c>
      <c r="M181" s="12">
        <f t="shared" si="23"/>
        <v>15</v>
      </c>
      <c r="N181" s="12">
        <v>24700</v>
      </c>
      <c r="O181" s="12">
        <v>0</v>
      </c>
      <c r="P181" s="11">
        <v>370500</v>
      </c>
      <c r="Q181" s="11">
        <f t="shared" si="22"/>
        <v>370500</v>
      </c>
      <c r="R181" s="11">
        <v>40755</v>
      </c>
      <c r="S181" s="11">
        <v>0</v>
      </c>
      <c r="T181" s="59"/>
      <c r="U181" s="11">
        <f>Q181+R181-S181</f>
        <v>411255</v>
      </c>
      <c r="V181" s="42">
        <v>15</v>
      </c>
      <c r="W181" s="36"/>
      <c r="X181" s="36"/>
    </row>
    <row r="182" spans="1:24" s="36" customFormat="1" ht="15.45" x14ac:dyDescent="0.35">
      <c r="A182" s="20" t="s">
        <v>149</v>
      </c>
      <c r="B182" s="9">
        <v>45714</v>
      </c>
      <c r="C182" s="14" t="s">
        <v>814</v>
      </c>
      <c r="D182" s="10" t="s">
        <v>815</v>
      </c>
      <c r="E182" s="9">
        <v>45714</v>
      </c>
      <c r="F182" s="10" t="s">
        <v>143</v>
      </c>
      <c r="G182" s="10" t="s">
        <v>816</v>
      </c>
      <c r="H182" s="10" t="s">
        <v>820</v>
      </c>
      <c r="I182" s="10" t="s">
        <v>24</v>
      </c>
      <c r="J182" s="10" t="s">
        <v>61</v>
      </c>
      <c r="K182" s="50" t="s">
        <v>1130</v>
      </c>
      <c r="L182" s="10" t="s">
        <v>6</v>
      </c>
      <c r="M182" s="12">
        <f t="shared" si="23"/>
        <v>6</v>
      </c>
      <c r="N182" s="12">
        <v>92500</v>
      </c>
      <c r="O182" s="12">
        <v>0</v>
      </c>
      <c r="P182" s="11">
        <v>555000</v>
      </c>
      <c r="Q182" s="11">
        <f t="shared" si="22"/>
        <v>555000</v>
      </c>
      <c r="R182" s="11">
        <v>61050</v>
      </c>
      <c r="S182" s="11"/>
      <c r="T182" s="11">
        <v>0</v>
      </c>
      <c r="U182" s="11">
        <f>Q182+R182-T182</f>
        <v>616050</v>
      </c>
      <c r="V182" s="42">
        <v>6</v>
      </c>
    </row>
    <row r="183" spans="1:24" s="36" customFormat="1" ht="15.45" x14ac:dyDescent="0.35">
      <c r="A183" s="20" t="s">
        <v>593</v>
      </c>
      <c r="B183" s="9">
        <v>45695</v>
      </c>
      <c r="C183" s="14" t="s">
        <v>564</v>
      </c>
      <c r="D183" s="10" t="s">
        <v>565</v>
      </c>
      <c r="E183" s="9">
        <v>45691</v>
      </c>
      <c r="F183" s="10" t="s">
        <v>566</v>
      </c>
      <c r="G183" s="10" t="s">
        <v>567</v>
      </c>
      <c r="H183" s="10" t="s">
        <v>885</v>
      </c>
      <c r="I183" s="10" t="s">
        <v>23</v>
      </c>
      <c r="J183" s="10" t="s">
        <v>45</v>
      </c>
      <c r="K183" s="50" t="s">
        <v>957</v>
      </c>
      <c r="L183" s="10" t="s">
        <v>1</v>
      </c>
      <c r="M183" s="12">
        <f t="shared" si="23"/>
        <v>60</v>
      </c>
      <c r="N183" s="12">
        <v>69027</v>
      </c>
      <c r="O183" s="12">
        <v>16435</v>
      </c>
      <c r="P183" s="11">
        <v>4141620</v>
      </c>
      <c r="Q183" s="11">
        <f t="shared" si="22"/>
        <v>4141620</v>
      </c>
      <c r="R183" s="11">
        <v>455578.2</v>
      </c>
      <c r="S183" s="11"/>
      <c r="T183" s="11">
        <v>0</v>
      </c>
      <c r="U183" s="11">
        <f>Q183+R183-T183</f>
        <v>4597198.2</v>
      </c>
      <c r="V183" s="42">
        <v>60</v>
      </c>
    </row>
    <row r="188" spans="1:24" x14ac:dyDescent="0.4">
      <c r="R188" s="56">
        <f>+R6+401500</f>
        <v>201117992.82300001</v>
      </c>
      <c r="S188" s="57" t="s">
        <v>505</v>
      </c>
    </row>
    <row r="189" spans="1:24" x14ac:dyDescent="0.4">
      <c r="R189" s="56">
        <v>201117992</v>
      </c>
      <c r="S189" s="57" t="s">
        <v>506</v>
      </c>
    </row>
    <row r="190" spans="1:24" x14ac:dyDescent="0.4">
      <c r="R190" s="56">
        <v>303099003</v>
      </c>
      <c r="S190" s="57" t="s">
        <v>507</v>
      </c>
    </row>
    <row r="191" spans="1:24" x14ac:dyDescent="0.4">
      <c r="Q191" s="60" t="s">
        <v>1029</v>
      </c>
      <c r="R191" s="58">
        <f>R188-R189</f>
        <v>0.82300001382827759</v>
      </c>
      <c r="S191" s="57" t="s">
        <v>508</v>
      </c>
    </row>
    <row r="192" spans="1:24" x14ac:dyDescent="0.4">
      <c r="R192" s="58">
        <f>R189-R190</f>
        <v>-101981011</v>
      </c>
      <c r="S192" s="57" t="s">
        <v>509</v>
      </c>
    </row>
  </sheetData>
  <autoFilter ref="A7:X183" xr:uid="{43F52DAC-71D3-492D-A18E-2AECB358DCA5}"/>
  <conditionalFormatting sqref="A9">
    <cfRule type="duplicateValues" dxfId="1268" priority="305"/>
  </conditionalFormatting>
  <conditionalFormatting sqref="A11">
    <cfRule type="duplicateValues" dxfId="1267" priority="303"/>
  </conditionalFormatting>
  <conditionalFormatting sqref="A12">
    <cfRule type="duplicateValues" dxfId="1266" priority="321"/>
  </conditionalFormatting>
  <conditionalFormatting sqref="A13">
    <cfRule type="duplicateValues" dxfId="1265" priority="313"/>
  </conditionalFormatting>
  <conditionalFormatting sqref="A14:A15">
    <cfRule type="duplicateValues" dxfId="1264" priority="319"/>
  </conditionalFormatting>
  <conditionalFormatting sqref="A16">
    <cfRule type="duplicateValues" dxfId="1263" priority="309"/>
  </conditionalFormatting>
  <conditionalFormatting sqref="A17">
    <cfRule type="duplicateValues" dxfId="1262" priority="315"/>
  </conditionalFormatting>
  <conditionalFormatting sqref="A18">
    <cfRule type="duplicateValues" dxfId="1261" priority="323"/>
  </conditionalFormatting>
  <conditionalFormatting sqref="A19">
    <cfRule type="duplicateValues" dxfId="1260" priority="297"/>
  </conditionalFormatting>
  <conditionalFormatting sqref="A20">
    <cfRule type="duplicateValues" dxfId="1259" priority="301"/>
  </conditionalFormatting>
  <conditionalFormatting sqref="A21">
    <cfRule type="duplicateValues" dxfId="1258" priority="299"/>
  </conditionalFormatting>
  <conditionalFormatting sqref="A22 A8">
    <cfRule type="duplicateValues" dxfId="1257" priority="307"/>
  </conditionalFormatting>
  <conditionalFormatting sqref="A23 A10">
    <cfRule type="duplicateValues" dxfId="1256" priority="317"/>
  </conditionalFormatting>
  <conditionalFormatting sqref="A24">
    <cfRule type="duplicateValues" dxfId="1255" priority="288"/>
  </conditionalFormatting>
  <conditionalFormatting sqref="A25">
    <cfRule type="duplicateValues" dxfId="1254" priority="286"/>
  </conditionalFormatting>
  <conditionalFormatting sqref="A26">
    <cfRule type="duplicateValues" dxfId="1253" priority="284"/>
  </conditionalFormatting>
  <conditionalFormatting sqref="A27">
    <cfRule type="duplicateValues" dxfId="1252" priority="282"/>
  </conditionalFormatting>
  <conditionalFormatting sqref="A28">
    <cfRule type="duplicateValues" dxfId="1251" priority="280"/>
  </conditionalFormatting>
  <conditionalFormatting sqref="A29">
    <cfRule type="duplicateValues" dxfId="1250" priority="258"/>
  </conditionalFormatting>
  <conditionalFormatting sqref="A30">
    <cfRule type="duplicateValues" dxfId="1249" priority="256"/>
  </conditionalFormatting>
  <conditionalFormatting sqref="A31">
    <cfRule type="duplicateValues" dxfId="1248" priority="254"/>
  </conditionalFormatting>
  <conditionalFormatting sqref="A32">
    <cfRule type="duplicateValues" dxfId="1247" priority="252"/>
  </conditionalFormatting>
  <conditionalFormatting sqref="A33">
    <cfRule type="duplicateValues" dxfId="1246" priority="246"/>
  </conditionalFormatting>
  <conditionalFormatting sqref="A34">
    <cfRule type="duplicateValues" dxfId="1245" priority="292"/>
  </conditionalFormatting>
  <conditionalFormatting sqref="A35">
    <cfRule type="duplicateValues" dxfId="1244" priority="290"/>
  </conditionalFormatting>
  <conditionalFormatting sqref="A36">
    <cfRule type="duplicateValues" dxfId="1243" priority="278"/>
  </conditionalFormatting>
  <conditionalFormatting sqref="A37">
    <cfRule type="duplicateValues" dxfId="1242" priority="244"/>
  </conditionalFormatting>
  <conditionalFormatting sqref="A38">
    <cfRule type="duplicateValues" dxfId="1241" priority="296"/>
  </conditionalFormatting>
  <conditionalFormatting sqref="A39">
    <cfRule type="duplicateValues" dxfId="1240" priority="276"/>
  </conditionalFormatting>
  <conditionalFormatting sqref="A40">
    <cfRule type="duplicateValues" dxfId="1239" priority="274"/>
  </conditionalFormatting>
  <conditionalFormatting sqref="A41">
    <cfRule type="duplicateValues" dxfId="1238" priority="248"/>
  </conditionalFormatting>
  <conditionalFormatting sqref="A42">
    <cfRule type="duplicateValues" dxfId="1237" priority="294"/>
  </conditionalFormatting>
  <conditionalFormatting sqref="A43">
    <cfRule type="duplicateValues" dxfId="1236" priority="262"/>
  </conditionalFormatting>
  <conditionalFormatting sqref="A44">
    <cfRule type="duplicateValues" dxfId="1235" priority="272"/>
  </conditionalFormatting>
  <conditionalFormatting sqref="A45">
    <cfRule type="duplicateValues" dxfId="1234" priority="250"/>
  </conditionalFormatting>
  <conditionalFormatting sqref="A46">
    <cfRule type="duplicateValues" dxfId="1233" priority="270"/>
  </conditionalFormatting>
  <conditionalFormatting sqref="A47">
    <cfRule type="duplicateValues" dxfId="1232" priority="268"/>
  </conditionalFormatting>
  <conditionalFormatting sqref="A48">
    <cfRule type="duplicateValues" dxfId="1231" priority="266"/>
  </conditionalFormatting>
  <conditionalFormatting sqref="A49">
    <cfRule type="duplicateValues" dxfId="1230" priority="264"/>
  </conditionalFormatting>
  <conditionalFormatting sqref="A50">
    <cfRule type="duplicateValues" dxfId="1229" priority="242"/>
  </conditionalFormatting>
  <conditionalFormatting sqref="A51">
    <cfRule type="duplicateValues" dxfId="1228" priority="180"/>
  </conditionalFormatting>
  <conditionalFormatting sqref="A52">
    <cfRule type="duplicateValues" dxfId="1227" priority="152"/>
  </conditionalFormatting>
  <conditionalFormatting sqref="A53">
    <cfRule type="duplicateValues" dxfId="1226" priority="178"/>
  </conditionalFormatting>
  <conditionalFormatting sqref="A54">
    <cfRule type="duplicateValues" dxfId="1225" priority="144"/>
  </conditionalFormatting>
  <conditionalFormatting sqref="A55">
    <cfRule type="duplicateValues" dxfId="1224" priority="142"/>
  </conditionalFormatting>
  <conditionalFormatting sqref="A56">
    <cfRule type="duplicateValues" dxfId="1223" priority="158"/>
  </conditionalFormatting>
  <conditionalFormatting sqref="A57">
    <cfRule type="duplicateValues" dxfId="1222" priority="166"/>
  </conditionalFormatting>
  <conditionalFormatting sqref="A58">
    <cfRule type="duplicateValues" dxfId="1221" priority="232"/>
  </conditionalFormatting>
  <conditionalFormatting sqref="A59">
    <cfRule type="duplicateValues" dxfId="1220" priority="230"/>
  </conditionalFormatting>
  <conditionalFormatting sqref="A60">
    <cfRule type="duplicateValues" dxfId="1219" priority="210"/>
  </conditionalFormatting>
  <conditionalFormatting sqref="A61">
    <cfRule type="duplicateValues" dxfId="1218" priority="208"/>
  </conditionalFormatting>
  <conditionalFormatting sqref="A62">
    <cfRule type="duplicateValues" dxfId="1217" priority="164"/>
  </conditionalFormatting>
  <conditionalFormatting sqref="A63">
    <cfRule type="duplicateValues" dxfId="1216" priority="162"/>
  </conditionalFormatting>
  <conditionalFormatting sqref="A64">
    <cfRule type="duplicateValues" dxfId="1215" priority="160"/>
  </conditionalFormatting>
  <conditionalFormatting sqref="A65">
    <cfRule type="duplicateValues" dxfId="1214" priority="224"/>
  </conditionalFormatting>
  <conditionalFormatting sqref="A66">
    <cfRule type="duplicateValues" dxfId="1213" priority="222"/>
  </conditionalFormatting>
  <conditionalFormatting sqref="A67">
    <cfRule type="duplicateValues" dxfId="1212" priority="220"/>
  </conditionalFormatting>
  <conditionalFormatting sqref="A68">
    <cfRule type="duplicateValues" dxfId="1211" priority="218"/>
  </conditionalFormatting>
  <conditionalFormatting sqref="A69">
    <cfRule type="duplicateValues" dxfId="1210" priority="216"/>
  </conditionalFormatting>
  <conditionalFormatting sqref="A70">
    <cfRule type="duplicateValues" dxfId="1209" priority="214"/>
  </conditionalFormatting>
  <conditionalFormatting sqref="A71">
    <cfRule type="duplicateValues" dxfId="1208" priority="146"/>
  </conditionalFormatting>
  <conditionalFormatting sqref="A72">
    <cfRule type="duplicateValues" dxfId="1207" priority="236"/>
  </conditionalFormatting>
  <conditionalFormatting sqref="A73">
    <cfRule type="duplicateValues" dxfId="1206" priority="204"/>
  </conditionalFormatting>
  <conditionalFormatting sqref="A74">
    <cfRule type="duplicateValues" dxfId="1205" priority="186"/>
  </conditionalFormatting>
  <conditionalFormatting sqref="A75">
    <cfRule type="duplicateValues" dxfId="1204" priority="176"/>
  </conditionalFormatting>
  <conditionalFormatting sqref="A76">
    <cfRule type="duplicateValues" dxfId="1203" priority="156"/>
  </conditionalFormatting>
  <conditionalFormatting sqref="A77">
    <cfRule type="duplicateValues" dxfId="1202" priority="238"/>
  </conditionalFormatting>
  <conditionalFormatting sqref="A78">
    <cfRule type="duplicateValues" dxfId="1201" priority="240"/>
  </conditionalFormatting>
  <conditionalFormatting sqref="A79">
    <cfRule type="duplicateValues" dxfId="1200" priority="212"/>
  </conditionalFormatting>
  <conditionalFormatting sqref="A80">
    <cfRule type="duplicateValues" dxfId="1199" priority="226"/>
  </conditionalFormatting>
  <conditionalFormatting sqref="A81">
    <cfRule type="duplicateValues" dxfId="1198" priority="148"/>
  </conditionalFormatting>
  <conditionalFormatting sqref="A82">
    <cfRule type="duplicateValues" dxfId="1197" priority="206"/>
  </conditionalFormatting>
  <conditionalFormatting sqref="A83">
    <cfRule type="duplicateValues" dxfId="1196" priority="202"/>
  </conditionalFormatting>
  <conditionalFormatting sqref="A84">
    <cfRule type="duplicateValues" dxfId="1195" priority="174"/>
  </conditionalFormatting>
  <conditionalFormatting sqref="A85">
    <cfRule type="duplicateValues" dxfId="1194" priority="150"/>
  </conditionalFormatting>
  <conditionalFormatting sqref="A86">
    <cfRule type="duplicateValues" dxfId="1193" priority="154"/>
  </conditionalFormatting>
  <conditionalFormatting sqref="A87">
    <cfRule type="duplicateValues" dxfId="1192" priority="172"/>
  </conditionalFormatting>
  <conditionalFormatting sqref="A88">
    <cfRule type="duplicateValues" dxfId="1191" priority="184"/>
  </conditionalFormatting>
  <conditionalFormatting sqref="A89">
    <cfRule type="duplicateValues" dxfId="1190" priority="188"/>
  </conditionalFormatting>
  <conditionalFormatting sqref="A90">
    <cfRule type="duplicateValues" dxfId="1189" priority="234"/>
  </conditionalFormatting>
  <conditionalFormatting sqref="A91">
    <cfRule type="duplicateValues" dxfId="1188" priority="198"/>
  </conditionalFormatting>
  <conditionalFormatting sqref="A92">
    <cfRule type="duplicateValues" dxfId="1187" priority="196"/>
  </conditionalFormatting>
  <conditionalFormatting sqref="A93">
    <cfRule type="duplicateValues" dxfId="1186" priority="194"/>
  </conditionalFormatting>
  <conditionalFormatting sqref="A94">
    <cfRule type="duplicateValues" dxfId="1185" priority="192"/>
  </conditionalFormatting>
  <conditionalFormatting sqref="A95">
    <cfRule type="duplicateValues" dxfId="1184" priority="190"/>
  </conditionalFormatting>
  <conditionalFormatting sqref="A96">
    <cfRule type="duplicateValues" dxfId="1183" priority="170"/>
  </conditionalFormatting>
  <conditionalFormatting sqref="A97">
    <cfRule type="duplicateValues" dxfId="1182" priority="168"/>
  </conditionalFormatting>
  <conditionalFormatting sqref="A98">
    <cfRule type="duplicateValues" dxfId="1181" priority="182"/>
  </conditionalFormatting>
  <conditionalFormatting sqref="A99">
    <cfRule type="duplicateValues" dxfId="1180" priority="200"/>
  </conditionalFormatting>
  <conditionalFormatting sqref="A100">
    <cfRule type="duplicateValues" dxfId="1179" priority="228"/>
  </conditionalFormatting>
  <conditionalFormatting sqref="A101">
    <cfRule type="duplicateValues" dxfId="1178" priority="140"/>
  </conditionalFormatting>
  <conditionalFormatting sqref="A102">
    <cfRule type="duplicateValues" dxfId="1177" priority="91"/>
  </conditionalFormatting>
  <conditionalFormatting sqref="A103">
    <cfRule type="duplicateValues" dxfId="1176" priority="121"/>
  </conditionalFormatting>
  <conditionalFormatting sqref="A104">
    <cfRule type="duplicateValues" dxfId="1175" priority="119"/>
  </conditionalFormatting>
  <conditionalFormatting sqref="A105">
    <cfRule type="duplicateValues" dxfId="1174" priority="125"/>
  </conditionalFormatting>
  <conditionalFormatting sqref="A106">
    <cfRule type="duplicateValues" dxfId="1173" priority="127"/>
  </conditionalFormatting>
  <conditionalFormatting sqref="A107">
    <cfRule type="duplicateValues" dxfId="1172" priority="123"/>
  </conditionalFormatting>
  <conditionalFormatting sqref="A108">
    <cfRule type="duplicateValues" dxfId="1171" priority="129"/>
  </conditionalFormatting>
  <conditionalFormatting sqref="A109">
    <cfRule type="duplicateValues" dxfId="1170" priority="107"/>
  </conditionalFormatting>
  <conditionalFormatting sqref="A110">
    <cfRule type="duplicateValues" dxfId="1169" priority="105"/>
  </conditionalFormatting>
  <conditionalFormatting sqref="A111">
    <cfRule type="duplicateValues" dxfId="1168" priority="103"/>
  </conditionalFormatting>
  <conditionalFormatting sqref="A112">
    <cfRule type="duplicateValues" dxfId="1167" priority="101"/>
  </conditionalFormatting>
  <conditionalFormatting sqref="A113">
    <cfRule type="duplicateValues" dxfId="1166" priority="99"/>
  </conditionalFormatting>
  <conditionalFormatting sqref="A114">
    <cfRule type="duplicateValues" dxfId="1165" priority="97"/>
  </conditionalFormatting>
  <conditionalFormatting sqref="A115">
    <cfRule type="duplicateValues" dxfId="1164" priority="135"/>
  </conditionalFormatting>
  <conditionalFormatting sqref="A116">
    <cfRule type="duplicateValues" dxfId="1163" priority="133"/>
  </conditionalFormatting>
  <conditionalFormatting sqref="A117">
    <cfRule type="duplicateValues" dxfId="1162" priority="131"/>
  </conditionalFormatting>
  <conditionalFormatting sqref="A118">
    <cfRule type="duplicateValues" dxfId="1161" priority="113"/>
  </conditionalFormatting>
  <conditionalFormatting sqref="A119">
    <cfRule type="duplicateValues" dxfId="1160" priority="111"/>
  </conditionalFormatting>
  <conditionalFormatting sqref="A120">
    <cfRule type="duplicateValues" dxfId="1159" priority="109"/>
  </conditionalFormatting>
  <conditionalFormatting sqref="A121">
    <cfRule type="duplicateValues" dxfId="1158" priority="117"/>
  </conditionalFormatting>
  <conditionalFormatting sqref="A122">
    <cfRule type="duplicateValues" dxfId="1157" priority="95"/>
  </conditionalFormatting>
  <conditionalFormatting sqref="A123">
    <cfRule type="duplicateValues" dxfId="1156" priority="89"/>
  </conditionalFormatting>
  <conditionalFormatting sqref="A124">
    <cfRule type="duplicateValues" dxfId="1155" priority="87"/>
  </conditionalFormatting>
  <conditionalFormatting sqref="A125">
    <cfRule type="duplicateValues" dxfId="1154" priority="85"/>
  </conditionalFormatting>
  <conditionalFormatting sqref="A126">
    <cfRule type="duplicateValues" dxfId="1153" priority="139"/>
  </conditionalFormatting>
  <conditionalFormatting sqref="A127">
    <cfRule type="duplicateValues" dxfId="1152" priority="83"/>
  </conditionalFormatting>
  <conditionalFormatting sqref="A128">
    <cfRule type="duplicateValues" dxfId="1151" priority="115"/>
  </conditionalFormatting>
  <conditionalFormatting sqref="A129">
    <cfRule type="duplicateValues" dxfId="1150" priority="93"/>
  </conditionalFormatting>
  <conditionalFormatting sqref="A130">
    <cfRule type="duplicateValues" dxfId="1149" priority="137"/>
  </conditionalFormatting>
  <conditionalFormatting sqref="A131">
    <cfRule type="duplicateValues" dxfId="1148" priority="59"/>
  </conditionalFormatting>
  <conditionalFormatting sqref="A132">
    <cfRule type="duplicateValues" dxfId="1147" priority="73"/>
  </conditionalFormatting>
  <conditionalFormatting sqref="A133">
    <cfRule type="duplicateValues" dxfId="1146" priority="67"/>
  </conditionalFormatting>
  <conditionalFormatting sqref="A134">
    <cfRule type="duplicateValues" dxfId="1145" priority="63"/>
  </conditionalFormatting>
  <conditionalFormatting sqref="A135">
    <cfRule type="duplicateValues" dxfId="1144" priority="77"/>
  </conditionalFormatting>
  <conditionalFormatting sqref="A136">
    <cfRule type="duplicateValues" dxfId="1143" priority="65"/>
  </conditionalFormatting>
  <conditionalFormatting sqref="A137">
    <cfRule type="duplicateValues" dxfId="1142" priority="61"/>
  </conditionalFormatting>
  <conditionalFormatting sqref="A138">
    <cfRule type="duplicateValues" dxfId="1141" priority="71"/>
  </conditionalFormatting>
  <conditionalFormatting sqref="A139">
    <cfRule type="duplicateValues" dxfId="1140" priority="69"/>
  </conditionalFormatting>
  <conditionalFormatting sqref="A140">
    <cfRule type="duplicateValues" dxfId="1139" priority="55"/>
  </conditionalFormatting>
  <conditionalFormatting sqref="A141">
    <cfRule type="duplicateValues" dxfId="1138" priority="81"/>
  </conditionalFormatting>
  <conditionalFormatting sqref="A142">
    <cfRule type="duplicateValues" dxfId="1137" priority="75"/>
  </conditionalFormatting>
  <conditionalFormatting sqref="A143">
    <cfRule type="duplicateValues" dxfId="1136" priority="79"/>
  </conditionalFormatting>
  <conditionalFormatting sqref="A144">
    <cfRule type="duplicateValues" dxfId="1135" priority="51"/>
  </conditionalFormatting>
  <conditionalFormatting sqref="A145">
    <cfRule type="duplicateValues" dxfId="1134" priority="49"/>
  </conditionalFormatting>
  <conditionalFormatting sqref="A146">
    <cfRule type="duplicateValues" dxfId="1133" priority="53"/>
  </conditionalFormatting>
  <conditionalFormatting sqref="A147">
    <cfRule type="duplicateValues" dxfId="1132" priority="47"/>
  </conditionalFormatting>
  <conditionalFormatting sqref="A148">
    <cfRule type="duplicateValues" dxfId="1131" priority="13"/>
    <cfRule type="duplicateValues" dxfId="1130" priority="12"/>
  </conditionalFormatting>
  <conditionalFormatting sqref="A149">
    <cfRule type="duplicateValues" dxfId="1129" priority="31"/>
    <cfRule type="duplicateValues" dxfId="1128" priority="30"/>
  </conditionalFormatting>
  <conditionalFormatting sqref="A150">
    <cfRule type="duplicateValues" dxfId="1127" priority="29"/>
    <cfRule type="duplicateValues" dxfId="1126" priority="28"/>
  </conditionalFormatting>
  <conditionalFormatting sqref="A151">
    <cfRule type="duplicateValues" dxfId="1125" priority="33"/>
    <cfRule type="duplicateValues" dxfId="1124" priority="32"/>
  </conditionalFormatting>
  <conditionalFormatting sqref="A152">
    <cfRule type="duplicateValues" dxfId="1123" priority="45"/>
    <cfRule type="duplicateValues" dxfId="1122" priority="44"/>
  </conditionalFormatting>
  <conditionalFormatting sqref="A153">
    <cfRule type="duplicateValues" dxfId="1121" priority="43"/>
    <cfRule type="duplicateValues" dxfId="1120" priority="42"/>
  </conditionalFormatting>
  <conditionalFormatting sqref="A154">
    <cfRule type="duplicateValues" dxfId="1119" priority="24"/>
    <cfRule type="duplicateValues" dxfId="1118" priority="25"/>
  </conditionalFormatting>
  <conditionalFormatting sqref="A155">
    <cfRule type="duplicateValues" dxfId="1117" priority="9"/>
    <cfRule type="duplicateValues" dxfId="1116" priority="8"/>
  </conditionalFormatting>
  <conditionalFormatting sqref="A156">
    <cfRule type="duplicateValues" dxfId="1115" priority="17"/>
    <cfRule type="duplicateValues" dxfId="1114" priority="16"/>
  </conditionalFormatting>
  <conditionalFormatting sqref="A157">
    <cfRule type="duplicateValues" dxfId="1113" priority="15"/>
    <cfRule type="duplicateValues" dxfId="1112" priority="14"/>
  </conditionalFormatting>
  <conditionalFormatting sqref="A158">
    <cfRule type="duplicateValues" dxfId="1111" priority="39"/>
    <cfRule type="duplicateValues" dxfId="1110" priority="38"/>
  </conditionalFormatting>
  <conditionalFormatting sqref="A159">
    <cfRule type="duplicateValues" dxfId="1109" priority="11"/>
    <cfRule type="duplicateValues" dxfId="1108" priority="10"/>
  </conditionalFormatting>
  <conditionalFormatting sqref="A160">
    <cfRule type="duplicateValues" dxfId="1107" priority="26"/>
    <cfRule type="duplicateValues" dxfId="1106" priority="27"/>
  </conditionalFormatting>
  <conditionalFormatting sqref="A161">
    <cfRule type="duplicateValues" dxfId="1105" priority="22"/>
    <cfRule type="duplicateValues" dxfId="1104" priority="23"/>
  </conditionalFormatting>
  <conditionalFormatting sqref="A162">
    <cfRule type="duplicateValues" dxfId="1103" priority="21"/>
    <cfRule type="duplicateValues" dxfId="1102" priority="20"/>
  </conditionalFormatting>
  <conditionalFormatting sqref="A163">
    <cfRule type="duplicateValues" dxfId="1101" priority="19"/>
    <cfRule type="duplicateValues" dxfId="1100" priority="18"/>
  </conditionalFormatting>
  <conditionalFormatting sqref="A164">
    <cfRule type="duplicateValues" dxfId="1099" priority="37"/>
    <cfRule type="duplicateValues" dxfId="1098" priority="36"/>
  </conditionalFormatting>
  <conditionalFormatting sqref="A165">
    <cfRule type="duplicateValues" dxfId="1097" priority="35"/>
    <cfRule type="duplicateValues" dxfId="1096" priority="34"/>
  </conditionalFormatting>
  <conditionalFormatting sqref="A166">
    <cfRule type="duplicateValues" dxfId="1095" priority="41"/>
    <cfRule type="duplicateValues" dxfId="1094" priority="40"/>
  </conditionalFormatting>
  <conditionalFormatting sqref="A167:A181">
    <cfRule type="duplicateValues" dxfId="1093" priority="7"/>
  </conditionalFormatting>
  <conditionalFormatting sqref="A182">
    <cfRule type="duplicateValues" dxfId="1092" priority="6"/>
    <cfRule type="duplicateValues" dxfId="1091" priority="5"/>
  </conditionalFormatting>
  <conditionalFormatting sqref="A183">
    <cfRule type="duplicateValues" dxfId="1090" priority="1"/>
    <cfRule type="duplicateValues" dxfId="1089" priority="4"/>
    <cfRule type="duplicateValues" dxfId="1088" priority="3"/>
    <cfRule type="duplicateValues" dxfId="1087" priority="2"/>
  </conditionalFormatting>
  <pageMargins left="0.7" right="0.7" top="0.75" bottom="0.75" header="0.3" footer="0.3"/>
  <pageSetup paperSize="9" orientation="portrait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E6955-C63C-4681-B671-63B981254625}">
  <dimension ref="A1:W162"/>
  <sheetViews>
    <sheetView tabSelected="1" workbookViewId="0">
      <pane ySplit="7" topLeftCell="A8" activePane="bottomLeft" state="frozen"/>
      <selection pane="bottomLeft" activeCell="B21" sqref="B21"/>
    </sheetView>
  </sheetViews>
  <sheetFormatPr defaultColWidth="9.15234375" defaultRowHeight="14.6" x14ac:dyDescent="0.4"/>
  <cols>
    <col min="1" max="1" width="12.4609375" style="35" customWidth="1"/>
    <col min="2" max="2" width="77.3828125" style="35" bestFit="1" customWidth="1"/>
    <col min="3" max="3" width="19" style="35" bestFit="1" customWidth="1"/>
    <col min="4" max="4" width="10.921875" style="35" bestFit="1" customWidth="1"/>
    <col min="5" max="5" width="10.765625" style="35" bestFit="1" customWidth="1"/>
    <col min="6" max="6" width="31.3046875" style="35" bestFit="1" customWidth="1"/>
    <col min="7" max="7" width="38.84375" style="35" bestFit="1" customWidth="1"/>
    <col min="8" max="8" width="10.84375" style="35" bestFit="1" customWidth="1"/>
    <col min="9" max="9" width="29.84375" style="35" bestFit="1" customWidth="1"/>
    <col min="10" max="10" width="16.4609375" style="35" bestFit="1" customWidth="1"/>
    <col min="11" max="11" width="11.15234375" style="35" bestFit="1" customWidth="1"/>
    <col min="12" max="12" width="8.3046875" style="35" bestFit="1" customWidth="1"/>
    <col min="13" max="13" width="13.69140625" style="35" bestFit="1" customWidth="1"/>
    <col min="14" max="14" width="9.23046875" style="35" bestFit="1" customWidth="1"/>
    <col min="15" max="15" width="15.3046875" style="35" bestFit="1" customWidth="1"/>
    <col min="16" max="16" width="16.765625" style="35" bestFit="1" customWidth="1"/>
    <col min="17" max="17" width="14.3046875" style="35" bestFit="1" customWidth="1"/>
    <col min="18" max="18" width="22.61328125" style="35" bestFit="1" customWidth="1"/>
    <col min="19" max="19" width="8.69140625" style="35" bestFit="1" customWidth="1"/>
    <col min="20" max="20" width="15.84375" style="35" bestFit="1" customWidth="1"/>
    <col min="21" max="21" width="10.23046875" style="35" bestFit="1" customWidth="1"/>
    <col min="22" max="22" width="20.4609375" style="35" bestFit="1" customWidth="1"/>
    <col min="23" max="16384" width="9.15234375" style="35"/>
  </cols>
  <sheetData>
    <row r="1" spans="1:21" x14ac:dyDescent="0.4">
      <c r="B1" s="1" t="s">
        <v>75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4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s="36" customFormat="1" ht="17.600000000000001" x14ac:dyDescent="0.4">
      <c r="B3" s="13" t="s">
        <v>92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pans="1:21" s="36" customFormat="1" ht="12.9" x14ac:dyDescent="0.35">
      <c r="B4" s="3" t="s">
        <v>30</v>
      </c>
      <c r="C4" s="37" t="s">
        <v>1642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s="36" customFormat="1" ht="12.9" x14ac:dyDescent="0.35">
      <c r="B5" s="3" t="s">
        <v>171</v>
      </c>
      <c r="C5" s="37" t="s">
        <v>172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6"/>
      <c r="R5" s="6"/>
      <c r="S5" s="4"/>
      <c r="T5" s="4"/>
      <c r="U5" s="4"/>
    </row>
    <row r="6" spans="1:21" s="36" customFormat="1" ht="12.9" x14ac:dyDescent="0.35">
      <c r="B6" s="15" t="s">
        <v>62</v>
      </c>
      <c r="C6" s="7"/>
      <c r="D6" s="38"/>
      <c r="E6" s="3"/>
      <c r="F6" s="8"/>
      <c r="G6" s="3"/>
      <c r="H6" s="3"/>
      <c r="I6" s="3"/>
      <c r="J6" s="3"/>
      <c r="K6" s="3"/>
      <c r="L6" s="3">
        <v>26031</v>
      </c>
      <c r="M6" s="3"/>
      <c r="N6" s="3"/>
      <c r="O6" s="17">
        <f t="shared" ref="O6:T6" si="0">SUM(O8:O154)</f>
        <v>1560859037.9999995</v>
      </c>
      <c r="P6" s="17">
        <f t="shared" si="0"/>
        <v>1560859037.9999995</v>
      </c>
      <c r="Q6" s="17">
        <f t="shared" si="0"/>
        <v>162055029.18000007</v>
      </c>
      <c r="R6" s="17">
        <f t="shared" si="0"/>
        <v>10279902.648000002</v>
      </c>
      <c r="S6" s="17">
        <f t="shared" si="0"/>
        <v>0</v>
      </c>
      <c r="T6" s="17">
        <f t="shared" si="0"/>
        <v>1713842039.5320001</v>
      </c>
      <c r="U6" s="3"/>
    </row>
    <row r="7" spans="1:21" s="36" customFormat="1" ht="24" customHeight="1" x14ac:dyDescent="0.35">
      <c r="A7" s="18" t="s">
        <v>95</v>
      </c>
      <c r="B7" s="40" t="s">
        <v>31</v>
      </c>
      <c r="C7" s="41" t="s">
        <v>32</v>
      </c>
      <c r="D7" s="39" t="s">
        <v>17</v>
      </c>
      <c r="E7" s="39" t="s">
        <v>22</v>
      </c>
      <c r="F7" s="40" t="s">
        <v>33</v>
      </c>
      <c r="G7" s="40" t="s">
        <v>38</v>
      </c>
      <c r="H7" s="40" t="s">
        <v>20</v>
      </c>
      <c r="I7" s="40" t="s">
        <v>28</v>
      </c>
      <c r="J7" s="40" t="s">
        <v>94</v>
      </c>
      <c r="K7" s="40" t="s">
        <v>21</v>
      </c>
      <c r="L7" s="40" t="s">
        <v>9</v>
      </c>
      <c r="M7" s="40" t="s">
        <v>34</v>
      </c>
      <c r="N7" s="40" t="s">
        <v>13</v>
      </c>
      <c r="O7" s="40" t="s">
        <v>18</v>
      </c>
      <c r="P7" s="40" t="s">
        <v>2</v>
      </c>
      <c r="Q7" s="39" t="s">
        <v>7</v>
      </c>
      <c r="R7" s="39" t="s">
        <v>93</v>
      </c>
      <c r="S7" s="39" t="s">
        <v>14</v>
      </c>
      <c r="T7" s="39" t="s">
        <v>37</v>
      </c>
      <c r="U7" s="16"/>
    </row>
    <row r="8" spans="1:21" s="36" customFormat="1" ht="15.45" x14ac:dyDescent="0.35">
      <c r="A8" s="19" t="s">
        <v>109</v>
      </c>
      <c r="B8" s="9">
        <v>45719</v>
      </c>
      <c r="C8" s="14" t="s">
        <v>913</v>
      </c>
      <c r="D8" s="10" t="s">
        <v>788</v>
      </c>
      <c r="E8" s="9">
        <v>45707</v>
      </c>
      <c r="F8" s="10" t="s">
        <v>54</v>
      </c>
      <c r="G8" s="10" t="s">
        <v>49</v>
      </c>
      <c r="H8" s="10" t="s">
        <v>24</v>
      </c>
      <c r="I8" s="10" t="s">
        <v>61</v>
      </c>
      <c r="J8" s="50" t="s">
        <v>1117</v>
      </c>
      <c r="K8" s="10" t="s">
        <v>15</v>
      </c>
      <c r="L8" s="12">
        <f t="shared" ref="L8:L28" si="1">IF(LEFT(C8,2)="RP",U8*-1,U8)</f>
        <v>144</v>
      </c>
      <c r="M8" s="12">
        <v>6454</v>
      </c>
      <c r="N8" s="12">
        <v>0</v>
      </c>
      <c r="O8" s="11">
        <v>929376</v>
      </c>
      <c r="P8" s="11">
        <f t="shared" ref="P8:P28" si="2">O8</f>
        <v>929376</v>
      </c>
      <c r="Q8" s="11">
        <v>102231.36</v>
      </c>
      <c r="R8" s="11"/>
      <c r="S8" s="11">
        <v>0</v>
      </c>
      <c r="T8" s="11">
        <f t="shared" ref="T8:T15" si="3">P8+Q8-S8</f>
        <v>1031607.36</v>
      </c>
      <c r="U8" s="42">
        <v>144</v>
      </c>
    </row>
    <row r="9" spans="1:21" s="36" customFormat="1" ht="15.45" x14ac:dyDescent="0.35">
      <c r="A9" s="19" t="s">
        <v>108</v>
      </c>
      <c r="B9" s="9">
        <v>45719</v>
      </c>
      <c r="C9" s="14" t="s">
        <v>920</v>
      </c>
      <c r="D9" s="10" t="s">
        <v>921</v>
      </c>
      <c r="E9" s="9">
        <v>45716</v>
      </c>
      <c r="F9" s="10" t="s">
        <v>51</v>
      </c>
      <c r="G9" s="10" t="s">
        <v>922</v>
      </c>
      <c r="H9" s="10" t="s">
        <v>24</v>
      </c>
      <c r="I9" s="10" t="s">
        <v>61</v>
      </c>
      <c r="J9" s="50" t="s">
        <v>1118</v>
      </c>
      <c r="K9" s="10" t="s">
        <v>140</v>
      </c>
      <c r="L9" s="12">
        <f t="shared" si="1"/>
        <v>10</v>
      </c>
      <c r="M9" s="12">
        <v>125000</v>
      </c>
      <c r="N9" s="12">
        <v>0</v>
      </c>
      <c r="O9" s="11">
        <v>1250000</v>
      </c>
      <c r="P9" s="11">
        <f t="shared" si="2"/>
        <v>1250000</v>
      </c>
      <c r="Q9" s="11">
        <v>137500</v>
      </c>
      <c r="R9" s="11"/>
      <c r="S9" s="11">
        <v>0</v>
      </c>
      <c r="T9" s="11">
        <f t="shared" si="3"/>
        <v>1387500</v>
      </c>
      <c r="U9" s="42">
        <v>10</v>
      </c>
    </row>
    <row r="10" spans="1:21" s="36" customFormat="1" ht="15.45" x14ac:dyDescent="0.35">
      <c r="A10" s="19" t="s">
        <v>108</v>
      </c>
      <c r="B10" s="9">
        <v>45719</v>
      </c>
      <c r="C10" s="14" t="s">
        <v>920</v>
      </c>
      <c r="D10" s="10" t="s">
        <v>921</v>
      </c>
      <c r="E10" s="9">
        <v>45716</v>
      </c>
      <c r="F10" s="10" t="s">
        <v>51</v>
      </c>
      <c r="G10" s="10" t="s">
        <v>929</v>
      </c>
      <c r="H10" s="10" t="s">
        <v>24</v>
      </c>
      <c r="I10" s="10" t="s">
        <v>61</v>
      </c>
      <c r="J10" s="50" t="s">
        <v>1118</v>
      </c>
      <c r="K10" s="10" t="s">
        <v>6</v>
      </c>
      <c r="L10" s="12">
        <f t="shared" si="1"/>
        <v>2</v>
      </c>
      <c r="M10" s="12">
        <v>225000</v>
      </c>
      <c r="N10" s="12">
        <v>0</v>
      </c>
      <c r="O10" s="11">
        <v>450000</v>
      </c>
      <c r="P10" s="11">
        <f t="shared" si="2"/>
        <v>450000</v>
      </c>
      <c r="Q10" s="11">
        <v>49500</v>
      </c>
      <c r="R10" s="11"/>
      <c r="S10" s="11">
        <v>0</v>
      </c>
      <c r="T10" s="11">
        <f t="shared" si="3"/>
        <v>499500</v>
      </c>
      <c r="U10" s="42">
        <v>2</v>
      </c>
    </row>
    <row r="11" spans="1:21" s="36" customFormat="1" ht="15.45" x14ac:dyDescent="0.35">
      <c r="A11" s="19" t="s">
        <v>106</v>
      </c>
      <c r="B11" s="9">
        <v>45734</v>
      </c>
      <c r="C11" s="14" t="s">
        <v>1171</v>
      </c>
      <c r="D11" s="10" t="s">
        <v>1172</v>
      </c>
      <c r="E11" s="9">
        <v>45728</v>
      </c>
      <c r="F11" s="10" t="s">
        <v>66</v>
      </c>
      <c r="G11" s="10" t="s">
        <v>19</v>
      </c>
      <c r="H11" s="10" t="s">
        <v>23</v>
      </c>
      <c r="I11" s="10" t="s">
        <v>888</v>
      </c>
      <c r="J11" s="50" t="s">
        <v>1525</v>
      </c>
      <c r="K11" s="10" t="s">
        <v>4</v>
      </c>
      <c r="L11" s="12">
        <f t="shared" si="1"/>
        <v>200</v>
      </c>
      <c r="M11" s="12">
        <v>18500</v>
      </c>
      <c r="N11" s="12">
        <v>0</v>
      </c>
      <c r="O11" s="11">
        <v>3700000</v>
      </c>
      <c r="P11" s="11">
        <f t="shared" si="2"/>
        <v>3700000</v>
      </c>
      <c r="Q11" s="11">
        <v>407000</v>
      </c>
      <c r="R11" s="11"/>
      <c r="S11" s="11">
        <v>0</v>
      </c>
      <c r="T11" s="11">
        <f t="shared" si="3"/>
        <v>4107000</v>
      </c>
      <c r="U11" s="42">
        <v>200</v>
      </c>
    </row>
    <row r="12" spans="1:21" s="36" customFormat="1" ht="15.45" x14ac:dyDescent="0.35">
      <c r="A12" s="19" t="s">
        <v>114</v>
      </c>
      <c r="B12" s="9">
        <v>45719</v>
      </c>
      <c r="C12" s="14" t="s">
        <v>927</v>
      </c>
      <c r="D12" s="10" t="s">
        <v>928</v>
      </c>
      <c r="E12" s="9">
        <v>45716</v>
      </c>
      <c r="F12" s="10" t="s">
        <v>71</v>
      </c>
      <c r="G12" s="10" t="s">
        <v>76</v>
      </c>
      <c r="H12" s="10" t="s">
        <v>23</v>
      </c>
      <c r="I12" s="10" t="s">
        <v>978</v>
      </c>
      <c r="J12" s="50" t="s">
        <v>1526</v>
      </c>
      <c r="K12" s="10" t="s">
        <v>1</v>
      </c>
      <c r="L12" s="12">
        <f t="shared" si="1"/>
        <v>500</v>
      </c>
      <c r="M12" s="12">
        <v>30608.25</v>
      </c>
      <c r="N12" s="12">
        <v>16545</v>
      </c>
      <c r="O12" s="11">
        <v>15304125</v>
      </c>
      <c r="P12" s="11">
        <f t="shared" si="2"/>
        <v>15304125</v>
      </c>
      <c r="Q12" s="11">
        <v>1683453.75</v>
      </c>
      <c r="R12" s="11"/>
      <c r="S12" s="11">
        <v>0</v>
      </c>
      <c r="T12" s="11">
        <f t="shared" si="3"/>
        <v>16987578.75</v>
      </c>
      <c r="U12" s="42">
        <v>500</v>
      </c>
    </row>
    <row r="13" spans="1:21" s="36" customFormat="1" ht="15.45" x14ac:dyDescent="0.35">
      <c r="A13" s="19" t="s">
        <v>114</v>
      </c>
      <c r="B13" s="9">
        <v>45723</v>
      </c>
      <c r="C13" s="14" t="s">
        <v>1022</v>
      </c>
      <c r="D13" s="10" t="s">
        <v>928</v>
      </c>
      <c r="E13" s="9">
        <v>45716</v>
      </c>
      <c r="F13" s="10" t="s">
        <v>71</v>
      </c>
      <c r="G13" s="10" t="s">
        <v>76</v>
      </c>
      <c r="H13" s="10" t="s">
        <v>23</v>
      </c>
      <c r="I13" s="10" t="s">
        <v>978</v>
      </c>
      <c r="J13" s="50" t="s">
        <v>1527</v>
      </c>
      <c r="K13" s="10" t="s">
        <v>1</v>
      </c>
      <c r="L13" s="12">
        <f t="shared" si="1"/>
        <v>500</v>
      </c>
      <c r="M13" s="12">
        <v>30608.25</v>
      </c>
      <c r="N13" s="12">
        <v>16545</v>
      </c>
      <c r="O13" s="11">
        <v>15304125</v>
      </c>
      <c r="P13" s="11">
        <f t="shared" si="2"/>
        <v>15304125</v>
      </c>
      <c r="Q13" s="11">
        <v>1683453.75</v>
      </c>
      <c r="R13" s="11"/>
      <c r="S13" s="11">
        <v>0</v>
      </c>
      <c r="T13" s="11">
        <f t="shared" si="3"/>
        <v>16987578.75</v>
      </c>
      <c r="U13" s="42">
        <v>500</v>
      </c>
    </row>
    <row r="14" spans="1:21" s="36" customFormat="1" ht="15.45" x14ac:dyDescent="0.35">
      <c r="A14" s="19" t="s">
        <v>114</v>
      </c>
      <c r="B14" s="9">
        <v>45728</v>
      </c>
      <c r="C14" s="14" t="s">
        <v>1047</v>
      </c>
      <c r="D14" s="10" t="s">
        <v>928</v>
      </c>
      <c r="E14" s="9">
        <v>45716</v>
      </c>
      <c r="F14" s="10" t="s">
        <v>71</v>
      </c>
      <c r="G14" s="10" t="s">
        <v>76</v>
      </c>
      <c r="H14" s="10" t="s">
        <v>23</v>
      </c>
      <c r="I14" s="10" t="s">
        <v>978</v>
      </c>
      <c r="J14" s="50" t="s">
        <v>1528</v>
      </c>
      <c r="K14" s="10" t="s">
        <v>1</v>
      </c>
      <c r="L14" s="12">
        <f t="shared" si="1"/>
        <v>500</v>
      </c>
      <c r="M14" s="12">
        <v>30608.25</v>
      </c>
      <c r="N14" s="12">
        <v>16545</v>
      </c>
      <c r="O14" s="11">
        <v>15304125</v>
      </c>
      <c r="P14" s="11">
        <f t="shared" si="2"/>
        <v>15304125</v>
      </c>
      <c r="Q14" s="11">
        <v>1683453.75</v>
      </c>
      <c r="R14" s="11"/>
      <c r="S14" s="11">
        <v>0</v>
      </c>
      <c r="T14" s="11">
        <f t="shared" si="3"/>
        <v>16987578.75</v>
      </c>
      <c r="U14" s="42">
        <v>500</v>
      </c>
    </row>
    <row r="15" spans="1:21" s="36" customFormat="1" ht="15.45" x14ac:dyDescent="0.35">
      <c r="A15" s="19" t="s">
        <v>114</v>
      </c>
      <c r="B15" s="9">
        <v>45733</v>
      </c>
      <c r="C15" s="14" t="s">
        <v>1166</v>
      </c>
      <c r="D15" s="10" t="s">
        <v>928</v>
      </c>
      <c r="E15" s="9">
        <v>45716</v>
      </c>
      <c r="F15" s="10" t="s">
        <v>71</v>
      </c>
      <c r="G15" s="10" t="s">
        <v>76</v>
      </c>
      <c r="H15" s="10" t="s">
        <v>23</v>
      </c>
      <c r="I15" s="10" t="s">
        <v>978</v>
      </c>
      <c r="J15" s="50" t="s">
        <v>1529</v>
      </c>
      <c r="K15" s="10" t="s">
        <v>1</v>
      </c>
      <c r="L15" s="12">
        <f t="shared" si="1"/>
        <v>500</v>
      </c>
      <c r="M15" s="12">
        <v>30608.25</v>
      </c>
      <c r="N15" s="12">
        <v>16545</v>
      </c>
      <c r="O15" s="11">
        <v>15304125</v>
      </c>
      <c r="P15" s="11">
        <f t="shared" si="2"/>
        <v>15304125</v>
      </c>
      <c r="Q15" s="11">
        <v>1683453.75</v>
      </c>
      <c r="R15" s="11"/>
      <c r="S15" s="11">
        <v>0</v>
      </c>
      <c r="T15" s="11">
        <f t="shared" si="3"/>
        <v>16987578.75</v>
      </c>
      <c r="U15" s="42">
        <v>500</v>
      </c>
    </row>
    <row r="16" spans="1:21" s="36" customFormat="1" ht="15.45" x14ac:dyDescent="0.35">
      <c r="A16" s="19" t="s">
        <v>187</v>
      </c>
      <c r="B16" s="9">
        <v>45719</v>
      </c>
      <c r="C16" s="14" t="s">
        <v>914</v>
      </c>
      <c r="D16" s="10" t="s">
        <v>915</v>
      </c>
      <c r="E16" s="9">
        <v>45719</v>
      </c>
      <c r="F16" s="10" t="s">
        <v>186</v>
      </c>
      <c r="G16" s="10" t="s">
        <v>89</v>
      </c>
      <c r="H16" s="10" t="s">
        <v>25</v>
      </c>
      <c r="I16" s="10" t="s">
        <v>79</v>
      </c>
      <c r="J16" s="50" t="s">
        <v>1139</v>
      </c>
      <c r="K16" s="10" t="s">
        <v>1</v>
      </c>
      <c r="L16" s="12">
        <f t="shared" si="1"/>
        <v>29850</v>
      </c>
      <c r="M16" s="12">
        <v>1575</v>
      </c>
      <c r="N16" s="12">
        <v>0</v>
      </c>
      <c r="O16" s="11">
        <v>47013750</v>
      </c>
      <c r="P16" s="11">
        <f t="shared" si="2"/>
        <v>47013750</v>
      </c>
      <c r="Q16" s="11">
        <v>5171512.5</v>
      </c>
      <c r="R16" s="11">
        <f>P16*1.5%</f>
        <v>705206.25</v>
      </c>
      <c r="S16" s="11">
        <v>0</v>
      </c>
      <c r="T16" s="11">
        <f>P16+Q16-S16-R16</f>
        <v>51480056.25</v>
      </c>
      <c r="U16" s="42">
        <v>29850</v>
      </c>
    </row>
    <row r="17" spans="1:21" s="36" customFormat="1" ht="15.45" x14ac:dyDescent="0.35">
      <c r="A17" s="19" t="s">
        <v>98</v>
      </c>
      <c r="B17" s="9">
        <v>45719</v>
      </c>
      <c r="C17" s="14" t="s">
        <v>923</v>
      </c>
      <c r="D17" s="10" t="s">
        <v>924</v>
      </c>
      <c r="E17" s="9">
        <v>45719</v>
      </c>
      <c r="F17" s="10" t="s">
        <v>84</v>
      </c>
      <c r="G17" s="10" t="s">
        <v>175</v>
      </c>
      <c r="H17" s="10" t="s">
        <v>25</v>
      </c>
      <c r="I17" s="10" t="s">
        <v>79</v>
      </c>
      <c r="J17" s="50" t="s">
        <v>1145</v>
      </c>
      <c r="K17" s="10" t="s">
        <v>1</v>
      </c>
      <c r="L17" s="12">
        <f t="shared" si="1"/>
        <v>33870</v>
      </c>
      <c r="M17" s="12">
        <v>1250</v>
      </c>
      <c r="N17" s="12">
        <v>0</v>
      </c>
      <c r="O17" s="11">
        <v>42337500</v>
      </c>
      <c r="P17" s="11">
        <f t="shared" si="2"/>
        <v>42337500</v>
      </c>
      <c r="Q17" s="11">
        <v>4657125</v>
      </c>
      <c r="R17" s="11">
        <f>P17*1.5%</f>
        <v>635062.5</v>
      </c>
      <c r="S17" s="11">
        <v>0</v>
      </c>
      <c r="T17" s="11">
        <f>P17+Q17-S17-R17</f>
        <v>46359562.5</v>
      </c>
      <c r="U17" s="42">
        <v>33870</v>
      </c>
    </row>
    <row r="18" spans="1:21" s="36" customFormat="1" ht="15.45" x14ac:dyDescent="0.35">
      <c r="A18" s="19" t="s">
        <v>97</v>
      </c>
      <c r="B18" s="9">
        <v>45720</v>
      </c>
      <c r="C18" s="14" t="s">
        <v>942</v>
      </c>
      <c r="D18" s="10" t="s">
        <v>943</v>
      </c>
      <c r="E18" s="9">
        <v>45716</v>
      </c>
      <c r="F18" s="10" t="s">
        <v>63</v>
      </c>
      <c r="G18" s="10" t="s">
        <v>52</v>
      </c>
      <c r="H18" s="10" t="s">
        <v>24</v>
      </c>
      <c r="I18" s="10" t="s">
        <v>61</v>
      </c>
      <c r="J18" s="50" t="s">
        <v>1119</v>
      </c>
      <c r="K18" s="10" t="s">
        <v>12</v>
      </c>
      <c r="L18" s="12">
        <f t="shared" si="1"/>
        <v>2</v>
      </c>
      <c r="M18" s="12">
        <v>2825000</v>
      </c>
      <c r="N18" s="12">
        <v>0</v>
      </c>
      <c r="O18" s="11">
        <v>5650000</v>
      </c>
      <c r="P18" s="11">
        <f t="shared" si="2"/>
        <v>5650000</v>
      </c>
      <c r="Q18" s="11">
        <v>621500</v>
      </c>
      <c r="R18" s="11"/>
      <c r="S18" s="11">
        <v>0</v>
      </c>
      <c r="T18" s="11">
        <f t="shared" ref="T18:T28" si="4">P18+Q18-S18</f>
        <v>6271500</v>
      </c>
      <c r="U18" s="42">
        <v>2</v>
      </c>
    </row>
    <row r="19" spans="1:21" s="36" customFormat="1" ht="15.45" x14ac:dyDescent="0.35">
      <c r="A19" s="19" t="s">
        <v>97</v>
      </c>
      <c r="B19" s="9">
        <v>45720</v>
      </c>
      <c r="C19" s="14" t="s">
        <v>936</v>
      </c>
      <c r="D19" s="10" t="s">
        <v>937</v>
      </c>
      <c r="E19" s="9">
        <v>45716</v>
      </c>
      <c r="F19" s="10" t="s">
        <v>63</v>
      </c>
      <c r="G19" s="10" t="s">
        <v>86</v>
      </c>
      <c r="H19" s="10" t="s">
        <v>24</v>
      </c>
      <c r="I19" s="10" t="s">
        <v>61</v>
      </c>
      <c r="J19" s="50" t="s">
        <v>1121</v>
      </c>
      <c r="K19" s="10" t="s">
        <v>6</v>
      </c>
      <c r="L19" s="12">
        <f t="shared" si="1"/>
        <v>5</v>
      </c>
      <c r="M19" s="12">
        <v>200000</v>
      </c>
      <c r="N19" s="12">
        <v>0</v>
      </c>
      <c r="O19" s="11">
        <v>1000000</v>
      </c>
      <c r="P19" s="11">
        <f t="shared" si="2"/>
        <v>1000000</v>
      </c>
      <c r="Q19" s="11">
        <v>110000</v>
      </c>
      <c r="R19" s="11"/>
      <c r="S19" s="11">
        <v>0</v>
      </c>
      <c r="T19" s="11">
        <f t="shared" si="4"/>
        <v>1110000</v>
      </c>
      <c r="U19" s="42">
        <v>5</v>
      </c>
    </row>
    <row r="20" spans="1:21" s="36" customFormat="1" ht="15.45" x14ac:dyDescent="0.35">
      <c r="A20" s="19" t="s">
        <v>97</v>
      </c>
      <c r="B20" s="9">
        <v>45720</v>
      </c>
      <c r="C20" s="14" t="s">
        <v>936</v>
      </c>
      <c r="D20" s="10" t="s">
        <v>937</v>
      </c>
      <c r="E20" s="9">
        <v>45716</v>
      </c>
      <c r="F20" s="10" t="s">
        <v>63</v>
      </c>
      <c r="G20" s="10" t="s">
        <v>646</v>
      </c>
      <c r="H20" s="10" t="s">
        <v>24</v>
      </c>
      <c r="I20" s="10" t="s">
        <v>61</v>
      </c>
      <c r="J20" s="50" t="s">
        <v>1121</v>
      </c>
      <c r="K20" s="10" t="s">
        <v>15</v>
      </c>
      <c r="L20" s="12">
        <f t="shared" si="1"/>
        <v>5</v>
      </c>
      <c r="M20" s="12">
        <v>200000</v>
      </c>
      <c r="N20" s="12">
        <v>0</v>
      </c>
      <c r="O20" s="11">
        <v>1000000</v>
      </c>
      <c r="P20" s="11">
        <f t="shared" si="2"/>
        <v>1000000</v>
      </c>
      <c r="Q20" s="11">
        <v>110000</v>
      </c>
      <c r="R20" s="11"/>
      <c r="S20" s="11">
        <v>0</v>
      </c>
      <c r="T20" s="11">
        <f t="shared" si="4"/>
        <v>1110000</v>
      </c>
      <c r="U20" s="42">
        <v>5</v>
      </c>
    </row>
    <row r="21" spans="1:21" s="36" customFormat="1" ht="15.45" x14ac:dyDescent="0.35">
      <c r="A21" s="19" t="s">
        <v>864</v>
      </c>
      <c r="B21" s="9">
        <v>45720</v>
      </c>
      <c r="C21" s="14" t="s">
        <v>944</v>
      </c>
      <c r="D21" s="10" t="s">
        <v>945</v>
      </c>
      <c r="E21" s="9">
        <v>45720</v>
      </c>
      <c r="F21" s="10" t="s">
        <v>853</v>
      </c>
      <c r="G21" s="10" t="s">
        <v>946</v>
      </c>
      <c r="H21" s="10" t="s">
        <v>24</v>
      </c>
      <c r="I21" s="10" t="s">
        <v>61</v>
      </c>
      <c r="J21" s="50" t="s">
        <v>1264</v>
      </c>
      <c r="K21" s="10" t="s">
        <v>145</v>
      </c>
      <c r="L21" s="12">
        <f t="shared" si="1"/>
        <v>3</v>
      </c>
      <c r="M21" s="12">
        <v>925000</v>
      </c>
      <c r="N21" s="12">
        <v>0</v>
      </c>
      <c r="O21" s="11">
        <v>2775000</v>
      </c>
      <c r="P21" s="11">
        <f t="shared" si="2"/>
        <v>2775000</v>
      </c>
      <c r="Q21" s="11">
        <v>305250</v>
      </c>
      <c r="R21" s="11"/>
      <c r="S21" s="11">
        <v>0</v>
      </c>
      <c r="T21" s="11">
        <f t="shared" si="4"/>
        <v>3080250</v>
      </c>
      <c r="U21" s="42">
        <v>3</v>
      </c>
    </row>
    <row r="22" spans="1:21" s="36" customFormat="1" ht="15.45" x14ac:dyDescent="0.35">
      <c r="A22" s="19" t="s">
        <v>117</v>
      </c>
      <c r="B22" s="9">
        <v>45720</v>
      </c>
      <c r="C22" s="14" t="s">
        <v>938</v>
      </c>
      <c r="D22" s="10" t="s">
        <v>939</v>
      </c>
      <c r="E22" s="9">
        <v>45720</v>
      </c>
      <c r="F22" s="10" t="s">
        <v>68</v>
      </c>
      <c r="G22" s="10" t="s">
        <v>940</v>
      </c>
      <c r="H22" s="10" t="s">
        <v>24</v>
      </c>
      <c r="I22" s="10" t="s">
        <v>61</v>
      </c>
      <c r="J22" s="50" t="s">
        <v>1534</v>
      </c>
      <c r="K22" s="10" t="s">
        <v>941</v>
      </c>
      <c r="L22" s="12">
        <f t="shared" si="1"/>
        <v>1</v>
      </c>
      <c r="M22" s="12">
        <v>342342</v>
      </c>
      <c r="N22" s="12">
        <v>0</v>
      </c>
      <c r="O22" s="11">
        <v>342342</v>
      </c>
      <c r="P22" s="11">
        <f t="shared" si="2"/>
        <v>342342</v>
      </c>
      <c r="Q22" s="11">
        <v>37657.620000000003</v>
      </c>
      <c r="R22" s="11"/>
      <c r="S22" s="11">
        <v>0</v>
      </c>
      <c r="T22" s="11">
        <f t="shared" si="4"/>
        <v>379999.62</v>
      </c>
      <c r="U22" s="42">
        <v>1</v>
      </c>
    </row>
    <row r="23" spans="1:21" s="36" customFormat="1" ht="15.45" x14ac:dyDescent="0.35">
      <c r="A23" s="19" t="s">
        <v>117</v>
      </c>
      <c r="B23" s="9">
        <v>45720</v>
      </c>
      <c r="C23" s="14" t="s">
        <v>938</v>
      </c>
      <c r="D23" s="10" t="s">
        <v>939</v>
      </c>
      <c r="E23" s="9">
        <v>45720</v>
      </c>
      <c r="F23" s="10" t="s">
        <v>68</v>
      </c>
      <c r="G23" s="10" t="s">
        <v>947</v>
      </c>
      <c r="H23" s="10" t="s">
        <v>24</v>
      </c>
      <c r="I23" s="10" t="s">
        <v>61</v>
      </c>
      <c r="J23" s="50" t="s">
        <v>1534</v>
      </c>
      <c r="K23" s="10" t="s">
        <v>3</v>
      </c>
      <c r="L23" s="12">
        <f t="shared" si="1"/>
        <v>1</v>
      </c>
      <c r="M23" s="12">
        <v>495495</v>
      </c>
      <c r="N23" s="12">
        <v>0</v>
      </c>
      <c r="O23" s="11">
        <v>495495</v>
      </c>
      <c r="P23" s="11">
        <f t="shared" si="2"/>
        <v>495495</v>
      </c>
      <c r="Q23" s="11">
        <v>54504.45</v>
      </c>
      <c r="R23" s="11"/>
      <c r="S23" s="11">
        <v>0</v>
      </c>
      <c r="T23" s="11">
        <f t="shared" si="4"/>
        <v>549999.44999999995</v>
      </c>
      <c r="U23" s="42">
        <v>1</v>
      </c>
    </row>
    <row r="24" spans="1:21" s="36" customFormat="1" ht="15.45" x14ac:dyDescent="0.35">
      <c r="A24" s="19" t="s">
        <v>117</v>
      </c>
      <c r="B24" s="9">
        <v>45720</v>
      </c>
      <c r="C24" s="14" t="s">
        <v>938</v>
      </c>
      <c r="D24" s="10" t="s">
        <v>939</v>
      </c>
      <c r="E24" s="9">
        <v>45720</v>
      </c>
      <c r="F24" s="10" t="s">
        <v>68</v>
      </c>
      <c r="G24" s="10" t="s">
        <v>948</v>
      </c>
      <c r="H24" s="10" t="s">
        <v>24</v>
      </c>
      <c r="I24" s="10" t="s">
        <v>61</v>
      </c>
      <c r="J24" s="50" t="s">
        <v>1534</v>
      </c>
      <c r="K24" s="10" t="s">
        <v>941</v>
      </c>
      <c r="L24" s="12">
        <f t="shared" si="1"/>
        <v>5</v>
      </c>
      <c r="M24" s="12">
        <v>38739</v>
      </c>
      <c r="N24" s="12">
        <v>0</v>
      </c>
      <c r="O24" s="11">
        <v>193695</v>
      </c>
      <c r="P24" s="11">
        <f t="shared" si="2"/>
        <v>193695</v>
      </c>
      <c r="Q24" s="11">
        <v>21306.45</v>
      </c>
      <c r="R24" s="11"/>
      <c r="S24" s="11">
        <v>0</v>
      </c>
      <c r="T24" s="11">
        <f t="shared" si="4"/>
        <v>215001.45</v>
      </c>
      <c r="U24" s="42">
        <v>5</v>
      </c>
    </row>
    <row r="25" spans="1:21" s="36" customFormat="1" ht="15.45" x14ac:dyDescent="0.35">
      <c r="A25" s="19" t="s">
        <v>117</v>
      </c>
      <c r="B25" s="9">
        <v>45720</v>
      </c>
      <c r="C25" s="14" t="s">
        <v>938</v>
      </c>
      <c r="D25" s="10" t="s">
        <v>939</v>
      </c>
      <c r="E25" s="9">
        <v>45720</v>
      </c>
      <c r="F25" s="10" t="s">
        <v>68</v>
      </c>
      <c r="G25" s="10" t="s">
        <v>949</v>
      </c>
      <c r="H25" s="10" t="s">
        <v>24</v>
      </c>
      <c r="I25" s="10" t="s">
        <v>61</v>
      </c>
      <c r="J25" s="50" t="s">
        <v>1534</v>
      </c>
      <c r="K25" s="10" t="s">
        <v>124</v>
      </c>
      <c r="L25" s="12">
        <f t="shared" si="1"/>
        <v>1</v>
      </c>
      <c r="M25" s="12">
        <v>148649</v>
      </c>
      <c r="N25" s="12">
        <v>0</v>
      </c>
      <c r="O25" s="11">
        <v>148649</v>
      </c>
      <c r="P25" s="11">
        <f t="shared" si="2"/>
        <v>148649</v>
      </c>
      <c r="Q25" s="11">
        <v>16351.39</v>
      </c>
      <c r="R25" s="11"/>
      <c r="S25" s="11">
        <v>0</v>
      </c>
      <c r="T25" s="11">
        <f t="shared" si="4"/>
        <v>165000.39000000001</v>
      </c>
      <c r="U25" s="42">
        <v>1</v>
      </c>
    </row>
    <row r="26" spans="1:21" s="36" customFormat="1" ht="15.45" x14ac:dyDescent="0.35">
      <c r="A26" s="19" t="s">
        <v>1028</v>
      </c>
      <c r="B26" s="9">
        <v>45719</v>
      </c>
      <c r="C26" s="14" t="s">
        <v>930</v>
      </c>
      <c r="D26" s="10" t="s">
        <v>931</v>
      </c>
      <c r="E26" s="9">
        <v>45720</v>
      </c>
      <c r="F26" s="10" t="s">
        <v>932</v>
      </c>
      <c r="G26" s="10" t="s">
        <v>933</v>
      </c>
      <c r="H26" s="10" t="s">
        <v>934</v>
      </c>
      <c r="I26" s="10" t="s">
        <v>935</v>
      </c>
      <c r="J26" s="50" t="s">
        <v>1539</v>
      </c>
      <c r="K26" s="10" t="s">
        <v>6</v>
      </c>
      <c r="L26" s="12">
        <f t="shared" si="1"/>
        <v>2</v>
      </c>
      <c r="M26" s="12">
        <v>810811</v>
      </c>
      <c r="N26" s="12">
        <v>0</v>
      </c>
      <c r="O26" s="11">
        <v>1621622</v>
      </c>
      <c r="P26" s="11">
        <f t="shared" si="2"/>
        <v>1621622</v>
      </c>
      <c r="Q26" s="11">
        <v>178378.42</v>
      </c>
      <c r="R26" s="11"/>
      <c r="S26" s="11">
        <v>0</v>
      </c>
      <c r="T26" s="11">
        <f t="shared" si="4"/>
        <v>1800000.42</v>
      </c>
      <c r="U26" s="42">
        <v>2</v>
      </c>
    </row>
    <row r="27" spans="1:21" s="36" customFormat="1" ht="15.45" x14ac:dyDescent="0.35">
      <c r="A27" s="19" t="s">
        <v>114</v>
      </c>
      <c r="B27" s="9">
        <v>45735</v>
      </c>
      <c r="C27" s="14" t="s">
        <v>1201</v>
      </c>
      <c r="D27" s="10" t="s">
        <v>928</v>
      </c>
      <c r="E27" s="9">
        <v>45716</v>
      </c>
      <c r="F27" s="10" t="s">
        <v>71</v>
      </c>
      <c r="G27" s="10" t="s">
        <v>76</v>
      </c>
      <c r="H27" s="10" t="s">
        <v>23</v>
      </c>
      <c r="I27" s="10" t="s">
        <v>978</v>
      </c>
      <c r="J27" s="50" t="s">
        <v>1530</v>
      </c>
      <c r="K27" s="10" t="s">
        <v>1</v>
      </c>
      <c r="L27" s="12">
        <f t="shared" si="1"/>
        <v>500</v>
      </c>
      <c r="M27" s="12">
        <v>30608.25</v>
      </c>
      <c r="N27" s="12">
        <v>16545</v>
      </c>
      <c r="O27" s="11">
        <v>15304125</v>
      </c>
      <c r="P27" s="11">
        <f t="shared" si="2"/>
        <v>15304125</v>
      </c>
      <c r="Q27" s="11">
        <v>1683453.75</v>
      </c>
      <c r="R27" s="11"/>
      <c r="S27" s="11">
        <v>0</v>
      </c>
      <c r="T27" s="11">
        <f t="shared" si="4"/>
        <v>16987578.75</v>
      </c>
      <c r="U27" s="42">
        <v>500</v>
      </c>
    </row>
    <row r="28" spans="1:21" s="36" customFormat="1" ht="15.45" x14ac:dyDescent="0.35">
      <c r="A28" s="19" t="s">
        <v>97</v>
      </c>
      <c r="B28" s="9">
        <v>45721</v>
      </c>
      <c r="C28" s="14" t="s">
        <v>994</v>
      </c>
      <c r="D28" s="10" t="s">
        <v>995</v>
      </c>
      <c r="E28" s="9">
        <v>45716</v>
      </c>
      <c r="F28" s="10" t="s">
        <v>63</v>
      </c>
      <c r="G28" s="10" t="s">
        <v>136</v>
      </c>
      <c r="H28" s="10" t="s">
        <v>24</v>
      </c>
      <c r="I28" s="10" t="s">
        <v>888</v>
      </c>
      <c r="J28" s="50" t="s">
        <v>1120</v>
      </c>
      <c r="K28" s="10" t="s">
        <v>5</v>
      </c>
      <c r="L28" s="12">
        <f t="shared" si="1"/>
        <v>1000</v>
      </c>
      <c r="M28" s="12">
        <v>39000</v>
      </c>
      <c r="N28" s="12">
        <v>0</v>
      </c>
      <c r="O28" s="11">
        <v>39000000</v>
      </c>
      <c r="P28" s="11">
        <f t="shared" si="2"/>
        <v>39000000</v>
      </c>
      <c r="Q28" s="11">
        <v>4290000</v>
      </c>
      <c r="R28" s="11"/>
      <c r="S28" s="11">
        <v>0</v>
      </c>
      <c r="T28" s="11">
        <f t="shared" si="4"/>
        <v>43290000</v>
      </c>
      <c r="U28" s="42">
        <v>1000</v>
      </c>
    </row>
    <row r="29" spans="1:21" s="36" customFormat="1" ht="15.45" x14ac:dyDescent="0.35">
      <c r="A29" s="19" t="s">
        <v>184</v>
      </c>
      <c r="B29" s="9">
        <v>45719</v>
      </c>
      <c r="C29" s="14" t="s">
        <v>911</v>
      </c>
      <c r="D29" s="10" t="s">
        <v>912</v>
      </c>
      <c r="E29" s="9">
        <v>45716</v>
      </c>
      <c r="F29" s="10" t="s">
        <v>183</v>
      </c>
      <c r="G29" s="10" t="s">
        <v>213</v>
      </c>
      <c r="H29" s="10" t="s">
        <v>23</v>
      </c>
      <c r="I29" s="10" t="s">
        <v>890</v>
      </c>
      <c r="J29" s="50" t="s">
        <v>1137</v>
      </c>
      <c r="K29" s="10" t="s">
        <v>1</v>
      </c>
      <c r="L29" s="12">
        <f t="shared" ref="L29:L60" si="5">IF(LEFT(C29,2)="RP",U29*-1,U29)</f>
        <v>120</v>
      </c>
      <c r="M29" s="12">
        <v>56253</v>
      </c>
      <c r="N29" s="12">
        <v>16545</v>
      </c>
      <c r="O29" s="11">
        <v>6750360</v>
      </c>
      <c r="P29" s="11">
        <f t="shared" ref="P29:P60" si="6">O29</f>
        <v>6750360</v>
      </c>
      <c r="Q29" s="11">
        <v>742539.6</v>
      </c>
      <c r="R29" s="11"/>
      <c r="S29" s="11">
        <v>0</v>
      </c>
      <c r="T29" s="11">
        <f t="shared" ref="T29:T37" si="7">P29+Q29-S29</f>
        <v>7492899.5999999996</v>
      </c>
      <c r="U29" s="42">
        <v>120</v>
      </c>
    </row>
    <row r="30" spans="1:21" s="36" customFormat="1" ht="15.45" x14ac:dyDescent="0.35">
      <c r="A30" s="19" t="s">
        <v>184</v>
      </c>
      <c r="B30" s="9">
        <v>45719</v>
      </c>
      <c r="C30" s="14" t="s">
        <v>918</v>
      </c>
      <c r="D30" s="10" t="s">
        <v>919</v>
      </c>
      <c r="E30" s="9">
        <v>45715</v>
      </c>
      <c r="F30" s="10" t="s">
        <v>183</v>
      </c>
      <c r="G30" s="10" t="s">
        <v>201</v>
      </c>
      <c r="H30" s="10" t="s">
        <v>23</v>
      </c>
      <c r="I30" s="10" t="s">
        <v>890</v>
      </c>
      <c r="J30" s="50" t="s">
        <v>1136</v>
      </c>
      <c r="K30" s="10" t="s">
        <v>1</v>
      </c>
      <c r="L30" s="12">
        <f t="shared" si="5"/>
        <v>400</v>
      </c>
      <c r="M30" s="12">
        <v>26232</v>
      </c>
      <c r="N30" s="12">
        <v>16395</v>
      </c>
      <c r="O30" s="11">
        <v>10492800</v>
      </c>
      <c r="P30" s="11">
        <f t="shared" si="6"/>
        <v>10492800</v>
      </c>
      <c r="Q30" s="11">
        <v>1154208</v>
      </c>
      <c r="R30" s="11"/>
      <c r="S30" s="11">
        <v>0</v>
      </c>
      <c r="T30" s="11">
        <f t="shared" si="7"/>
        <v>11647008</v>
      </c>
      <c r="U30" s="42">
        <v>400</v>
      </c>
    </row>
    <row r="31" spans="1:21" s="36" customFormat="1" ht="15.45" x14ac:dyDescent="0.35">
      <c r="A31" s="19" t="s">
        <v>103</v>
      </c>
      <c r="B31" s="9">
        <v>45723</v>
      </c>
      <c r="C31" s="14" t="s">
        <v>1020</v>
      </c>
      <c r="D31" s="10" t="s">
        <v>1021</v>
      </c>
      <c r="E31" s="9">
        <v>45721</v>
      </c>
      <c r="F31" s="10" t="s">
        <v>70</v>
      </c>
      <c r="G31" s="10" t="s">
        <v>46</v>
      </c>
      <c r="H31" s="10" t="s">
        <v>23</v>
      </c>
      <c r="I31" s="10" t="s">
        <v>889</v>
      </c>
      <c r="J31" s="50" t="s">
        <v>1140</v>
      </c>
      <c r="K31" s="10" t="s">
        <v>1</v>
      </c>
      <c r="L31" s="12">
        <f t="shared" si="5"/>
        <v>240</v>
      </c>
      <c r="M31" s="12">
        <v>24000</v>
      </c>
      <c r="N31" s="12">
        <v>0</v>
      </c>
      <c r="O31" s="11">
        <v>5760000</v>
      </c>
      <c r="P31" s="11">
        <f t="shared" si="6"/>
        <v>5760000</v>
      </c>
      <c r="Q31" s="11">
        <v>633600</v>
      </c>
      <c r="R31" s="11"/>
      <c r="S31" s="11">
        <v>0</v>
      </c>
      <c r="T31" s="11">
        <f t="shared" si="7"/>
        <v>6393600</v>
      </c>
      <c r="U31" s="42">
        <v>240</v>
      </c>
    </row>
    <row r="32" spans="1:21" s="36" customFormat="1" ht="15.45" x14ac:dyDescent="0.35">
      <c r="A32" s="19" t="s">
        <v>103</v>
      </c>
      <c r="B32" s="9">
        <v>45723</v>
      </c>
      <c r="C32" s="14" t="s">
        <v>1020</v>
      </c>
      <c r="D32" s="10" t="s">
        <v>1021</v>
      </c>
      <c r="E32" s="9">
        <v>45721</v>
      </c>
      <c r="F32" s="10" t="s">
        <v>70</v>
      </c>
      <c r="G32" s="10" t="s">
        <v>47</v>
      </c>
      <c r="H32" s="10" t="s">
        <v>23</v>
      </c>
      <c r="I32" s="10" t="s">
        <v>889</v>
      </c>
      <c r="J32" s="50" t="s">
        <v>1140</v>
      </c>
      <c r="K32" s="10" t="s">
        <v>1</v>
      </c>
      <c r="L32" s="12">
        <f t="shared" si="5"/>
        <v>240</v>
      </c>
      <c r="M32" s="12">
        <v>23000</v>
      </c>
      <c r="N32" s="12">
        <v>0</v>
      </c>
      <c r="O32" s="11">
        <v>5520000</v>
      </c>
      <c r="P32" s="11">
        <f t="shared" si="6"/>
        <v>5520000</v>
      </c>
      <c r="Q32" s="11">
        <v>607200</v>
      </c>
      <c r="R32" s="11"/>
      <c r="S32" s="11">
        <v>0</v>
      </c>
      <c r="T32" s="11">
        <f t="shared" si="7"/>
        <v>6127200</v>
      </c>
      <c r="U32" s="42">
        <v>240</v>
      </c>
    </row>
    <row r="33" spans="1:21" s="36" customFormat="1" ht="15.45" x14ac:dyDescent="0.35">
      <c r="A33" s="19" t="s">
        <v>148</v>
      </c>
      <c r="B33" s="9">
        <v>45729</v>
      </c>
      <c r="C33" s="14" t="s">
        <v>1062</v>
      </c>
      <c r="D33" s="10" t="s">
        <v>1063</v>
      </c>
      <c r="E33" s="9">
        <v>45727</v>
      </c>
      <c r="F33" s="10" t="s">
        <v>141</v>
      </c>
      <c r="G33" s="10" t="s">
        <v>142</v>
      </c>
      <c r="H33" s="10" t="s">
        <v>23</v>
      </c>
      <c r="I33" s="10" t="s">
        <v>887</v>
      </c>
      <c r="J33" s="50" t="s">
        <v>1532</v>
      </c>
      <c r="K33" s="10" t="s">
        <v>1</v>
      </c>
      <c r="L33" s="12">
        <f t="shared" si="5"/>
        <v>375</v>
      </c>
      <c r="M33" s="12">
        <v>14750</v>
      </c>
      <c r="N33" s="12">
        <v>0</v>
      </c>
      <c r="O33" s="11">
        <v>5531250</v>
      </c>
      <c r="P33" s="11">
        <f t="shared" si="6"/>
        <v>5531250</v>
      </c>
      <c r="Q33" s="11">
        <v>608437.5</v>
      </c>
      <c r="R33" s="11"/>
      <c r="S33" s="11">
        <v>0</v>
      </c>
      <c r="T33" s="11">
        <f t="shared" si="7"/>
        <v>6139687.5</v>
      </c>
      <c r="U33" s="42">
        <v>375</v>
      </c>
    </row>
    <row r="34" spans="1:21" s="36" customFormat="1" ht="15.45" x14ac:dyDescent="0.35">
      <c r="A34" s="19" t="s">
        <v>148</v>
      </c>
      <c r="B34" s="9">
        <v>45730</v>
      </c>
      <c r="C34" s="14" t="s">
        <v>1095</v>
      </c>
      <c r="D34" s="10" t="s">
        <v>1063</v>
      </c>
      <c r="E34" s="9">
        <v>45727</v>
      </c>
      <c r="F34" s="10" t="s">
        <v>141</v>
      </c>
      <c r="G34" s="10" t="s">
        <v>142</v>
      </c>
      <c r="H34" s="10" t="s">
        <v>23</v>
      </c>
      <c r="I34" s="10" t="s">
        <v>887</v>
      </c>
      <c r="J34" s="50" t="s">
        <v>1533</v>
      </c>
      <c r="K34" s="10" t="s">
        <v>1</v>
      </c>
      <c r="L34" s="12">
        <f t="shared" si="5"/>
        <v>125</v>
      </c>
      <c r="M34" s="12">
        <v>14750</v>
      </c>
      <c r="N34" s="12">
        <v>0</v>
      </c>
      <c r="O34" s="11">
        <v>1843750</v>
      </c>
      <c r="P34" s="11">
        <f t="shared" si="6"/>
        <v>1843750</v>
      </c>
      <c r="Q34" s="11">
        <v>202812.5</v>
      </c>
      <c r="R34" s="11"/>
      <c r="S34" s="11">
        <v>0</v>
      </c>
      <c r="T34" s="11">
        <f t="shared" si="7"/>
        <v>2046562.5</v>
      </c>
      <c r="U34" s="42">
        <v>125</v>
      </c>
    </row>
    <row r="35" spans="1:21" s="36" customFormat="1" ht="15.45" x14ac:dyDescent="0.35">
      <c r="A35" s="19" t="s">
        <v>132</v>
      </c>
      <c r="B35" s="9">
        <v>45722</v>
      </c>
      <c r="C35" s="14" t="s">
        <v>1010</v>
      </c>
      <c r="D35" s="10" t="s">
        <v>1011</v>
      </c>
      <c r="E35" s="9">
        <v>45722</v>
      </c>
      <c r="F35" s="10" t="s">
        <v>129</v>
      </c>
      <c r="G35" s="10" t="s">
        <v>1012</v>
      </c>
      <c r="H35" s="10" t="s">
        <v>24</v>
      </c>
      <c r="I35" s="10" t="s">
        <v>61</v>
      </c>
      <c r="J35" s="10"/>
      <c r="K35" s="10" t="s">
        <v>941</v>
      </c>
      <c r="L35" s="12">
        <f t="shared" si="5"/>
        <v>1</v>
      </c>
      <c r="M35" s="12">
        <v>203000</v>
      </c>
      <c r="N35" s="12">
        <v>0</v>
      </c>
      <c r="O35" s="11">
        <v>203000</v>
      </c>
      <c r="P35" s="11">
        <f t="shared" si="6"/>
        <v>203000</v>
      </c>
      <c r="Q35" s="11">
        <v>0</v>
      </c>
      <c r="R35" s="11"/>
      <c r="S35" s="11">
        <v>0</v>
      </c>
      <c r="T35" s="11">
        <f t="shared" si="7"/>
        <v>203000</v>
      </c>
      <c r="U35" s="42">
        <v>1</v>
      </c>
    </row>
    <row r="36" spans="1:21" s="36" customFormat="1" ht="15.45" x14ac:dyDescent="0.35">
      <c r="A36" s="19" t="s">
        <v>132</v>
      </c>
      <c r="B36" s="9">
        <v>45722</v>
      </c>
      <c r="C36" s="14" t="s">
        <v>1010</v>
      </c>
      <c r="D36" s="10" t="s">
        <v>1011</v>
      </c>
      <c r="E36" s="9">
        <v>45722</v>
      </c>
      <c r="F36" s="10" t="s">
        <v>129</v>
      </c>
      <c r="G36" s="10" t="s">
        <v>629</v>
      </c>
      <c r="H36" s="10" t="s">
        <v>24</v>
      </c>
      <c r="I36" s="10" t="s">
        <v>61</v>
      </c>
      <c r="J36" s="10"/>
      <c r="K36" s="10" t="s">
        <v>6</v>
      </c>
      <c r="L36" s="12">
        <f t="shared" si="5"/>
        <v>150</v>
      </c>
      <c r="M36" s="12">
        <v>1500</v>
      </c>
      <c r="N36" s="12">
        <v>0</v>
      </c>
      <c r="O36" s="11">
        <v>225000</v>
      </c>
      <c r="P36" s="11">
        <f t="shared" si="6"/>
        <v>225000</v>
      </c>
      <c r="Q36" s="11">
        <v>0</v>
      </c>
      <c r="R36" s="11"/>
      <c r="S36" s="11">
        <v>0</v>
      </c>
      <c r="T36" s="11">
        <f t="shared" si="7"/>
        <v>225000</v>
      </c>
      <c r="U36" s="42">
        <v>150</v>
      </c>
    </row>
    <row r="37" spans="1:21" s="36" customFormat="1" ht="15.45" x14ac:dyDescent="0.35">
      <c r="A37" s="19" t="s">
        <v>132</v>
      </c>
      <c r="B37" s="9">
        <v>45722</v>
      </c>
      <c r="C37" s="14" t="s">
        <v>1010</v>
      </c>
      <c r="D37" s="10" t="s">
        <v>1011</v>
      </c>
      <c r="E37" s="9">
        <v>45722</v>
      </c>
      <c r="F37" s="10" t="s">
        <v>129</v>
      </c>
      <c r="G37" s="10" t="s">
        <v>1013</v>
      </c>
      <c r="H37" s="10" t="s">
        <v>24</v>
      </c>
      <c r="I37" s="10" t="s">
        <v>61</v>
      </c>
      <c r="J37" s="10"/>
      <c r="K37" s="10" t="s">
        <v>6</v>
      </c>
      <c r="L37" s="12">
        <f t="shared" si="5"/>
        <v>10</v>
      </c>
      <c r="M37" s="12">
        <v>7500</v>
      </c>
      <c r="N37" s="12">
        <v>0</v>
      </c>
      <c r="O37" s="11">
        <v>75000</v>
      </c>
      <c r="P37" s="11">
        <f t="shared" si="6"/>
        <v>75000</v>
      </c>
      <c r="Q37" s="11">
        <v>0</v>
      </c>
      <c r="R37" s="11"/>
      <c r="S37" s="11">
        <v>0</v>
      </c>
      <c r="T37" s="11">
        <f t="shared" si="7"/>
        <v>75000</v>
      </c>
      <c r="U37" s="42">
        <v>10</v>
      </c>
    </row>
    <row r="38" spans="1:21" s="36" customFormat="1" ht="15.45" x14ac:dyDescent="0.35">
      <c r="A38" s="19" t="s">
        <v>98</v>
      </c>
      <c r="B38" s="9">
        <v>45722</v>
      </c>
      <c r="C38" s="14" t="s">
        <v>1014</v>
      </c>
      <c r="D38" s="10" t="s">
        <v>924</v>
      </c>
      <c r="E38" s="9">
        <v>45719</v>
      </c>
      <c r="F38" s="10" t="s">
        <v>84</v>
      </c>
      <c r="G38" s="10" t="s">
        <v>175</v>
      </c>
      <c r="H38" s="10" t="s">
        <v>25</v>
      </c>
      <c r="I38" s="10" t="s">
        <v>79</v>
      </c>
      <c r="J38" s="50" t="s">
        <v>1145</v>
      </c>
      <c r="K38" s="10" t="s">
        <v>1</v>
      </c>
      <c r="L38" s="12">
        <f t="shared" si="5"/>
        <v>34790</v>
      </c>
      <c r="M38" s="12">
        <v>1250</v>
      </c>
      <c r="N38" s="12">
        <v>0</v>
      </c>
      <c r="O38" s="11">
        <v>43487500</v>
      </c>
      <c r="P38" s="11">
        <f t="shared" si="6"/>
        <v>43487500</v>
      </c>
      <c r="Q38" s="11">
        <v>4783625</v>
      </c>
      <c r="R38" s="11">
        <f>P38*1.5%</f>
        <v>652312.5</v>
      </c>
      <c r="S38" s="11">
        <v>0</v>
      </c>
      <c r="T38" s="11">
        <f>P38+Q38-S38-R38</f>
        <v>47618812.5</v>
      </c>
      <c r="U38" s="42">
        <v>34790</v>
      </c>
    </row>
    <row r="39" spans="1:21" s="36" customFormat="1" ht="15.45" x14ac:dyDescent="0.35">
      <c r="A39" s="19" t="s">
        <v>115</v>
      </c>
      <c r="B39" s="9">
        <v>45722</v>
      </c>
      <c r="C39" s="14" t="s">
        <v>1015</v>
      </c>
      <c r="D39" s="10" t="s">
        <v>1016</v>
      </c>
      <c r="E39" s="9">
        <v>45719</v>
      </c>
      <c r="F39" s="10" t="s">
        <v>81</v>
      </c>
      <c r="G39" s="10" t="s">
        <v>89</v>
      </c>
      <c r="H39" s="10" t="s">
        <v>25</v>
      </c>
      <c r="I39" s="10" t="s">
        <v>79</v>
      </c>
      <c r="J39" s="50" t="s">
        <v>1276</v>
      </c>
      <c r="K39" s="10" t="s">
        <v>1</v>
      </c>
      <c r="L39" s="12">
        <f t="shared" si="5"/>
        <v>30460</v>
      </c>
      <c r="M39" s="12">
        <v>1565</v>
      </c>
      <c r="N39" s="12">
        <v>0</v>
      </c>
      <c r="O39" s="11">
        <v>47669900</v>
      </c>
      <c r="P39" s="11">
        <f t="shared" si="6"/>
        <v>47669900</v>
      </c>
      <c r="Q39" s="11">
        <v>5243689</v>
      </c>
      <c r="R39" s="11">
        <f>P39*1.5%</f>
        <v>715048.5</v>
      </c>
      <c r="S39" s="11">
        <v>0</v>
      </c>
      <c r="T39" s="11">
        <f>P39+Q39-S39-R39</f>
        <v>52198540.5</v>
      </c>
      <c r="U39" s="42">
        <v>30460</v>
      </c>
    </row>
    <row r="40" spans="1:21" s="36" customFormat="1" ht="15.45" x14ac:dyDescent="0.35">
      <c r="A40" s="19" t="s">
        <v>97</v>
      </c>
      <c r="B40" s="9">
        <v>45723</v>
      </c>
      <c r="C40" s="14" t="s">
        <v>1017</v>
      </c>
      <c r="D40" s="10" t="s">
        <v>1018</v>
      </c>
      <c r="E40" s="9">
        <v>45722</v>
      </c>
      <c r="F40" s="10" t="s">
        <v>63</v>
      </c>
      <c r="G40" s="10" t="s">
        <v>88</v>
      </c>
      <c r="H40" s="10" t="s">
        <v>24</v>
      </c>
      <c r="I40" s="10" t="s">
        <v>61</v>
      </c>
      <c r="J40" s="50" t="s">
        <v>1135</v>
      </c>
      <c r="K40" s="10" t="s">
        <v>6</v>
      </c>
      <c r="L40" s="12">
        <f t="shared" si="5"/>
        <v>5</v>
      </c>
      <c r="M40" s="12">
        <v>285000</v>
      </c>
      <c r="N40" s="12">
        <v>0</v>
      </c>
      <c r="O40" s="11">
        <v>1425000</v>
      </c>
      <c r="P40" s="11">
        <f t="shared" si="6"/>
        <v>1425000</v>
      </c>
      <c r="Q40" s="11">
        <v>156750</v>
      </c>
      <c r="R40" s="11"/>
      <c r="S40" s="11">
        <v>0</v>
      </c>
      <c r="T40" s="11">
        <f t="shared" ref="T40:T52" si="8">P40+Q40-S40</f>
        <v>1581750</v>
      </c>
      <c r="U40" s="42">
        <v>5</v>
      </c>
    </row>
    <row r="41" spans="1:21" s="36" customFormat="1" ht="15.45" x14ac:dyDescent="0.35">
      <c r="A41" s="19" t="s">
        <v>97</v>
      </c>
      <c r="B41" s="9">
        <v>45723</v>
      </c>
      <c r="C41" s="14" t="s">
        <v>1017</v>
      </c>
      <c r="D41" s="10" t="s">
        <v>1018</v>
      </c>
      <c r="E41" s="9">
        <v>45722</v>
      </c>
      <c r="F41" s="10" t="s">
        <v>63</v>
      </c>
      <c r="G41" s="10" t="s">
        <v>1019</v>
      </c>
      <c r="H41" s="10" t="s">
        <v>24</v>
      </c>
      <c r="I41" s="10" t="s">
        <v>61</v>
      </c>
      <c r="J41" s="50" t="s">
        <v>1135</v>
      </c>
      <c r="K41" s="10" t="s">
        <v>6</v>
      </c>
      <c r="L41" s="12">
        <f t="shared" si="5"/>
        <v>2</v>
      </c>
      <c r="M41" s="12">
        <v>1000000</v>
      </c>
      <c r="N41" s="12">
        <v>0</v>
      </c>
      <c r="O41" s="11">
        <v>2000000</v>
      </c>
      <c r="P41" s="11">
        <f t="shared" si="6"/>
        <v>2000000</v>
      </c>
      <c r="Q41" s="11">
        <v>220000</v>
      </c>
      <c r="R41" s="11"/>
      <c r="S41" s="11">
        <v>0</v>
      </c>
      <c r="T41" s="11">
        <f t="shared" si="8"/>
        <v>2220000</v>
      </c>
      <c r="U41" s="42">
        <v>2</v>
      </c>
    </row>
    <row r="42" spans="1:21" s="36" customFormat="1" ht="15.45" x14ac:dyDescent="0.35">
      <c r="A42" s="19" t="s">
        <v>138</v>
      </c>
      <c r="B42" s="9">
        <v>45728</v>
      </c>
      <c r="C42" s="14" t="s">
        <v>1052</v>
      </c>
      <c r="D42" s="10" t="s">
        <v>1053</v>
      </c>
      <c r="E42" s="9">
        <v>45727</v>
      </c>
      <c r="F42" s="10" t="s">
        <v>137</v>
      </c>
      <c r="G42" s="10" t="s">
        <v>53</v>
      </c>
      <c r="H42" s="10" t="s">
        <v>23</v>
      </c>
      <c r="I42" s="10" t="s">
        <v>978</v>
      </c>
      <c r="J42" s="50" t="s">
        <v>1270</v>
      </c>
      <c r="K42" s="10" t="s">
        <v>1</v>
      </c>
      <c r="L42" s="12">
        <f t="shared" si="5"/>
        <v>500</v>
      </c>
      <c r="M42" s="12">
        <v>11500</v>
      </c>
      <c r="N42" s="12">
        <v>0</v>
      </c>
      <c r="O42" s="11">
        <v>5750000</v>
      </c>
      <c r="P42" s="11">
        <f t="shared" si="6"/>
        <v>5750000</v>
      </c>
      <c r="Q42" s="11">
        <v>632500</v>
      </c>
      <c r="R42" s="11"/>
      <c r="S42" s="11">
        <v>0</v>
      </c>
      <c r="T42" s="11">
        <f t="shared" si="8"/>
        <v>6382500</v>
      </c>
      <c r="U42" s="42">
        <v>500</v>
      </c>
    </row>
    <row r="43" spans="1:21" s="36" customFormat="1" ht="15.45" x14ac:dyDescent="0.35">
      <c r="A43" s="19" t="s">
        <v>138</v>
      </c>
      <c r="B43" s="9">
        <v>45731</v>
      </c>
      <c r="C43" s="14" t="s">
        <v>1162</v>
      </c>
      <c r="D43" s="10" t="s">
        <v>1053</v>
      </c>
      <c r="E43" s="9">
        <v>45727</v>
      </c>
      <c r="F43" s="10" t="s">
        <v>137</v>
      </c>
      <c r="G43" s="10" t="s">
        <v>53</v>
      </c>
      <c r="H43" s="10" t="s">
        <v>23</v>
      </c>
      <c r="I43" s="10" t="s">
        <v>978</v>
      </c>
      <c r="J43" s="50" t="s">
        <v>1271</v>
      </c>
      <c r="K43" s="10" t="s">
        <v>1</v>
      </c>
      <c r="L43" s="12">
        <f t="shared" si="5"/>
        <v>500</v>
      </c>
      <c r="M43" s="12">
        <v>11500</v>
      </c>
      <c r="N43" s="12">
        <v>0</v>
      </c>
      <c r="O43" s="11">
        <v>5750000</v>
      </c>
      <c r="P43" s="11">
        <f t="shared" si="6"/>
        <v>5750000</v>
      </c>
      <c r="Q43" s="11">
        <v>632500</v>
      </c>
      <c r="R43" s="11"/>
      <c r="S43" s="11">
        <v>0</v>
      </c>
      <c r="T43" s="11">
        <f t="shared" si="8"/>
        <v>6382500</v>
      </c>
      <c r="U43" s="42">
        <v>500</v>
      </c>
    </row>
    <row r="44" spans="1:21" s="36" customFormat="1" ht="15.45" x14ac:dyDescent="0.35">
      <c r="A44" s="19" t="s">
        <v>106</v>
      </c>
      <c r="B44" s="9">
        <v>45734</v>
      </c>
      <c r="C44" s="14" t="s">
        <v>1169</v>
      </c>
      <c r="D44" s="10" t="s">
        <v>1170</v>
      </c>
      <c r="E44" s="9">
        <v>45727</v>
      </c>
      <c r="F44" s="10" t="s">
        <v>66</v>
      </c>
      <c r="G44" s="10" t="s">
        <v>53</v>
      </c>
      <c r="H44" s="10" t="s">
        <v>23</v>
      </c>
      <c r="I44" s="10" t="s">
        <v>978</v>
      </c>
      <c r="J44" s="50" t="s">
        <v>1523</v>
      </c>
      <c r="K44" s="10" t="s">
        <v>1</v>
      </c>
      <c r="L44" s="12">
        <f t="shared" si="5"/>
        <v>1000</v>
      </c>
      <c r="M44" s="12">
        <v>11500</v>
      </c>
      <c r="N44" s="12">
        <v>0</v>
      </c>
      <c r="O44" s="11">
        <v>11500000</v>
      </c>
      <c r="P44" s="11">
        <f t="shared" si="6"/>
        <v>11500000</v>
      </c>
      <c r="Q44" s="11">
        <v>1265000</v>
      </c>
      <c r="R44" s="11"/>
      <c r="S44" s="11">
        <v>0</v>
      </c>
      <c r="T44" s="11">
        <f t="shared" si="8"/>
        <v>12765000</v>
      </c>
      <c r="U44" s="42">
        <v>1000</v>
      </c>
    </row>
    <row r="45" spans="1:21" s="36" customFormat="1" ht="15.45" x14ac:dyDescent="0.35">
      <c r="A45" s="19" t="s">
        <v>102</v>
      </c>
      <c r="B45" s="9">
        <v>45724</v>
      </c>
      <c r="C45" s="14" t="s">
        <v>1023</v>
      </c>
      <c r="D45" s="10" t="s">
        <v>790</v>
      </c>
      <c r="E45" s="9">
        <v>45707</v>
      </c>
      <c r="F45" s="10" t="s">
        <v>65</v>
      </c>
      <c r="G45" s="10" t="s">
        <v>48</v>
      </c>
      <c r="H45" s="10" t="s">
        <v>24</v>
      </c>
      <c r="I45" s="10" t="s">
        <v>61</v>
      </c>
      <c r="J45" s="50" t="s">
        <v>1156</v>
      </c>
      <c r="K45" s="10" t="s">
        <v>15</v>
      </c>
      <c r="L45" s="12">
        <f t="shared" si="5"/>
        <v>288</v>
      </c>
      <c r="M45" s="12">
        <v>8200</v>
      </c>
      <c r="N45" s="12">
        <v>0</v>
      </c>
      <c r="O45" s="11">
        <v>2361600</v>
      </c>
      <c r="P45" s="11">
        <f t="shared" si="6"/>
        <v>2361600</v>
      </c>
      <c r="Q45" s="11">
        <v>259776</v>
      </c>
      <c r="R45" s="11"/>
      <c r="S45" s="11">
        <v>0</v>
      </c>
      <c r="T45" s="11">
        <f t="shared" si="8"/>
        <v>2621376</v>
      </c>
      <c r="U45" s="42">
        <v>288</v>
      </c>
    </row>
    <row r="46" spans="1:21" s="36" customFormat="1" ht="15.45" x14ac:dyDescent="0.35">
      <c r="A46" s="19" t="s">
        <v>107</v>
      </c>
      <c r="B46" s="9">
        <v>45723</v>
      </c>
      <c r="C46" s="14" t="s">
        <v>1024</v>
      </c>
      <c r="D46" s="10" t="s">
        <v>1025</v>
      </c>
      <c r="E46" s="9">
        <v>45712</v>
      </c>
      <c r="F46" s="10" t="s">
        <v>60</v>
      </c>
      <c r="G46" s="10" t="s">
        <v>82</v>
      </c>
      <c r="H46" s="10" t="s">
        <v>24</v>
      </c>
      <c r="I46" s="10" t="s">
        <v>61</v>
      </c>
      <c r="J46" s="50" t="s">
        <v>1115</v>
      </c>
      <c r="K46" s="10" t="s">
        <v>1</v>
      </c>
      <c r="L46" s="12">
        <f t="shared" si="5"/>
        <v>249</v>
      </c>
      <c r="M46" s="12">
        <v>24500</v>
      </c>
      <c r="N46" s="12">
        <v>0</v>
      </c>
      <c r="O46" s="11">
        <v>6100500</v>
      </c>
      <c r="P46" s="11">
        <f t="shared" si="6"/>
        <v>6100500</v>
      </c>
      <c r="Q46" s="11">
        <v>671055</v>
      </c>
      <c r="R46" s="11"/>
      <c r="S46" s="11">
        <v>0</v>
      </c>
      <c r="T46" s="11">
        <f t="shared" si="8"/>
        <v>6771555</v>
      </c>
      <c r="U46" s="42">
        <v>249</v>
      </c>
    </row>
    <row r="47" spans="1:21" s="36" customFormat="1" ht="15.45" x14ac:dyDescent="0.35">
      <c r="A47" s="19" t="s">
        <v>107</v>
      </c>
      <c r="B47" s="9">
        <v>45723</v>
      </c>
      <c r="C47" s="14" t="s">
        <v>1024</v>
      </c>
      <c r="D47" s="10" t="s">
        <v>1025</v>
      </c>
      <c r="E47" s="9">
        <v>45712</v>
      </c>
      <c r="F47" s="10" t="s">
        <v>60</v>
      </c>
      <c r="G47" s="10" t="s">
        <v>1026</v>
      </c>
      <c r="H47" s="10" t="s">
        <v>24</v>
      </c>
      <c r="I47" s="10" t="s">
        <v>61</v>
      </c>
      <c r="J47" s="50" t="s">
        <v>1115</v>
      </c>
      <c r="K47" s="10" t="s">
        <v>1</v>
      </c>
      <c r="L47" s="12">
        <f t="shared" si="5"/>
        <v>237.65</v>
      </c>
      <c r="M47" s="12">
        <v>24500</v>
      </c>
      <c r="N47" s="12">
        <v>0</v>
      </c>
      <c r="O47" s="11">
        <v>5822425</v>
      </c>
      <c r="P47" s="11">
        <f t="shared" si="6"/>
        <v>5822425</v>
      </c>
      <c r="Q47" s="11">
        <v>640466.75</v>
      </c>
      <c r="R47" s="11"/>
      <c r="S47" s="11">
        <v>0</v>
      </c>
      <c r="T47" s="11">
        <f t="shared" si="8"/>
        <v>6462891.75</v>
      </c>
      <c r="U47" s="42">
        <v>237.65</v>
      </c>
    </row>
    <row r="48" spans="1:21" s="36" customFormat="1" ht="15.45" x14ac:dyDescent="0.35">
      <c r="A48" s="19" t="s">
        <v>107</v>
      </c>
      <c r="B48" s="9">
        <v>45723</v>
      </c>
      <c r="C48" s="14" t="s">
        <v>1024</v>
      </c>
      <c r="D48" s="10" t="s">
        <v>1025</v>
      </c>
      <c r="E48" s="9">
        <v>45712</v>
      </c>
      <c r="F48" s="10" t="s">
        <v>60</v>
      </c>
      <c r="G48" s="10" t="s">
        <v>1027</v>
      </c>
      <c r="H48" s="10" t="s">
        <v>24</v>
      </c>
      <c r="I48" s="10" t="s">
        <v>61</v>
      </c>
      <c r="J48" s="50" t="s">
        <v>1115</v>
      </c>
      <c r="K48" s="10" t="s">
        <v>1</v>
      </c>
      <c r="L48" s="12">
        <f t="shared" si="5"/>
        <v>243.85</v>
      </c>
      <c r="M48" s="12">
        <v>24500</v>
      </c>
      <c r="N48" s="12">
        <v>0</v>
      </c>
      <c r="O48" s="11">
        <v>5974325</v>
      </c>
      <c r="P48" s="11">
        <f t="shared" si="6"/>
        <v>5974325</v>
      </c>
      <c r="Q48" s="11">
        <v>657175.75</v>
      </c>
      <c r="R48" s="11"/>
      <c r="S48" s="11">
        <v>0</v>
      </c>
      <c r="T48" s="11">
        <f t="shared" si="8"/>
        <v>6631500.75</v>
      </c>
      <c r="U48" s="42">
        <v>243.85</v>
      </c>
    </row>
    <row r="49" spans="1:22" s="36" customFormat="1" ht="15.45" x14ac:dyDescent="0.35">
      <c r="A49" s="19" t="s">
        <v>1114</v>
      </c>
      <c r="B49" s="9">
        <v>45726</v>
      </c>
      <c r="C49" s="14" t="s">
        <v>1030</v>
      </c>
      <c r="D49" s="10" t="s">
        <v>1031</v>
      </c>
      <c r="E49" s="9">
        <v>45726</v>
      </c>
      <c r="F49" s="10" t="s">
        <v>1032</v>
      </c>
      <c r="G49" s="10" t="s">
        <v>1033</v>
      </c>
      <c r="H49" s="10" t="s">
        <v>24</v>
      </c>
      <c r="I49" s="10" t="s">
        <v>61</v>
      </c>
      <c r="J49" s="10"/>
      <c r="K49" s="10" t="s">
        <v>145</v>
      </c>
      <c r="L49" s="12">
        <f t="shared" si="5"/>
        <v>1</v>
      </c>
      <c r="M49" s="12">
        <v>30000000</v>
      </c>
      <c r="N49" s="12">
        <v>0</v>
      </c>
      <c r="O49" s="11">
        <f>L49*M49</f>
        <v>30000000</v>
      </c>
      <c r="P49" s="11">
        <f t="shared" si="6"/>
        <v>30000000</v>
      </c>
      <c r="Q49" s="11">
        <v>0</v>
      </c>
      <c r="R49" s="11"/>
      <c r="S49" s="11">
        <v>0</v>
      </c>
      <c r="T49" s="11">
        <f t="shared" si="8"/>
        <v>30000000</v>
      </c>
      <c r="U49" s="42">
        <v>1</v>
      </c>
      <c r="V49" s="36" t="s">
        <v>2345</v>
      </c>
    </row>
    <row r="50" spans="1:22" s="36" customFormat="1" ht="15.45" x14ac:dyDescent="0.35">
      <c r="A50" s="20" t="s">
        <v>109</v>
      </c>
      <c r="B50" s="9">
        <v>45726</v>
      </c>
      <c r="C50" s="14" t="s">
        <v>1034</v>
      </c>
      <c r="D50" s="10" t="s">
        <v>788</v>
      </c>
      <c r="E50" s="9">
        <v>45707</v>
      </c>
      <c r="F50" s="10" t="s">
        <v>54</v>
      </c>
      <c r="G50" s="10" t="s">
        <v>49</v>
      </c>
      <c r="H50" s="10" t="s">
        <v>24</v>
      </c>
      <c r="I50" s="10" t="s">
        <v>61</v>
      </c>
      <c r="J50" s="50" t="s">
        <v>1122</v>
      </c>
      <c r="K50" s="10" t="s">
        <v>15</v>
      </c>
      <c r="L50" s="12">
        <f t="shared" si="5"/>
        <v>144</v>
      </c>
      <c r="M50" s="12">
        <v>6454</v>
      </c>
      <c r="N50" s="12">
        <v>0</v>
      </c>
      <c r="O50" s="11">
        <v>929376</v>
      </c>
      <c r="P50" s="11">
        <f t="shared" si="6"/>
        <v>929376</v>
      </c>
      <c r="Q50" s="11">
        <v>102231.36</v>
      </c>
      <c r="R50" s="11"/>
      <c r="S50" s="11">
        <v>0</v>
      </c>
      <c r="T50" s="11">
        <f t="shared" si="8"/>
        <v>1031607.36</v>
      </c>
      <c r="U50" s="42">
        <v>144</v>
      </c>
    </row>
    <row r="51" spans="1:22" s="36" customFormat="1" ht="15.45" x14ac:dyDescent="0.35">
      <c r="A51" s="19" t="s">
        <v>592</v>
      </c>
      <c r="B51" s="9">
        <v>45719</v>
      </c>
      <c r="C51" s="14" t="s">
        <v>925</v>
      </c>
      <c r="D51" s="10" t="s">
        <v>926</v>
      </c>
      <c r="E51" s="9">
        <v>45716</v>
      </c>
      <c r="F51" s="10" t="s">
        <v>585</v>
      </c>
      <c r="G51" s="10" t="s">
        <v>786</v>
      </c>
      <c r="H51" s="10" t="s">
        <v>23</v>
      </c>
      <c r="I51" s="10" t="s">
        <v>886</v>
      </c>
      <c r="J51" s="50" t="s">
        <v>1269</v>
      </c>
      <c r="K51" s="10" t="s">
        <v>1</v>
      </c>
      <c r="L51" s="12">
        <f t="shared" si="5"/>
        <v>400</v>
      </c>
      <c r="M51" s="12">
        <v>64584</v>
      </c>
      <c r="N51" s="12">
        <v>16560</v>
      </c>
      <c r="O51" s="11">
        <v>25833600</v>
      </c>
      <c r="P51" s="11">
        <f t="shared" si="6"/>
        <v>25833600</v>
      </c>
      <c r="Q51" s="11">
        <v>2841696</v>
      </c>
      <c r="R51" s="11"/>
      <c r="S51" s="11">
        <v>0</v>
      </c>
      <c r="T51" s="11">
        <f t="shared" si="8"/>
        <v>28675296</v>
      </c>
      <c r="U51" s="42">
        <v>400</v>
      </c>
    </row>
    <row r="52" spans="1:22" s="36" customFormat="1" ht="15.45" x14ac:dyDescent="0.35">
      <c r="A52" s="19" t="s">
        <v>107</v>
      </c>
      <c r="B52" s="9">
        <v>45726</v>
      </c>
      <c r="C52" s="14" t="s">
        <v>1036</v>
      </c>
      <c r="D52" s="10" t="s">
        <v>1025</v>
      </c>
      <c r="E52" s="9">
        <v>45712</v>
      </c>
      <c r="F52" s="10" t="s">
        <v>60</v>
      </c>
      <c r="G52" s="10" t="s">
        <v>1026</v>
      </c>
      <c r="H52" s="10" t="s">
        <v>24</v>
      </c>
      <c r="I52" s="10" t="s">
        <v>61</v>
      </c>
      <c r="J52" s="50" t="s">
        <v>1540</v>
      </c>
      <c r="K52" s="10" t="s">
        <v>1</v>
      </c>
      <c r="L52" s="12">
        <f t="shared" si="5"/>
        <v>261.89999999999998</v>
      </c>
      <c r="M52" s="12">
        <v>24500</v>
      </c>
      <c r="N52" s="12">
        <v>0</v>
      </c>
      <c r="O52" s="11">
        <v>6416550</v>
      </c>
      <c r="P52" s="11">
        <f t="shared" si="6"/>
        <v>6416550</v>
      </c>
      <c r="Q52" s="11">
        <v>705820.5</v>
      </c>
      <c r="R52" s="11"/>
      <c r="S52" s="11">
        <v>0</v>
      </c>
      <c r="T52" s="11">
        <f t="shared" si="8"/>
        <v>7122370.5</v>
      </c>
      <c r="U52" s="42">
        <v>261.89999999999998</v>
      </c>
    </row>
    <row r="53" spans="1:22" s="36" customFormat="1" ht="15.45" x14ac:dyDescent="0.35">
      <c r="A53" s="19" t="s">
        <v>98</v>
      </c>
      <c r="B53" s="9">
        <v>45726</v>
      </c>
      <c r="C53" s="14" t="s">
        <v>1037</v>
      </c>
      <c r="D53" s="10" t="s">
        <v>924</v>
      </c>
      <c r="E53" s="9">
        <v>45719</v>
      </c>
      <c r="F53" s="10" t="s">
        <v>84</v>
      </c>
      <c r="G53" s="10" t="s">
        <v>175</v>
      </c>
      <c r="H53" s="10" t="s">
        <v>25</v>
      </c>
      <c r="I53" s="10" t="s">
        <v>79</v>
      </c>
      <c r="J53" s="50" t="s">
        <v>1145</v>
      </c>
      <c r="K53" s="10" t="s">
        <v>1</v>
      </c>
      <c r="L53" s="12">
        <f t="shared" si="5"/>
        <v>35580</v>
      </c>
      <c r="M53" s="12">
        <v>1250</v>
      </c>
      <c r="N53" s="12">
        <v>0</v>
      </c>
      <c r="O53" s="11">
        <v>44475000</v>
      </c>
      <c r="P53" s="11">
        <f t="shared" si="6"/>
        <v>44475000</v>
      </c>
      <c r="Q53" s="11">
        <v>4892250</v>
      </c>
      <c r="R53" s="11">
        <f>P53*1.5%</f>
        <v>667125</v>
      </c>
      <c r="S53" s="11">
        <v>0</v>
      </c>
      <c r="T53" s="11">
        <f>P53+Q53-S53-R53</f>
        <v>48700125</v>
      </c>
      <c r="U53" s="42">
        <v>35580</v>
      </c>
    </row>
    <row r="54" spans="1:22" s="36" customFormat="1" ht="15.45" x14ac:dyDescent="0.35">
      <c r="A54" s="19" t="s">
        <v>115</v>
      </c>
      <c r="B54" s="9">
        <v>45726</v>
      </c>
      <c r="C54" s="14" t="s">
        <v>1038</v>
      </c>
      <c r="D54" s="10" t="s">
        <v>1016</v>
      </c>
      <c r="E54" s="9">
        <v>45719</v>
      </c>
      <c r="F54" s="10" t="s">
        <v>81</v>
      </c>
      <c r="G54" s="10" t="s">
        <v>89</v>
      </c>
      <c r="H54" s="10" t="s">
        <v>25</v>
      </c>
      <c r="I54" s="10" t="s">
        <v>79</v>
      </c>
      <c r="J54" s="50" t="s">
        <v>1519</v>
      </c>
      <c r="K54" s="10" t="s">
        <v>1</v>
      </c>
      <c r="L54" s="12">
        <f t="shared" si="5"/>
        <v>29840</v>
      </c>
      <c r="M54" s="12">
        <v>1565</v>
      </c>
      <c r="N54" s="12">
        <v>0</v>
      </c>
      <c r="O54" s="11">
        <v>46699600</v>
      </c>
      <c r="P54" s="11">
        <f t="shared" si="6"/>
        <v>46699600</v>
      </c>
      <c r="Q54" s="11">
        <v>5136956</v>
      </c>
      <c r="R54" s="11">
        <f>P54*1.5%</f>
        <v>700494</v>
      </c>
      <c r="S54" s="11">
        <v>0</v>
      </c>
      <c r="T54" s="11">
        <f>P54+Q54-S54-R54</f>
        <v>51136062</v>
      </c>
      <c r="U54" s="42">
        <v>29840</v>
      </c>
    </row>
    <row r="55" spans="1:22" s="36" customFormat="1" ht="15.45" x14ac:dyDescent="0.35">
      <c r="A55" s="19" t="s">
        <v>236</v>
      </c>
      <c r="B55" s="9">
        <v>45727</v>
      </c>
      <c r="C55" s="14" t="s">
        <v>1039</v>
      </c>
      <c r="D55" s="10" t="s">
        <v>1040</v>
      </c>
      <c r="E55" s="9">
        <v>45726</v>
      </c>
      <c r="F55" s="10" t="s">
        <v>235</v>
      </c>
      <c r="G55" s="10" t="s">
        <v>155</v>
      </c>
      <c r="H55" s="10" t="s">
        <v>24</v>
      </c>
      <c r="I55" s="10" t="s">
        <v>61</v>
      </c>
      <c r="J55" s="10"/>
      <c r="K55" s="10" t="s">
        <v>156</v>
      </c>
      <c r="L55" s="12">
        <f t="shared" si="5"/>
        <v>5</v>
      </c>
      <c r="M55" s="12">
        <v>730000</v>
      </c>
      <c r="N55" s="12">
        <v>0</v>
      </c>
      <c r="O55" s="11">
        <v>3650000</v>
      </c>
      <c r="P55" s="11">
        <f t="shared" si="6"/>
        <v>3650000</v>
      </c>
      <c r="Q55" s="11">
        <v>0</v>
      </c>
      <c r="R55" s="11"/>
      <c r="S55" s="11">
        <v>0</v>
      </c>
      <c r="T55" s="11">
        <f t="shared" ref="T55:T93" si="9">P55+Q55-S55</f>
        <v>3650000</v>
      </c>
      <c r="U55" s="42">
        <v>5</v>
      </c>
    </row>
    <row r="56" spans="1:22" s="36" customFormat="1" ht="15.45" x14ac:dyDescent="0.35">
      <c r="A56" s="19" t="s">
        <v>105</v>
      </c>
      <c r="B56" s="9">
        <v>45722</v>
      </c>
      <c r="C56" s="14" t="s">
        <v>1003</v>
      </c>
      <c r="D56" s="10" t="s">
        <v>1004</v>
      </c>
      <c r="E56" s="9">
        <v>45721</v>
      </c>
      <c r="F56" s="10" t="s">
        <v>85</v>
      </c>
      <c r="G56" s="10" t="s">
        <v>1005</v>
      </c>
      <c r="H56" s="10" t="s">
        <v>23</v>
      </c>
      <c r="I56" s="10" t="s">
        <v>886</v>
      </c>
      <c r="J56" s="50" t="s">
        <v>1148</v>
      </c>
      <c r="K56" s="10" t="s">
        <v>1</v>
      </c>
      <c r="L56" s="12">
        <f t="shared" si="5"/>
        <v>20</v>
      </c>
      <c r="M56" s="12">
        <v>114765</v>
      </c>
      <c r="N56" s="12">
        <v>16395</v>
      </c>
      <c r="O56" s="11">
        <v>2295300</v>
      </c>
      <c r="P56" s="11">
        <f t="shared" si="6"/>
        <v>2295300</v>
      </c>
      <c r="Q56" s="11">
        <v>252483</v>
      </c>
      <c r="R56" s="11"/>
      <c r="S56" s="11">
        <v>0</v>
      </c>
      <c r="T56" s="11">
        <f t="shared" si="9"/>
        <v>2547783</v>
      </c>
      <c r="U56" s="42">
        <v>20</v>
      </c>
    </row>
    <row r="57" spans="1:22" s="36" customFormat="1" ht="15.45" x14ac:dyDescent="0.35">
      <c r="A57" s="20" t="s">
        <v>1250</v>
      </c>
      <c r="B57" s="9">
        <v>45728</v>
      </c>
      <c r="C57" s="14" t="s">
        <v>1044</v>
      </c>
      <c r="D57" s="10" t="s">
        <v>1045</v>
      </c>
      <c r="E57" s="9">
        <v>45728</v>
      </c>
      <c r="F57" s="10" t="s">
        <v>1249</v>
      </c>
      <c r="G57" s="10" t="s">
        <v>1046</v>
      </c>
      <c r="H57" s="10" t="s">
        <v>26</v>
      </c>
      <c r="I57" s="10" t="s">
        <v>80</v>
      </c>
      <c r="J57" s="10"/>
      <c r="K57" s="10" t="s">
        <v>1043</v>
      </c>
      <c r="L57" s="12">
        <f t="shared" si="5"/>
        <v>9</v>
      </c>
      <c r="M57" s="12">
        <v>450000</v>
      </c>
      <c r="N57" s="12">
        <v>0</v>
      </c>
      <c r="O57" s="11">
        <v>4050000</v>
      </c>
      <c r="P57" s="11">
        <f t="shared" si="6"/>
        <v>4050000</v>
      </c>
      <c r="Q57" s="11">
        <v>0</v>
      </c>
      <c r="R57" s="11"/>
      <c r="S57" s="11">
        <v>0</v>
      </c>
      <c r="T57" s="11">
        <f t="shared" si="9"/>
        <v>4050000</v>
      </c>
      <c r="U57" s="42">
        <v>9</v>
      </c>
    </row>
    <row r="58" spans="1:22" s="36" customFormat="1" ht="15.45" x14ac:dyDescent="0.35">
      <c r="A58" s="48" t="s">
        <v>691</v>
      </c>
      <c r="B58" s="9">
        <v>45722</v>
      </c>
      <c r="C58" s="14" t="s">
        <v>1000</v>
      </c>
      <c r="D58" s="10" t="s">
        <v>1001</v>
      </c>
      <c r="E58" s="9">
        <v>45721</v>
      </c>
      <c r="F58" s="10" t="s">
        <v>619</v>
      </c>
      <c r="G58" s="10" t="s">
        <v>1002</v>
      </c>
      <c r="H58" s="10" t="s">
        <v>23</v>
      </c>
      <c r="I58" s="10" t="s">
        <v>885</v>
      </c>
      <c r="J58" s="50" t="s">
        <v>1537</v>
      </c>
      <c r="K58" s="10" t="s">
        <v>1</v>
      </c>
      <c r="L58" s="12">
        <f t="shared" si="5"/>
        <v>25</v>
      </c>
      <c r="M58" s="12">
        <v>262320</v>
      </c>
      <c r="N58" s="12">
        <v>16395</v>
      </c>
      <c r="O58" s="11">
        <v>6558000</v>
      </c>
      <c r="P58" s="11">
        <f t="shared" si="6"/>
        <v>6558000</v>
      </c>
      <c r="Q58" s="11">
        <v>721380</v>
      </c>
      <c r="R58" s="11"/>
      <c r="S58" s="11">
        <v>0</v>
      </c>
      <c r="T58" s="11">
        <f t="shared" si="9"/>
        <v>7279380</v>
      </c>
      <c r="U58" s="42">
        <v>25</v>
      </c>
    </row>
    <row r="59" spans="1:22" s="36" customFormat="1" ht="15.45" x14ac:dyDescent="0.35">
      <c r="A59" s="19" t="s">
        <v>105</v>
      </c>
      <c r="B59" s="9">
        <v>45722</v>
      </c>
      <c r="C59" s="14" t="s">
        <v>1006</v>
      </c>
      <c r="D59" s="10" t="s">
        <v>1007</v>
      </c>
      <c r="E59" s="9">
        <v>45721</v>
      </c>
      <c r="F59" s="10" t="s">
        <v>85</v>
      </c>
      <c r="G59" s="10" t="s">
        <v>660</v>
      </c>
      <c r="H59" s="10" t="s">
        <v>23</v>
      </c>
      <c r="I59" s="10" t="s">
        <v>890</v>
      </c>
      <c r="J59" s="50" t="s">
        <v>1146</v>
      </c>
      <c r="K59" s="10" t="s">
        <v>1</v>
      </c>
      <c r="L59" s="12">
        <f t="shared" si="5"/>
        <v>300</v>
      </c>
      <c r="M59" s="12">
        <v>24593</v>
      </c>
      <c r="N59" s="12">
        <v>16395</v>
      </c>
      <c r="O59" s="11">
        <v>7377900</v>
      </c>
      <c r="P59" s="11">
        <f t="shared" si="6"/>
        <v>7377900</v>
      </c>
      <c r="Q59" s="11">
        <v>811569</v>
      </c>
      <c r="R59" s="11"/>
      <c r="S59" s="11">
        <v>0</v>
      </c>
      <c r="T59" s="11">
        <f t="shared" si="9"/>
        <v>8189469</v>
      </c>
      <c r="U59" s="42">
        <v>300</v>
      </c>
    </row>
    <row r="60" spans="1:22" s="36" customFormat="1" ht="15.45" x14ac:dyDescent="0.35">
      <c r="A60" s="19" t="s">
        <v>105</v>
      </c>
      <c r="B60" s="9">
        <v>45722</v>
      </c>
      <c r="C60" s="14" t="s">
        <v>1008</v>
      </c>
      <c r="D60" s="10" t="s">
        <v>1009</v>
      </c>
      <c r="E60" s="9">
        <v>45716</v>
      </c>
      <c r="F60" s="10" t="s">
        <v>85</v>
      </c>
      <c r="G60" s="10" t="s">
        <v>67</v>
      </c>
      <c r="H60" s="10" t="s">
        <v>23</v>
      </c>
      <c r="I60" s="10" t="s">
        <v>886</v>
      </c>
      <c r="J60" s="50" t="s">
        <v>1147</v>
      </c>
      <c r="K60" s="10" t="s">
        <v>1</v>
      </c>
      <c r="L60" s="12">
        <f t="shared" si="5"/>
        <v>400</v>
      </c>
      <c r="M60" s="12">
        <v>52944</v>
      </c>
      <c r="N60" s="12">
        <v>16545</v>
      </c>
      <c r="O60" s="11">
        <v>21177600</v>
      </c>
      <c r="P60" s="11">
        <f t="shared" si="6"/>
        <v>21177600</v>
      </c>
      <c r="Q60" s="11">
        <v>2329536</v>
      </c>
      <c r="R60" s="11"/>
      <c r="S60" s="11">
        <v>0</v>
      </c>
      <c r="T60" s="11">
        <f t="shared" si="9"/>
        <v>23507136</v>
      </c>
      <c r="U60" s="42">
        <v>400</v>
      </c>
    </row>
    <row r="61" spans="1:22" s="36" customFormat="1" ht="15.45" x14ac:dyDescent="0.35">
      <c r="A61" s="19" t="s">
        <v>105</v>
      </c>
      <c r="B61" s="9">
        <v>45726</v>
      </c>
      <c r="C61" s="14" t="s">
        <v>1035</v>
      </c>
      <c r="D61" s="10" t="s">
        <v>688</v>
      </c>
      <c r="E61" s="9">
        <v>45705</v>
      </c>
      <c r="F61" s="10" t="s">
        <v>85</v>
      </c>
      <c r="G61" s="10" t="s">
        <v>91</v>
      </c>
      <c r="H61" s="10" t="s">
        <v>23</v>
      </c>
      <c r="I61" s="10" t="s">
        <v>886</v>
      </c>
      <c r="J61" s="50" t="s">
        <v>1277</v>
      </c>
      <c r="K61" s="10" t="s">
        <v>1</v>
      </c>
      <c r="L61" s="12">
        <f t="shared" ref="L61:L95" si="10">IF(LEFT(C61,2)="RP",U61*-1,U61)</f>
        <v>500</v>
      </c>
      <c r="M61" s="12">
        <v>77784</v>
      </c>
      <c r="N61" s="12">
        <v>16205</v>
      </c>
      <c r="O61" s="11">
        <v>38892000</v>
      </c>
      <c r="P61" s="11">
        <f t="shared" ref="P61:P92" si="11">O61</f>
        <v>38892000</v>
      </c>
      <c r="Q61" s="11">
        <v>4278120</v>
      </c>
      <c r="R61" s="11"/>
      <c r="S61" s="11">
        <v>0</v>
      </c>
      <c r="T61" s="11">
        <f t="shared" si="9"/>
        <v>43170120</v>
      </c>
      <c r="U61" s="42">
        <v>500</v>
      </c>
    </row>
    <row r="62" spans="1:22" s="36" customFormat="1" ht="15.45" x14ac:dyDescent="0.35">
      <c r="A62" s="19" t="s">
        <v>691</v>
      </c>
      <c r="B62" s="9">
        <v>45730</v>
      </c>
      <c r="C62" s="14" t="s">
        <v>1107</v>
      </c>
      <c r="D62" s="10" t="s">
        <v>1108</v>
      </c>
      <c r="E62" s="9">
        <v>45729</v>
      </c>
      <c r="F62" s="10" t="s">
        <v>619</v>
      </c>
      <c r="G62" s="10" t="s">
        <v>1109</v>
      </c>
      <c r="H62" s="10" t="s">
        <v>23</v>
      </c>
      <c r="I62" s="10" t="s">
        <v>886</v>
      </c>
      <c r="J62" s="50" t="s">
        <v>1538</v>
      </c>
      <c r="K62" s="10" t="s">
        <v>1</v>
      </c>
      <c r="L62" s="12">
        <f t="shared" si="10"/>
        <v>25</v>
      </c>
      <c r="M62" s="12">
        <v>62445.4</v>
      </c>
      <c r="N62" s="12">
        <v>16433</v>
      </c>
      <c r="O62" s="11">
        <v>1561135</v>
      </c>
      <c r="P62" s="11">
        <f t="shared" si="11"/>
        <v>1561135</v>
      </c>
      <c r="Q62" s="11">
        <v>171724.85</v>
      </c>
      <c r="R62" s="11"/>
      <c r="S62" s="11">
        <v>0</v>
      </c>
      <c r="T62" s="11">
        <f t="shared" si="9"/>
        <v>1732859.85</v>
      </c>
      <c r="U62" s="42">
        <v>25</v>
      </c>
    </row>
    <row r="63" spans="1:22" s="36" customFormat="1" ht="15.45" x14ac:dyDescent="0.35">
      <c r="A63" s="19" t="s">
        <v>1113</v>
      </c>
      <c r="B63" s="9">
        <v>45729</v>
      </c>
      <c r="C63" s="14" t="s">
        <v>1057</v>
      </c>
      <c r="D63" s="10" t="s">
        <v>1058</v>
      </c>
      <c r="E63" s="9">
        <v>45703</v>
      </c>
      <c r="F63" s="10" t="s">
        <v>1059</v>
      </c>
      <c r="G63" s="10" t="s">
        <v>1060</v>
      </c>
      <c r="H63" s="10" t="s">
        <v>24</v>
      </c>
      <c r="I63" s="10" t="s">
        <v>61</v>
      </c>
      <c r="J63" s="50" t="s">
        <v>1279</v>
      </c>
      <c r="K63" s="10" t="s">
        <v>6</v>
      </c>
      <c r="L63" s="12">
        <f t="shared" si="10"/>
        <v>2</v>
      </c>
      <c r="M63" s="12">
        <v>550000</v>
      </c>
      <c r="N63" s="12">
        <v>0</v>
      </c>
      <c r="O63" s="11">
        <v>1100000</v>
      </c>
      <c r="P63" s="11">
        <f t="shared" si="11"/>
        <v>1100000</v>
      </c>
      <c r="Q63" s="11">
        <v>121000</v>
      </c>
      <c r="R63" s="11"/>
      <c r="S63" s="11">
        <v>0</v>
      </c>
      <c r="T63" s="11">
        <f t="shared" si="9"/>
        <v>1221000</v>
      </c>
      <c r="U63" s="42">
        <v>2</v>
      </c>
    </row>
    <row r="64" spans="1:22" s="36" customFormat="1" ht="15.45" x14ac:dyDescent="0.35">
      <c r="A64" s="19" t="s">
        <v>110</v>
      </c>
      <c r="B64" s="9">
        <v>45729</v>
      </c>
      <c r="C64" s="14" t="s">
        <v>1089</v>
      </c>
      <c r="D64" s="10" t="s">
        <v>1090</v>
      </c>
      <c r="E64" s="9">
        <v>45727</v>
      </c>
      <c r="F64" s="10" t="s">
        <v>72</v>
      </c>
      <c r="G64" s="10" t="s">
        <v>77</v>
      </c>
      <c r="H64" s="10" t="s">
        <v>23</v>
      </c>
      <c r="I64" s="10" t="s">
        <v>887</v>
      </c>
      <c r="J64" s="50" t="s">
        <v>1281</v>
      </c>
      <c r="K64" s="10" t="s">
        <v>1</v>
      </c>
      <c r="L64" s="12">
        <f t="shared" si="10"/>
        <v>400</v>
      </c>
      <c r="M64" s="12">
        <v>30500</v>
      </c>
      <c r="N64" s="12">
        <v>0</v>
      </c>
      <c r="O64" s="11">
        <v>12200000</v>
      </c>
      <c r="P64" s="11">
        <f t="shared" si="11"/>
        <v>12200000</v>
      </c>
      <c r="Q64" s="11">
        <v>1342000</v>
      </c>
      <c r="R64" s="11"/>
      <c r="S64" s="11">
        <v>0</v>
      </c>
      <c r="T64" s="11">
        <f t="shared" si="9"/>
        <v>13542000</v>
      </c>
      <c r="U64" s="42">
        <v>400</v>
      </c>
    </row>
    <row r="65" spans="1:21" s="36" customFormat="1" ht="15.45" x14ac:dyDescent="0.35">
      <c r="A65" s="19" t="s">
        <v>159</v>
      </c>
      <c r="B65" s="9">
        <v>45719</v>
      </c>
      <c r="C65" s="14" t="s">
        <v>916</v>
      </c>
      <c r="D65" s="10" t="s">
        <v>917</v>
      </c>
      <c r="E65" s="9">
        <v>45716</v>
      </c>
      <c r="F65" s="10" t="s">
        <v>157</v>
      </c>
      <c r="G65" s="10" t="s">
        <v>158</v>
      </c>
      <c r="H65" s="10" t="s">
        <v>23</v>
      </c>
      <c r="I65" s="10" t="s">
        <v>888</v>
      </c>
      <c r="J65" s="50" t="s">
        <v>1522</v>
      </c>
      <c r="K65" s="10" t="s">
        <v>1</v>
      </c>
      <c r="L65" s="12">
        <f t="shared" si="10"/>
        <v>25</v>
      </c>
      <c r="M65" s="12">
        <v>75000</v>
      </c>
      <c r="N65" s="12">
        <v>0</v>
      </c>
      <c r="O65" s="11">
        <v>1875000</v>
      </c>
      <c r="P65" s="11">
        <f t="shared" si="11"/>
        <v>1875000</v>
      </c>
      <c r="Q65" s="11">
        <v>206250</v>
      </c>
      <c r="R65" s="11"/>
      <c r="S65" s="11">
        <v>0</v>
      </c>
      <c r="T65" s="11">
        <f t="shared" si="9"/>
        <v>2081250</v>
      </c>
      <c r="U65" s="42">
        <v>25</v>
      </c>
    </row>
    <row r="66" spans="1:21" s="36" customFormat="1" ht="15.45" x14ac:dyDescent="0.35">
      <c r="A66" s="19" t="s">
        <v>692</v>
      </c>
      <c r="B66" s="9">
        <v>45729</v>
      </c>
      <c r="C66" s="14" t="s">
        <v>1064</v>
      </c>
      <c r="D66" s="10" t="s">
        <v>1065</v>
      </c>
      <c r="E66" s="9">
        <v>45728</v>
      </c>
      <c r="F66" s="10" t="s">
        <v>676</v>
      </c>
      <c r="G66" s="10" t="s">
        <v>1066</v>
      </c>
      <c r="H66" s="10" t="s">
        <v>24</v>
      </c>
      <c r="I66" s="10" t="s">
        <v>61</v>
      </c>
      <c r="J66" s="50" t="s">
        <v>1149</v>
      </c>
      <c r="K66" s="10" t="s">
        <v>6</v>
      </c>
      <c r="L66" s="12">
        <f t="shared" si="10"/>
        <v>2</v>
      </c>
      <c r="M66" s="12">
        <v>39700</v>
      </c>
      <c r="N66" s="12">
        <v>0</v>
      </c>
      <c r="O66" s="11">
        <v>79400</v>
      </c>
      <c r="P66" s="11">
        <f t="shared" si="11"/>
        <v>79400</v>
      </c>
      <c r="Q66" s="11">
        <v>8734</v>
      </c>
      <c r="R66" s="11"/>
      <c r="S66" s="11">
        <v>0</v>
      </c>
      <c r="T66" s="11">
        <f t="shared" si="9"/>
        <v>88134</v>
      </c>
      <c r="U66" s="42">
        <v>2</v>
      </c>
    </row>
    <row r="67" spans="1:21" s="36" customFormat="1" ht="15.45" x14ac:dyDescent="0.35">
      <c r="A67" s="19" t="s">
        <v>692</v>
      </c>
      <c r="B67" s="9">
        <v>45729</v>
      </c>
      <c r="C67" s="14" t="s">
        <v>1064</v>
      </c>
      <c r="D67" s="10" t="s">
        <v>1065</v>
      </c>
      <c r="E67" s="9">
        <v>45728</v>
      </c>
      <c r="F67" s="10" t="s">
        <v>676</v>
      </c>
      <c r="G67" s="10" t="s">
        <v>679</v>
      </c>
      <c r="H67" s="10" t="s">
        <v>24</v>
      </c>
      <c r="I67" s="10" t="s">
        <v>61</v>
      </c>
      <c r="J67" s="50" t="s">
        <v>1149</v>
      </c>
      <c r="K67" s="10" t="s">
        <v>6</v>
      </c>
      <c r="L67" s="12">
        <f t="shared" si="10"/>
        <v>10</v>
      </c>
      <c r="M67" s="12">
        <v>7100</v>
      </c>
      <c r="N67" s="12">
        <v>0</v>
      </c>
      <c r="O67" s="11">
        <v>71000</v>
      </c>
      <c r="P67" s="11">
        <f t="shared" si="11"/>
        <v>71000</v>
      </c>
      <c r="Q67" s="11">
        <v>7810</v>
      </c>
      <c r="R67" s="11"/>
      <c r="S67" s="11">
        <v>0</v>
      </c>
      <c r="T67" s="11">
        <f t="shared" si="9"/>
        <v>78810</v>
      </c>
      <c r="U67" s="42">
        <v>10</v>
      </c>
    </row>
    <row r="68" spans="1:21" s="36" customFormat="1" ht="15.45" x14ac:dyDescent="0.35">
      <c r="A68" s="19" t="s">
        <v>692</v>
      </c>
      <c r="B68" s="9">
        <v>45729</v>
      </c>
      <c r="C68" s="14" t="s">
        <v>1064</v>
      </c>
      <c r="D68" s="10" t="s">
        <v>1065</v>
      </c>
      <c r="E68" s="9">
        <v>45728</v>
      </c>
      <c r="F68" s="10" t="s">
        <v>676</v>
      </c>
      <c r="G68" s="10" t="s">
        <v>90</v>
      </c>
      <c r="H68" s="10" t="s">
        <v>24</v>
      </c>
      <c r="I68" s="10" t="s">
        <v>61</v>
      </c>
      <c r="J68" s="50" t="s">
        <v>1149</v>
      </c>
      <c r="K68" s="10" t="s">
        <v>6</v>
      </c>
      <c r="L68" s="12">
        <f t="shared" si="10"/>
        <v>60</v>
      </c>
      <c r="M68" s="12">
        <v>2800</v>
      </c>
      <c r="N68" s="12">
        <v>0</v>
      </c>
      <c r="O68" s="11">
        <v>168000</v>
      </c>
      <c r="P68" s="11">
        <f t="shared" si="11"/>
        <v>168000</v>
      </c>
      <c r="Q68" s="11">
        <v>18480</v>
      </c>
      <c r="R68" s="11"/>
      <c r="S68" s="11">
        <v>0</v>
      </c>
      <c r="T68" s="11">
        <f t="shared" si="9"/>
        <v>186480</v>
      </c>
      <c r="U68" s="42">
        <v>60</v>
      </c>
    </row>
    <row r="69" spans="1:21" s="36" customFormat="1" ht="15.45" x14ac:dyDescent="0.35">
      <c r="A69" s="19" t="s">
        <v>692</v>
      </c>
      <c r="B69" s="9">
        <v>45729</v>
      </c>
      <c r="C69" s="14" t="s">
        <v>1064</v>
      </c>
      <c r="D69" s="10" t="s">
        <v>1065</v>
      </c>
      <c r="E69" s="9">
        <v>45728</v>
      </c>
      <c r="F69" s="10" t="s">
        <v>676</v>
      </c>
      <c r="G69" s="10" t="s">
        <v>1067</v>
      </c>
      <c r="H69" s="10" t="s">
        <v>24</v>
      </c>
      <c r="I69" s="10" t="s">
        <v>61</v>
      </c>
      <c r="J69" s="50" t="s">
        <v>1149</v>
      </c>
      <c r="K69" s="10" t="s">
        <v>6</v>
      </c>
      <c r="L69" s="12">
        <f t="shared" si="10"/>
        <v>4</v>
      </c>
      <c r="M69" s="12">
        <v>29000</v>
      </c>
      <c r="N69" s="12">
        <v>0</v>
      </c>
      <c r="O69" s="11">
        <v>116000</v>
      </c>
      <c r="P69" s="11">
        <f t="shared" si="11"/>
        <v>116000</v>
      </c>
      <c r="Q69" s="11">
        <v>12760</v>
      </c>
      <c r="R69" s="11"/>
      <c r="S69" s="11">
        <v>0</v>
      </c>
      <c r="T69" s="11">
        <f t="shared" si="9"/>
        <v>128760</v>
      </c>
      <c r="U69" s="42">
        <v>4</v>
      </c>
    </row>
    <row r="70" spans="1:21" s="36" customFormat="1" ht="15.45" x14ac:dyDescent="0.35">
      <c r="A70" s="19" t="s">
        <v>692</v>
      </c>
      <c r="B70" s="9">
        <v>45729</v>
      </c>
      <c r="C70" s="14" t="s">
        <v>1064</v>
      </c>
      <c r="D70" s="10" t="s">
        <v>1065</v>
      </c>
      <c r="E70" s="9">
        <v>45728</v>
      </c>
      <c r="F70" s="10" t="s">
        <v>676</v>
      </c>
      <c r="G70" s="10" t="s">
        <v>634</v>
      </c>
      <c r="H70" s="10" t="s">
        <v>24</v>
      </c>
      <c r="I70" s="10" t="s">
        <v>61</v>
      </c>
      <c r="J70" s="50" t="s">
        <v>1149</v>
      </c>
      <c r="K70" s="10" t="s">
        <v>6</v>
      </c>
      <c r="L70" s="12">
        <f t="shared" si="10"/>
        <v>20</v>
      </c>
      <c r="M70" s="12">
        <v>6600</v>
      </c>
      <c r="N70" s="12">
        <v>0</v>
      </c>
      <c r="O70" s="11">
        <v>132000</v>
      </c>
      <c r="P70" s="11">
        <f t="shared" si="11"/>
        <v>132000</v>
      </c>
      <c r="Q70" s="11">
        <v>14520</v>
      </c>
      <c r="R70" s="11"/>
      <c r="S70" s="11">
        <v>0</v>
      </c>
      <c r="T70" s="11">
        <f t="shared" si="9"/>
        <v>146520</v>
      </c>
      <c r="U70" s="42">
        <v>20</v>
      </c>
    </row>
    <row r="71" spans="1:21" s="36" customFormat="1" ht="15.45" x14ac:dyDescent="0.35">
      <c r="A71" s="19" t="s">
        <v>100</v>
      </c>
      <c r="B71" s="9">
        <v>45729</v>
      </c>
      <c r="C71" s="14" t="s">
        <v>1068</v>
      </c>
      <c r="D71" s="10" t="s">
        <v>1069</v>
      </c>
      <c r="E71" s="9">
        <v>45729</v>
      </c>
      <c r="F71" s="10" t="s">
        <v>56</v>
      </c>
      <c r="G71" s="10" t="s">
        <v>1070</v>
      </c>
      <c r="H71" s="10" t="s">
        <v>27</v>
      </c>
      <c r="I71" s="10" t="s">
        <v>69</v>
      </c>
      <c r="J71" s="10"/>
      <c r="K71" s="10" t="s">
        <v>11</v>
      </c>
      <c r="L71" s="12">
        <f t="shared" si="10"/>
        <v>20</v>
      </c>
      <c r="M71" s="12">
        <v>19000</v>
      </c>
      <c r="N71" s="12">
        <v>0</v>
      </c>
      <c r="O71" s="11">
        <v>380000</v>
      </c>
      <c r="P71" s="11">
        <f t="shared" si="11"/>
        <v>380000</v>
      </c>
      <c r="Q71" s="11">
        <v>0</v>
      </c>
      <c r="R71" s="11"/>
      <c r="S71" s="11">
        <v>0</v>
      </c>
      <c r="T71" s="11">
        <f t="shared" si="9"/>
        <v>380000</v>
      </c>
      <c r="U71" s="42">
        <v>20</v>
      </c>
    </row>
    <row r="72" spans="1:21" s="36" customFormat="1" ht="15.45" x14ac:dyDescent="0.35">
      <c r="A72" s="19" t="s">
        <v>132</v>
      </c>
      <c r="B72" s="9">
        <v>45729</v>
      </c>
      <c r="C72" s="14" t="s">
        <v>1071</v>
      </c>
      <c r="D72" s="10" t="s">
        <v>1072</v>
      </c>
      <c r="E72" s="9">
        <v>45729</v>
      </c>
      <c r="F72" s="10" t="s">
        <v>129</v>
      </c>
      <c r="G72" s="10" t="s">
        <v>1073</v>
      </c>
      <c r="H72" s="10" t="s">
        <v>24</v>
      </c>
      <c r="I72" s="10" t="s">
        <v>61</v>
      </c>
      <c r="J72" s="10"/>
      <c r="K72" s="10" t="s">
        <v>10</v>
      </c>
      <c r="L72" s="12">
        <f t="shared" si="10"/>
        <v>9</v>
      </c>
      <c r="M72" s="12">
        <v>87500</v>
      </c>
      <c r="N72" s="12">
        <v>0</v>
      </c>
      <c r="O72" s="11">
        <v>787500</v>
      </c>
      <c r="P72" s="11">
        <f t="shared" si="11"/>
        <v>787500</v>
      </c>
      <c r="Q72" s="11">
        <v>0</v>
      </c>
      <c r="R72" s="11"/>
      <c r="S72" s="11">
        <v>0</v>
      </c>
      <c r="T72" s="11">
        <f t="shared" si="9"/>
        <v>787500</v>
      </c>
      <c r="U72" s="42">
        <v>9</v>
      </c>
    </row>
    <row r="73" spans="1:21" s="36" customFormat="1" ht="15.45" x14ac:dyDescent="0.35">
      <c r="A73" s="19" t="s">
        <v>113</v>
      </c>
      <c r="B73" s="9">
        <v>45729</v>
      </c>
      <c r="C73" s="14" t="s">
        <v>1074</v>
      </c>
      <c r="D73" s="10" t="s">
        <v>1075</v>
      </c>
      <c r="E73" s="9">
        <v>45729</v>
      </c>
      <c r="F73" s="10" t="s">
        <v>42</v>
      </c>
      <c r="G73" s="10" t="s">
        <v>1076</v>
      </c>
      <c r="H73" s="10" t="s">
        <v>24</v>
      </c>
      <c r="I73" s="10" t="s">
        <v>61</v>
      </c>
      <c r="J73" s="10"/>
      <c r="K73" s="10" t="s">
        <v>5</v>
      </c>
      <c r="L73" s="12">
        <f t="shared" si="10"/>
        <v>10</v>
      </c>
      <c r="M73" s="12">
        <v>40000</v>
      </c>
      <c r="N73" s="12">
        <v>0</v>
      </c>
      <c r="O73" s="11">
        <v>400000</v>
      </c>
      <c r="P73" s="11">
        <f t="shared" si="11"/>
        <v>400000</v>
      </c>
      <c r="Q73" s="11">
        <v>0</v>
      </c>
      <c r="R73" s="11"/>
      <c r="S73" s="11">
        <v>0</v>
      </c>
      <c r="T73" s="11">
        <f t="shared" si="9"/>
        <v>400000</v>
      </c>
      <c r="U73" s="42">
        <v>10</v>
      </c>
    </row>
    <row r="74" spans="1:21" s="36" customFormat="1" ht="15.45" x14ac:dyDescent="0.35">
      <c r="A74" s="19" t="s">
        <v>113</v>
      </c>
      <c r="B74" s="9">
        <v>45729</v>
      </c>
      <c r="C74" s="14" t="s">
        <v>1074</v>
      </c>
      <c r="D74" s="10" t="s">
        <v>1075</v>
      </c>
      <c r="E74" s="9">
        <v>45729</v>
      </c>
      <c r="F74" s="10" t="s">
        <v>42</v>
      </c>
      <c r="G74" s="10" t="s">
        <v>1077</v>
      </c>
      <c r="H74" s="10" t="s">
        <v>24</v>
      </c>
      <c r="I74" s="10" t="s">
        <v>61</v>
      </c>
      <c r="J74" s="10"/>
      <c r="K74" s="10" t="s">
        <v>10</v>
      </c>
      <c r="L74" s="12">
        <f t="shared" si="10"/>
        <v>10</v>
      </c>
      <c r="M74" s="12">
        <v>15000</v>
      </c>
      <c r="N74" s="12">
        <v>0</v>
      </c>
      <c r="O74" s="11">
        <v>150000</v>
      </c>
      <c r="P74" s="11">
        <f t="shared" si="11"/>
        <v>150000</v>
      </c>
      <c r="Q74" s="11">
        <v>0</v>
      </c>
      <c r="R74" s="11"/>
      <c r="S74" s="11">
        <v>0</v>
      </c>
      <c r="T74" s="11">
        <f t="shared" si="9"/>
        <v>150000</v>
      </c>
      <c r="U74" s="42">
        <v>10</v>
      </c>
    </row>
    <row r="75" spans="1:21" s="36" customFormat="1" ht="15.45" x14ac:dyDescent="0.35">
      <c r="A75" s="19" t="s">
        <v>113</v>
      </c>
      <c r="B75" s="9">
        <v>45729</v>
      </c>
      <c r="C75" s="14" t="s">
        <v>1074</v>
      </c>
      <c r="D75" s="10" t="s">
        <v>1075</v>
      </c>
      <c r="E75" s="9">
        <v>45729</v>
      </c>
      <c r="F75" s="10" t="s">
        <v>42</v>
      </c>
      <c r="G75" s="10" t="s">
        <v>1078</v>
      </c>
      <c r="H75" s="10" t="s">
        <v>24</v>
      </c>
      <c r="I75" s="10" t="s">
        <v>61</v>
      </c>
      <c r="J75" s="10"/>
      <c r="K75" s="10" t="s">
        <v>140</v>
      </c>
      <c r="L75" s="12">
        <f t="shared" si="10"/>
        <v>1</v>
      </c>
      <c r="M75" s="12">
        <v>165000</v>
      </c>
      <c r="N75" s="12">
        <v>0</v>
      </c>
      <c r="O75" s="11">
        <v>165000</v>
      </c>
      <c r="P75" s="11">
        <f t="shared" si="11"/>
        <v>165000</v>
      </c>
      <c r="Q75" s="11">
        <v>0</v>
      </c>
      <c r="R75" s="11"/>
      <c r="S75" s="11">
        <v>0</v>
      </c>
      <c r="T75" s="11">
        <f t="shared" si="9"/>
        <v>165000</v>
      </c>
      <c r="U75" s="42">
        <v>1</v>
      </c>
    </row>
    <row r="76" spans="1:21" s="36" customFormat="1" ht="15.45" x14ac:dyDescent="0.35">
      <c r="A76" s="19" t="s">
        <v>113</v>
      </c>
      <c r="B76" s="9">
        <v>45729</v>
      </c>
      <c r="C76" s="14" t="s">
        <v>1074</v>
      </c>
      <c r="D76" s="10" t="s">
        <v>1075</v>
      </c>
      <c r="E76" s="9">
        <v>45729</v>
      </c>
      <c r="F76" s="10" t="s">
        <v>42</v>
      </c>
      <c r="G76" s="10" t="s">
        <v>1079</v>
      </c>
      <c r="H76" s="10" t="s">
        <v>24</v>
      </c>
      <c r="I76" s="10" t="s">
        <v>61</v>
      </c>
      <c r="J76" s="10"/>
      <c r="K76" s="10" t="s">
        <v>10</v>
      </c>
      <c r="L76" s="12">
        <f t="shared" si="10"/>
        <v>10</v>
      </c>
      <c r="M76" s="12">
        <v>13500</v>
      </c>
      <c r="N76" s="12">
        <v>0</v>
      </c>
      <c r="O76" s="11">
        <v>135000</v>
      </c>
      <c r="P76" s="11">
        <f t="shared" si="11"/>
        <v>135000</v>
      </c>
      <c r="Q76" s="11">
        <v>0</v>
      </c>
      <c r="R76" s="11"/>
      <c r="S76" s="11">
        <v>0</v>
      </c>
      <c r="T76" s="11">
        <f t="shared" si="9"/>
        <v>135000</v>
      </c>
      <c r="U76" s="42">
        <v>10</v>
      </c>
    </row>
    <row r="77" spans="1:21" s="36" customFormat="1" ht="15.45" x14ac:dyDescent="0.35">
      <c r="A77" s="19" t="s">
        <v>111</v>
      </c>
      <c r="B77" s="9">
        <v>45729</v>
      </c>
      <c r="C77" s="14" t="s">
        <v>1080</v>
      </c>
      <c r="D77" s="10" t="s">
        <v>1081</v>
      </c>
      <c r="E77" s="9">
        <v>45729</v>
      </c>
      <c r="F77" s="10" t="s">
        <v>55</v>
      </c>
      <c r="G77" s="10" t="s">
        <v>1082</v>
      </c>
      <c r="H77" s="10" t="s">
        <v>24</v>
      </c>
      <c r="I77" s="10" t="s">
        <v>61</v>
      </c>
      <c r="J77" s="10"/>
      <c r="K77" s="10" t="s">
        <v>6</v>
      </c>
      <c r="L77" s="12">
        <f t="shared" si="10"/>
        <v>2</v>
      </c>
      <c r="M77" s="12">
        <v>80000</v>
      </c>
      <c r="N77" s="12">
        <v>0</v>
      </c>
      <c r="O77" s="11">
        <v>160000</v>
      </c>
      <c r="P77" s="11">
        <f t="shared" si="11"/>
        <v>160000</v>
      </c>
      <c r="Q77" s="11">
        <v>0</v>
      </c>
      <c r="R77" s="11"/>
      <c r="S77" s="11">
        <v>0</v>
      </c>
      <c r="T77" s="11">
        <f t="shared" si="9"/>
        <v>160000</v>
      </c>
      <c r="U77" s="42">
        <v>2</v>
      </c>
    </row>
    <row r="78" spans="1:21" s="36" customFormat="1" ht="15.45" x14ac:dyDescent="0.35">
      <c r="A78" s="19" t="s">
        <v>111</v>
      </c>
      <c r="B78" s="9">
        <v>45729</v>
      </c>
      <c r="C78" s="14" t="s">
        <v>1080</v>
      </c>
      <c r="D78" s="10" t="s">
        <v>1081</v>
      </c>
      <c r="E78" s="9">
        <v>45729</v>
      </c>
      <c r="F78" s="10" t="s">
        <v>55</v>
      </c>
      <c r="G78" s="10" t="s">
        <v>1083</v>
      </c>
      <c r="H78" s="10" t="s">
        <v>24</v>
      </c>
      <c r="I78" s="10" t="s">
        <v>61</v>
      </c>
      <c r="J78" s="10"/>
      <c r="K78" s="10" t="s">
        <v>6</v>
      </c>
      <c r="L78" s="12">
        <f t="shared" si="10"/>
        <v>2</v>
      </c>
      <c r="M78" s="12">
        <v>80000</v>
      </c>
      <c r="N78" s="12">
        <v>0</v>
      </c>
      <c r="O78" s="11">
        <v>160000</v>
      </c>
      <c r="P78" s="11">
        <f t="shared" si="11"/>
        <v>160000</v>
      </c>
      <c r="Q78" s="11">
        <v>0</v>
      </c>
      <c r="R78" s="11"/>
      <c r="S78" s="11">
        <v>0</v>
      </c>
      <c r="T78" s="11">
        <f t="shared" si="9"/>
        <v>160000</v>
      </c>
      <c r="U78" s="42">
        <v>2</v>
      </c>
    </row>
    <row r="79" spans="1:21" s="36" customFormat="1" ht="15.45" x14ac:dyDescent="0.35">
      <c r="A79" s="19" t="s">
        <v>111</v>
      </c>
      <c r="B79" s="9">
        <v>45729</v>
      </c>
      <c r="C79" s="14" t="s">
        <v>1080</v>
      </c>
      <c r="D79" s="10" t="s">
        <v>1081</v>
      </c>
      <c r="E79" s="9">
        <v>45729</v>
      </c>
      <c r="F79" s="10" t="s">
        <v>55</v>
      </c>
      <c r="G79" s="10" t="s">
        <v>1084</v>
      </c>
      <c r="H79" s="10" t="s">
        <v>24</v>
      </c>
      <c r="I79" s="10" t="s">
        <v>61</v>
      </c>
      <c r="J79" s="10"/>
      <c r="K79" s="10" t="s">
        <v>6</v>
      </c>
      <c r="L79" s="12">
        <f t="shared" si="10"/>
        <v>2</v>
      </c>
      <c r="M79" s="12">
        <v>80000</v>
      </c>
      <c r="N79" s="12">
        <v>0</v>
      </c>
      <c r="O79" s="11">
        <v>160000</v>
      </c>
      <c r="P79" s="11">
        <f t="shared" si="11"/>
        <v>160000</v>
      </c>
      <c r="Q79" s="11">
        <v>0</v>
      </c>
      <c r="R79" s="11"/>
      <c r="S79" s="11">
        <v>0</v>
      </c>
      <c r="T79" s="11">
        <f t="shared" si="9"/>
        <v>160000</v>
      </c>
      <c r="U79" s="42">
        <v>2</v>
      </c>
    </row>
    <row r="80" spans="1:21" s="36" customFormat="1" ht="15.45" x14ac:dyDescent="0.35">
      <c r="A80" s="19" t="s">
        <v>111</v>
      </c>
      <c r="B80" s="9">
        <v>45729</v>
      </c>
      <c r="C80" s="14" t="s">
        <v>1085</v>
      </c>
      <c r="D80" s="10" t="s">
        <v>1086</v>
      </c>
      <c r="E80" s="9">
        <v>45729</v>
      </c>
      <c r="F80" s="10" t="s">
        <v>55</v>
      </c>
      <c r="G80" s="10" t="s">
        <v>87</v>
      </c>
      <c r="H80" s="10" t="s">
        <v>24</v>
      </c>
      <c r="I80" s="10" t="s">
        <v>61</v>
      </c>
      <c r="J80" s="10"/>
      <c r="K80" s="10" t="s">
        <v>10</v>
      </c>
      <c r="L80" s="12">
        <f t="shared" si="10"/>
        <v>32</v>
      </c>
      <c r="M80" s="12">
        <v>12500</v>
      </c>
      <c r="N80" s="12">
        <v>0</v>
      </c>
      <c r="O80" s="11">
        <v>400000</v>
      </c>
      <c r="P80" s="11">
        <f t="shared" si="11"/>
        <v>400000</v>
      </c>
      <c r="Q80" s="11">
        <v>0</v>
      </c>
      <c r="R80" s="11"/>
      <c r="S80" s="11">
        <v>0</v>
      </c>
      <c r="T80" s="11">
        <f t="shared" si="9"/>
        <v>400000</v>
      </c>
      <c r="U80" s="42">
        <v>32</v>
      </c>
    </row>
    <row r="81" spans="1:23" s="36" customFormat="1" ht="15.45" x14ac:dyDescent="0.35">
      <c r="A81" s="19" t="s">
        <v>106</v>
      </c>
      <c r="B81" s="9">
        <v>45734</v>
      </c>
      <c r="C81" s="14" t="s">
        <v>1167</v>
      </c>
      <c r="D81" s="10" t="s">
        <v>1168</v>
      </c>
      <c r="E81" s="9">
        <v>45727</v>
      </c>
      <c r="F81" s="10" t="s">
        <v>66</v>
      </c>
      <c r="G81" s="10" t="s">
        <v>207</v>
      </c>
      <c r="H81" s="10" t="s">
        <v>23</v>
      </c>
      <c r="I81" s="10" t="s">
        <v>885</v>
      </c>
      <c r="J81" s="50" t="s">
        <v>1524</v>
      </c>
      <c r="K81" s="10" t="s">
        <v>1</v>
      </c>
      <c r="L81" s="12">
        <f t="shared" si="10"/>
        <v>210</v>
      </c>
      <c r="M81" s="12">
        <v>11500</v>
      </c>
      <c r="N81" s="12">
        <v>0</v>
      </c>
      <c r="O81" s="11">
        <v>2415000</v>
      </c>
      <c r="P81" s="11">
        <f t="shared" si="11"/>
        <v>2415000</v>
      </c>
      <c r="Q81" s="11">
        <v>265650</v>
      </c>
      <c r="R81" s="11"/>
      <c r="S81" s="11">
        <v>0</v>
      </c>
      <c r="T81" s="11">
        <f t="shared" si="9"/>
        <v>2680650</v>
      </c>
      <c r="U81" s="42">
        <v>210</v>
      </c>
    </row>
    <row r="82" spans="1:23" s="36" customFormat="1" ht="15.45" x14ac:dyDescent="0.35">
      <c r="A82" s="19" t="s">
        <v>184</v>
      </c>
      <c r="B82" s="9">
        <v>45722</v>
      </c>
      <c r="C82" s="14" t="s">
        <v>998</v>
      </c>
      <c r="D82" s="10" t="s">
        <v>999</v>
      </c>
      <c r="E82" s="9">
        <v>45721</v>
      </c>
      <c r="F82" s="10" t="s">
        <v>183</v>
      </c>
      <c r="G82" s="10" t="s">
        <v>215</v>
      </c>
      <c r="H82" s="10" t="s">
        <v>23</v>
      </c>
      <c r="I82" s="10" t="s">
        <v>886</v>
      </c>
      <c r="J82" s="50" t="s">
        <v>1138</v>
      </c>
      <c r="K82" s="10" t="s">
        <v>1</v>
      </c>
      <c r="L82" s="12">
        <f t="shared" si="10"/>
        <v>30</v>
      </c>
      <c r="M82" s="12">
        <v>57383</v>
      </c>
      <c r="N82" s="12">
        <v>16395</v>
      </c>
      <c r="O82" s="11">
        <v>1721490</v>
      </c>
      <c r="P82" s="11">
        <f t="shared" si="11"/>
        <v>1721490</v>
      </c>
      <c r="Q82" s="11">
        <v>189363.9</v>
      </c>
      <c r="R82" s="11"/>
      <c r="S82" s="11">
        <v>0</v>
      </c>
      <c r="T82" s="11">
        <f t="shared" si="9"/>
        <v>1910853.9</v>
      </c>
      <c r="U82" s="42">
        <v>30</v>
      </c>
    </row>
    <row r="83" spans="1:23" s="36" customFormat="1" ht="15.45" x14ac:dyDescent="0.35">
      <c r="A83" s="19" t="s">
        <v>1246</v>
      </c>
      <c r="B83" s="9">
        <v>45743</v>
      </c>
      <c r="C83" s="14" t="s">
        <v>1235</v>
      </c>
      <c r="D83" s="10" t="s">
        <v>1236</v>
      </c>
      <c r="E83" s="9">
        <v>45743</v>
      </c>
      <c r="F83" s="10" t="s">
        <v>1237</v>
      </c>
      <c r="G83" s="10" t="s">
        <v>1238</v>
      </c>
      <c r="H83" s="10" t="s">
        <v>23</v>
      </c>
      <c r="I83" s="10" t="s">
        <v>889</v>
      </c>
      <c r="J83" s="50" t="s">
        <v>1518</v>
      </c>
      <c r="K83" s="10" t="s">
        <v>1</v>
      </c>
      <c r="L83" s="12">
        <f t="shared" si="10"/>
        <v>400</v>
      </c>
      <c r="M83" s="12">
        <v>57500</v>
      </c>
      <c r="N83" s="12">
        <v>0</v>
      </c>
      <c r="O83" s="11">
        <v>23000000</v>
      </c>
      <c r="P83" s="11">
        <f t="shared" si="11"/>
        <v>23000000</v>
      </c>
      <c r="Q83" s="11">
        <v>2530000</v>
      </c>
      <c r="R83" s="11"/>
      <c r="S83" s="11">
        <v>0</v>
      </c>
      <c r="T83" s="11">
        <f t="shared" si="9"/>
        <v>25530000</v>
      </c>
      <c r="U83" s="42">
        <v>400</v>
      </c>
    </row>
    <row r="84" spans="1:23" s="36" customFormat="1" ht="15.45" x14ac:dyDescent="0.35">
      <c r="A84" s="19" t="s">
        <v>115</v>
      </c>
      <c r="B84" s="9">
        <v>45729</v>
      </c>
      <c r="C84" s="14" t="s">
        <v>1093</v>
      </c>
      <c r="D84" s="10" t="s">
        <v>1016</v>
      </c>
      <c r="E84" s="9">
        <v>45719</v>
      </c>
      <c r="F84" s="10" t="s">
        <v>81</v>
      </c>
      <c r="G84" s="10" t="s">
        <v>89</v>
      </c>
      <c r="H84" s="10" t="s">
        <v>25</v>
      </c>
      <c r="I84" s="10" t="s">
        <v>79</v>
      </c>
      <c r="J84" s="50" t="s">
        <v>1519</v>
      </c>
      <c r="K84" s="10" t="s">
        <v>1</v>
      </c>
      <c r="L84" s="12">
        <f t="shared" si="10"/>
        <v>30860</v>
      </c>
      <c r="M84" s="12">
        <v>1565</v>
      </c>
      <c r="N84" s="12">
        <v>0</v>
      </c>
      <c r="O84" s="11">
        <v>48295900</v>
      </c>
      <c r="P84" s="11">
        <f t="shared" si="11"/>
        <v>48295900</v>
      </c>
      <c r="Q84" s="11">
        <v>5312549</v>
      </c>
      <c r="R84" s="11">
        <f>P84*1.5%</f>
        <v>724438.5</v>
      </c>
      <c r="S84" s="11">
        <v>0</v>
      </c>
      <c r="T84" s="11">
        <f>P84+Q84-S84-R84</f>
        <v>52884010.5</v>
      </c>
      <c r="U84" s="42">
        <v>30860</v>
      </c>
    </row>
    <row r="85" spans="1:23" s="36" customFormat="1" ht="15.45" x14ac:dyDescent="0.35">
      <c r="A85" s="19" t="s">
        <v>109</v>
      </c>
      <c r="B85" s="9">
        <v>45730</v>
      </c>
      <c r="C85" s="14" t="s">
        <v>1094</v>
      </c>
      <c r="D85" s="10" t="s">
        <v>788</v>
      </c>
      <c r="E85" s="9">
        <v>45707</v>
      </c>
      <c r="F85" s="10" t="s">
        <v>54</v>
      </c>
      <c r="G85" s="10" t="s">
        <v>49</v>
      </c>
      <c r="H85" s="10" t="s">
        <v>24</v>
      </c>
      <c r="I85" s="10" t="s">
        <v>61</v>
      </c>
      <c r="J85" s="50" t="s">
        <v>1155</v>
      </c>
      <c r="K85" s="10" t="s">
        <v>15</v>
      </c>
      <c r="L85" s="12">
        <f t="shared" si="10"/>
        <v>144</v>
      </c>
      <c r="M85" s="12">
        <v>6454</v>
      </c>
      <c r="N85" s="12">
        <v>0</v>
      </c>
      <c r="O85" s="11">
        <v>929376</v>
      </c>
      <c r="P85" s="11">
        <f t="shared" si="11"/>
        <v>929376</v>
      </c>
      <c r="Q85" s="11">
        <v>102231.36</v>
      </c>
      <c r="R85" s="11"/>
      <c r="S85" s="11">
        <v>0</v>
      </c>
      <c r="T85" s="11">
        <f t="shared" si="9"/>
        <v>1031607.36</v>
      </c>
      <c r="U85" s="42">
        <v>144</v>
      </c>
    </row>
    <row r="86" spans="1:23" s="36" customFormat="1" ht="15.45" x14ac:dyDescent="0.35">
      <c r="A86" s="19" t="s">
        <v>105</v>
      </c>
      <c r="B86" s="9">
        <v>45729</v>
      </c>
      <c r="C86" s="14" t="s">
        <v>1061</v>
      </c>
      <c r="D86" s="10" t="s">
        <v>1007</v>
      </c>
      <c r="E86" s="9">
        <v>45721</v>
      </c>
      <c r="F86" s="10" t="s">
        <v>85</v>
      </c>
      <c r="G86" s="10" t="s">
        <v>660</v>
      </c>
      <c r="H86" s="10" t="s">
        <v>23</v>
      </c>
      <c r="I86" s="10" t="s">
        <v>890</v>
      </c>
      <c r="J86" s="50" t="s">
        <v>1278</v>
      </c>
      <c r="K86" s="10" t="s">
        <v>1</v>
      </c>
      <c r="L86" s="12">
        <f t="shared" si="10"/>
        <v>300</v>
      </c>
      <c r="M86" s="12">
        <v>24593</v>
      </c>
      <c r="N86" s="12">
        <v>16395</v>
      </c>
      <c r="O86" s="11">
        <v>7377900</v>
      </c>
      <c r="P86" s="11">
        <f t="shared" si="11"/>
        <v>7377900</v>
      </c>
      <c r="Q86" s="11">
        <v>811569</v>
      </c>
      <c r="R86" s="11"/>
      <c r="S86" s="11">
        <v>0</v>
      </c>
      <c r="T86" s="11">
        <f t="shared" si="9"/>
        <v>8189469</v>
      </c>
      <c r="U86" s="42">
        <v>300</v>
      </c>
    </row>
    <row r="87" spans="1:23" s="36" customFormat="1" ht="15.45" x14ac:dyDescent="0.35">
      <c r="A87" s="19" t="s">
        <v>105</v>
      </c>
      <c r="B87" s="9">
        <v>45730</v>
      </c>
      <c r="C87" s="14" t="s">
        <v>1161</v>
      </c>
      <c r="D87" s="10" t="s">
        <v>724</v>
      </c>
      <c r="E87" s="9">
        <v>45705</v>
      </c>
      <c r="F87" s="10" t="s">
        <v>85</v>
      </c>
      <c r="G87" s="10" t="s">
        <v>725</v>
      </c>
      <c r="H87" s="10" t="s">
        <v>23</v>
      </c>
      <c r="I87" s="10" t="s">
        <v>886</v>
      </c>
      <c r="J87" s="10"/>
      <c r="K87" s="10" t="s">
        <v>1</v>
      </c>
      <c r="L87" s="12">
        <f t="shared" si="10"/>
        <v>25</v>
      </c>
      <c r="M87" s="12">
        <v>63199.5</v>
      </c>
      <c r="N87" s="12">
        <v>16205</v>
      </c>
      <c r="O87" s="11">
        <v>1579987.5</v>
      </c>
      <c r="P87" s="11">
        <f t="shared" si="11"/>
        <v>1579987.5</v>
      </c>
      <c r="Q87" s="11">
        <v>173798.625</v>
      </c>
      <c r="R87" s="11"/>
      <c r="S87" s="11">
        <v>0</v>
      </c>
      <c r="T87" s="11">
        <f t="shared" si="9"/>
        <v>1753786.125</v>
      </c>
      <c r="U87" s="42">
        <v>25</v>
      </c>
    </row>
    <row r="88" spans="1:23" s="36" customFormat="1" ht="15.45" x14ac:dyDescent="0.35">
      <c r="A88" s="19" t="s">
        <v>692</v>
      </c>
      <c r="B88" s="9">
        <v>45730</v>
      </c>
      <c r="C88" s="14" t="s">
        <v>1100</v>
      </c>
      <c r="D88" s="10" t="s">
        <v>1101</v>
      </c>
      <c r="E88" s="9">
        <v>45729</v>
      </c>
      <c r="F88" s="10" t="s">
        <v>676</v>
      </c>
      <c r="G88" s="10" t="s">
        <v>1102</v>
      </c>
      <c r="H88" s="10" t="s">
        <v>24</v>
      </c>
      <c r="I88" s="10" t="s">
        <v>61</v>
      </c>
      <c r="J88" s="50" t="s">
        <v>1150</v>
      </c>
      <c r="K88" s="10" t="s">
        <v>0</v>
      </c>
      <c r="L88" s="12">
        <f t="shared" si="10"/>
        <v>10</v>
      </c>
      <c r="M88" s="12">
        <v>32000</v>
      </c>
      <c r="N88" s="12">
        <v>0</v>
      </c>
      <c r="O88" s="11">
        <v>320000</v>
      </c>
      <c r="P88" s="11">
        <f t="shared" si="11"/>
        <v>320000</v>
      </c>
      <c r="Q88" s="11">
        <v>35200</v>
      </c>
      <c r="R88" s="11"/>
      <c r="S88" s="11">
        <v>0</v>
      </c>
      <c r="T88" s="11">
        <f t="shared" si="9"/>
        <v>355200</v>
      </c>
      <c r="U88" s="42">
        <v>10</v>
      </c>
    </row>
    <row r="89" spans="1:23" s="36" customFormat="1" ht="15.45" x14ac:dyDescent="0.35">
      <c r="A89" s="19" t="s">
        <v>692</v>
      </c>
      <c r="B89" s="9">
        <v>45730</v>
      </c>
      <c r="C89" s="14" t="s">
        <v>1100</v>
      </c>
      <c r="D89" s="10" t="s">
        <v>1101</v>
      </c>
      <c r="E89" s="9">
        <v>45729</v>
      </c>
      <c r="F89" s="10" t="s">
        <v>676</v>
      </c>
      <c r="G89" s="10" t="s">
        <v>1103</v>
      </c>
      <c r="H89" s="10" t="s">
        <v>24</v>
      </c>
      <c r="I89" s="10" t="s">
        <v>61</v>
      </c>
      <c r="J89" s="50" t="s">
        <v>1150</v>
      </c>
      <c r="K89" s="10" t="s">
        <v>1</v>
      </c>
      <c r="L89" s="12">
        <f t="shared" si="10"/>
        <v>10</v>
      </c>
      <c r="M89" s="12">
        <v>31000</v>
      </c>
      <c r="N89" s="12">
        <v>0</v>
      </c>
      <c r="O89" s="11">
        <v>310000</v>
      </c>
      <c r="P89" s="11">
        <f t="shared" si="11"/>
        <v>310000</v>
      </c>
      <c r="Q89" s="11">
        <v>34100</v>
      </c>
      <c r="R89" s="11"/>
      <c r="S89" s="11">
        <v>0</v>
      </c>
      <c r="T89" s="11">
        <f t="shared" si="9"/>
        <v>344100</v>
      </c>
      <c r="U89" s="42">
        <v>10</v>
      </c>
    </row>
    <row r="90" spans="1:23" s="36" customFormat="1" ht="15.45" x14ac:dyDescent="0.35">
      <c r="A90" s="19" t="s">
        <v>692</v>
      </c>
      <c r="B90" s="9">
        <v>45730</v>
      </c>
      <c r="C90" s="14" t="s">
        <v>1104</v>
      </c>
      <c r="D90" s="10" t="s">
        <v>1101</v>
      </c>
      <c r="E90" s="9">
        <v>45729</v>
      </c>
      <c r="F90" s="10" t="s">
        <v>676</v>
      </c>
      <c r="G90" s="10" t="s">
        <v>125</v>
      </c>
      <c r="H90" s="10" t="s">
        <v>24</v>
      </c>
      <c r="I90" s="10" t="s">
        <v>61</v>
      </c>
      <c r="J90" s="50" t="s">
        <v>1512</v>
      </c>
      <c r="K90" s="10" t="s">
        <v>3</v>
      </c>
      <c r="L90" s="12">
        <f t="shared" si="10"/>
        <v>5</v>
      </c>
      <c r="M90" s="12">
        <v>88500</v>
      </c>
      <c r="N90" s="12">
        <v>0</v>
      </c>
      <c r="O90" s="11">
        <v>442500</v>
      </c>
      <c r="P90" s="11">
        <f t="shared" si="11"/>
        <v>442500</v>
      </c>
      <c r="Q90" s="11">
        <v>48675</v>
      </c>
      <c r="R90" s="11"/>
      <c r="S90" s="11">
        <v>0</v>
      </c>
      <c r="T90" s="11">
        <f t="shared" si="9"/>
        <v>491175</v>
      </c>
      <c r="U90" s="42">
        <v>5</v>
      </c>
    </row>
    <row r="91" spans="1:23" s="36" customFormat="1" ht="15.45" x14ac:dyDescent="0.35">
      <c r="A91" s="19" t="s">
        <v>110</v>
      </c>
      <c r="B91" s="9">
        <v>45729</v>
      </c>
      <c r="C91" s="14" t="s">
        <v>1087</v>
      </c>
      <c r="D91" s="10" t="s">
        <v>1088</v>
      </c>
      <c r="E91" s="9">
        <v>45724</v>
      </c>
      <c r="F91" s="10" t="s">
        <v>72</v>
      </c>
      <c r="G91" s="10" t="s">
        <v>29</v>
      </c>
      <c r="H91" s="10" t="s">
        <v>23</v>
      </c>
      <c r="I91" s="10" t="s">
        <v>887</v>
      </c>
      <c r="J91" s="50" t="s">
        <v>1280</v>
      </c>
      <c r="K91" s="10" t="s">
        <v>1</v>
      </c>
      <c r="L91" s="12">
        <f t="shared" si="10"/>
        <v>5000</v>
      </c>
      <c r="M91" s="12">
        <v>5500</v>
      </c>
      <c r="N91" s="12">
        <v>0</v>
      </c>
      <c r="O91" s="11">
        <v>27500000</v>
      </c>
      <c r="P91" s="11">
        <f t="shared" si="11"/>
        <v>27500000</v>
      </c>
      <c r="Q91" s="11">
        <v>3025000</v>
      </c>
      <c r="R91" s="11"/>
      <c r="S91" s="11">
        <v>0</v>
      </c>
      <c r="T91" s="11">
        <f t="shared" si="9"/>
        <v>30525000</v>
      </c>
      <c r="U91" s="42">
        <v>5000</v>
      </c>
    </row>
    <row r="92" spans="1:23" s="36" customFormat="1" ht="15.45" x14ac:dyDescent="0.35">
      <c r="A92" s="19" t="s">
        <v>110</v>
      </c>
      <c r="B92" s="9">
        <v>45736</v>
      </c>
      <c r="C92" s="14" t="s">
        <v>1218</v>
      </c>
      <c r="D92" s="10" t="s">
        <v>1088</v>
      </c>
      <c r="E92" s="9">
        <v>45724</v>
      </c>
      <c r="F92" s="10" t="s">
        <v>72</v>
      </c>
      <c r="G92" s="10" t="s">
        <v>29</v>
      </c>
      <c r="H92" s="10" t="s">
        <v>23</v>
      </c>
      <c r="I92" s="10" t="s">
        <v>887</v>
      </c>
      <c r="J92" s="50" t="s">
        <v>1272</v>
      </c>
      <c r="K92" s="10" t="s">
        <v>1</v>
      </c>
      <c r="L92" s="12">
        <f t="shared" si="10"/>
        <v>5000</v>
      </c>
      <c r="M92" s="12">
        <v>5500</v>
      </c>
      <c r="N92" s="12">
        <v>0</v>
      </c>
      <c r="O92" s="11">
        <v>27500000</v>
      </c>
      <c r="P92" s="11">
        <f t="shared" si="11"/>
        <v>27500000</v>
      </c>
      <c r="Q92" s="11">
        <v>3025000</v>
      </c>
      <c r="R92" s="11"/>
      <c r="S92" s="11">
        <v>0</v>
      </c>
      <c r="T92" s="11">
        <f t="shared" si="9"/>
        <v>30525000</v>
      </c>
      <c r="U92" s="42">
        <v>5000</v>
      </c>
    </row>
    <row r="93" spans="1:23" s="36" customFormat="1" ht="15.45" x14ac:dyDescent="0.35">
      <c r="A93" s="19" t="s">
        <v>105</v>
      </c>
      <c r="B93" s="9">
        <v>45733</v>
      </c>
      <c r="C93" s="14" t="s">
        <v>1165</v>
      </c>
      <c r="D93" s="10" t="s">
        <v>782</v>
      </c>
      <c r="E93" s="9">
        <v>45705</v>
      </c>
      <c r="F93" s="10" t="s">
        <v>85</v>
      </c>
      <c r="G93" s="10" t="s">
        <v>783</v>
      </c>
      <c r="H93" s="10" t="s">
        <v>23</v>
      </c>
      <c r="I93" s="10" t="s">
        <v>886</v>
      </c>
      <c r="J93" s="50" t="s">
        <v>1267</v>
      </c>
      <c r="K93" s="10" t="s">
        <v>1</v>
      </c>
      <c r="L93" s="12">
        <f t="shared" si="10"/>
        <v>300</v>
      </c>
      <c r="M93" s="12">
        <v>71302</v>
      </c>
      <c r="N93" s="12">
        <v>16205</v>
      </c>
      <c r="O93" s="11">
        <v>21390600</v>
      </c>
      <c r="P93" s="11">
        <f t="shared" ref="P93:P105" si="12">O93</f>
        <v>21390600</v>
      </c>
      <c r="Q93" s="11">
        <v>2352966</v>
      </c>
      <c r="R93" s="11"/>
      <c r="S93" s="11">
        <v>0</v>
      </c>
      <c r="T93" s="11">
        <f t="shared" si="9"/>
        <v>23743566</v>
      </c>
      <c r="U93" s="42">
        <v>300</v>
      </c>
    </row>
    <row r="94" spans="1:23" s="36" customFormat="1" ht="15.45" x14ac:dyDescent="0.35">
      <c r="A94" s="19" t="s">
        <v>98</v>
      </c>
      <c r="B94" s="9">
        <v>45730</v>
      </c>
      <c r="C94" s="14" t="s">
        <v>1110</v>
      </c>
      <c r="D94" s="10" t="s">
        <v>924</v>
      </c>
      <c r="E94" s="9">
        <v>45719</v>
      </c>
      <c r="F94" s="10" t="s">
        <v>84</v>
      </c>
      <c r="G94" s="10" t="s">
        <v>175</v>
      </c>
      <c r="H94" s="10" t="s">
        <v>25</v>
      </c>
      <c r="I94" s="10" t="s">
        <v>79</v>
      </c>
      <c r="J94" s="50" t="s">
        <v>1145</v>
      </c>
      <c r="K94" s="10" t="s">
        <v>1</v>
      </c>
      <c r="L94" s="12">
        <f t="shared" si="10"/>
        <v>33360</v>
      </c>
      <c r="M94" s="12">
        <v>1250</v>
      </c>
      <c r="N94" s="12">
        <v>0</v>
      </c>
      <c r="O94" s="11">
        <v>41700000</v>
      </c>
      <c r="P94" s="11">
        <f t="shared" si="12"/>
        <v>41700000</v>
      </c>
      <c r="Q94" s="11">
        <v>4587000</v>
      </c>
      <c r="R94" s="11">
        <f>P94*1.5%</f>
        <v>625500</v>
      </c>
      <c r="S94" s="11">
        <v>0</v>
      </c>
      <c r="T94" s="11">
        <f>P94+Q94-S94-R94</f>
        <v>45661500</v>
      </c>
      <c r="U94" s="42">
        <v>33360</v>
      </c>
    </row>
    <row r="95" spans="1:23" s="36" customFormat="1" ht="15.45" x14ac:dyDescent="0.35">
      <c r="A95" s="19" t="s">
        <v>115</v>
      </c>
      <c r="B95" s="9">
        <v>45730</v>
      </c>
      <c r="C95" s="14" t="s">
        <v>1111</v>
      </c>
      <c r="D95" s="10" t="s">
        <v>1016</v>
      </c>
      <c r="E95" s="9">
        <v>45719</v>
      </c>
      <c r="F95" s="10" t="s">
        <v>81</v>
      </c>
      <c r="G95" s="10" t="s">
        <v>89</v>
      </c>
      <c r="H95" s="10" t="s">
        <v>25</v>
      </c>
      <c r="I95" s="10" t="s">
        <v>79</v>
      </c>
      <c r="J95" s="50" t="s">
        <v>1519</v>
      </c>
      <c r="K95" s="10" t="s">
        <v>1</v>
      </c>
      <c r="L95" s="12">
        <f t="shared" si="10"/>
        <v>31250</v>
      </c>
      <c r="M95" s="12">
        <v>1565</v>
      </c>
      <c r="N95" s="12">
        <v>0</v>
      </c>
      <c r="O95" s="11">
        <v>48906250</v>
      </c>
      <c r="P95" s="11">
        <f t="shared" si="12"/>
        <v>48906250</v>
      </c>
      <c r="Q95" s="11">
        <v>5379687.5</v>
      </c>
      <c r="R95" s="11">
        <f>P95*1.5%</f>
        <v>733593.75</v>
      </c>
      <c r="S95" s="11">
        <v>0</v>
      </c>
      <c r="T95" s="11">
        <f>P95+Q95-S95-R95</f>
        <v>53552343.75</v>
      </c>
      <c r="U95" s="42">
        <v>31250</v>
      </c>
    </row>
    <row r="96" spans="1:23" s="36" customFormat="1" ht="15.45" x14ac:dyDescent="0.35">
      <c r="A96" s="19" t="s">
        <v>118</v>
      </c>
      <c r="B96" s="21">
        <v>45720</v>
      </c>
      <c r="C96" s="22" t="s">
        <v>950</v>
      </c>
      <c r="D96" s="23"/>
      <c r="E96" s="21"/>
      <c r="F96" s="23" t="s">
        <v>217</v>
      </c>
      <c r="G96" s="23" t="s">
        <v>951</v>
      </c>
      <c r="H96" s="23" t="s">
        <v>119</v>
      </c>
      <c r="I96" s="23" t="s">
        <v>120</v>
      </c>
      <c r="J96" s="26"/>
      <c r="K96" s="23" t="s">
        <v>135</v>
      </c>
      <c r="L96" s="24">
        <v>4876</v>
      </c>
      <c r="M96" s="24">
        <v>8500</v>
      </c>
      <c r="N96" s="24"/>
      <c r="O96" s="25">
        <f>L96*M96</f>
        <v>41446000</v>
      </c>
      <c r="P96" s="25">
        <f t="shared" si="12"/>
        <v>41446000</v>
      </c>
      <c r="Q96" s="11">
        <v>0</v>
      </c>
      <c r="R96" s="25"/>
      <c r="S96" s="25"/>
      <c r="T96" s="25">
        <f>P96</f>
        <v>41446000</v>
      </c>
      <c r="U96" s="29"/>
      <c r="V96" s="28"/>
      <c r="W96" s="28"/>
    </row>
    <row r="97" spans="1:23" s="36" customFormat="1" ht="15.45" x14ac:dyDescent="0.35">
      <c r="A97" s="19" t="s">
        <v>510</v>
      </c>
      <c r="B97" s="21">
        <v>45733</v>
      </c>
      <c r="C97" s="22" t="s">
        <v>1160</v>
      </c>
      <c r="D97" s="23"/>
      <c r="E97" s="21"/>
      <c r="F97" s="23" t="s">
        <v>511</v>
      </c>
      <c r="G97" s="23" t="s">
        <v>1157</v>
      </c>
      <c r="H97" s="23" t="s">
        <v>513</v>
      </c>
      <c r="I97" s="23" t="s">
        <v>514</v>
      </c>
      <c r="J97" s="46" t="s">
        <v>1158</v>
      </c>
      <c r="K97" s="23" t="s">
        <v>1159</v>
      </c>
      <c r="L97" s="24">
        <v>1</v>
      </c>
      <c r="M97" s="24">
        <v>470315</v>
      </c>
      <c r="N97" s="24"/>
      <c r="O97" s="25">
        <f>L97*M97</f>
        <v>470315</v>
      </c>
      <c r="P97" s="25">
        <f t="shared" si="12"/>
        <v>470315</v>
      </c>
      <c r="Q97" s="25">
        <f>P97*0.11</f>
        <v>51734.65</v>
      </c>
      <c r="R97" s="25">
        <f>P97*2%</f>
        <v>9406.3000000000011</v>
      </c>
      <c r="S97" s="25"/>
      <c r="T97" s="25">
        <f>P97+Q97-R97</f>
        <v>512643.35000000003</v>
      </c>
      <c r="U97" s="29"/>
      <c r="V97" s="28"/>
      <c r="W97" s="28"/>
    </row>
    <row r="98" spans="1:23" s="36" customFormat="1" ht="15.45" x14ac:dyDescent="0.35">
      <c r="A98" s="19" t="s">
        <v>184</v>
      </c>
      <c r="B98" s="9">
        <v>45728</v>
      </c>
      <c r="C98" s="14" t="s">
        <v>1054</v>
      </c>
      <c r="D98" s="10" t="s">
        <v>1055</v>
      </c>
      <c r="E98" s="9">
        <v>45727</v>
      </c>
      <c r="F98" s="10" t="s">
        <v>183</v>
      </c>
      <c r="G98" s="10" t="s">
        <v>1056</v>
      </c>
      <c r="H98" s="10" t="s">
        <v>23</v>
      </c>
      <c r="I98" s="10" t="s">
        <v>891</v>
      </c>
      <c r="J98" s="50" t="s">
        <v>1151</v>
      </c>
      <c r="K98" s="10" t="s">
        <v>1</v>
      </c>
      <c r="L98" s="12">
        <f t="shared" ref="L98:L105" si="13">IF(LEFT(C98,2)="RP",U98*-1,U98)</f>
        <v>190</v>
      </c>
      <c r="M98" s="12">
        <v>58302</v>
      </c>
      <c r="N98" s="12">
        <v>16423</v>
      </c>
      <c r="O98" s="11">
        <v>11077380</v>
      </c>
      <c r="P98" s="11">
        <f t="shared" si="12"/>
        <v>11077380</v>
      </c>
      <c r="Q98" s="11">
        <v>1218511.8</v>
      </c>
      <c r="R98" s="11"/>
      <c r="S98" s="11">
        <v>0</v>
      </c>
      <c r="T98" s="11">
        <f t="shared" ref="T98:T105" si="14">P98+Q98-S98</f>
        <v>12295891.800000001</v>
      </c>
      <c r="U98" s="42">
        <v>190</v>
      </c>
    </row>
    <row r="99" spans="1:23" s="36" customFormat="1" ht="15.45" x14ac:dyDescent="0.35">
      <c r="A99" s="19" t="s">
        <v>1112</v>
      </c>
      <c r="B99" s="9">
        <v>45730</v>
      </c>
      <c r="C99" s="14" t="s">
        <v>1096</v>
      </c>
      <c r="D99" s="10" t="s">
        <v>1097</v>
      </c>
      <c r="E99" s="9">
        <v>45728</v>
      </c>
      <c r="F99" s="10" t="s">
        <v>1098</v>
      </c>
      <c r="G99" s="10" t="s">
        <v>1099</v>
      </c>
      <c r="H99" s="10" t="s">
        <v>23</v>
      </c>
      <c r="I99" s="10" t="s">
        <v>890</v>
      </c>
      <c r="J99" s="50" t="s">
        <v>1275</v>
      </c>
      <c r="K99" s="10" t="s">
        <v>4</v>
      </c>
      <c r="L99" s="12">
        <f t="shared" si="13"/>
        <v>400</v>
      </c>
      <c r="M99" s="12">
        <v>36000</v>
      </c>
      <c r="N99" s="12">
        <v>0</v>
      </c>
      <c r="O99" s="11">
        <v>14400000</v>
      </c>
      <c r="P99" s="11">
        <f t="shared" si="12"/>
        <v>14400000</v>
      </c>
      <c r="Q99" s="11">
        <v>1584000</v>
      </c>
      <c r="R99" s="11"/>
      <c r="S99" s="11">
        <v>0</v>
      </c>
      <c r="T99" s="11">
        <f t="shared" si="14"/>
        <v>15984000</v>
      </c>
      <c r="U99" s="42">
        <v>400</v>
      </c>
    </row>
    <row r="100" spans="1:23" s="36" customFormat="1" ht="15.45" x14ac:dyDescent="0.35">
      <c r="A100" s="19" t="s">
        <v>97</v>
      </c>
      <c r="B100" s="9">
        <v>45733</v>
      </c>
      <c r="C100" s="14" t="s">
        <v>1163</v>
      </c>
      <c r="D100" s="10" t="s">
        <v>1164</v>
      </c>
      <c r="E100" s="9">
        <v>45729</v>
      </c>
      <c r="F100" s="10" t="s">
        <v>63</v>
      </c>
      <c r="G100" s="10" t="s">
        <v>83</v>
      </c>
      <c r="H100" s="10" t="s">
        <v>24</v>
      </c>
      <c r="I100" s="10" t="s">
        <v>888</v>
      </c>
      <c r="J100" s="50" t="s">
        <v>1265</v>
      </c>
      <c r="K100" s="10" t="s">
        <v>5</v>
      </c>
      <c r="L100" s="12">
        <f t="shared" si="13"/>
        <v>1000</v>
      </c>
      <c r="M100" s="12">
        <v>27000</v>
      </c>
      <c r="N100" s="12">
        <v>0</v>
      </c>
      <c r="O100" s="11">
        <v>27000000</v>
      </c>
      <c r="P100" s="11">
        <f t="shared" si="12"/>
        <v>27000000</v>
      </c>
      <c r="Q100" s="11">
        <v>2970000</v>
      </c>
      <c r="R100" s="11"/>
      <c r="S100" s="11">
        <v>0</v>
      </c>
      <c r="T100" s="11">
        <f t="shared" si="14"/>
        <v>29970000</v>
      </c>
      <c r="U100" s="42">
        <v>1000</v>
      </c>
    </row>
    <row r="101" spans="1:23" s="36" customFormat="1" ht="15.45" x14ac:dyDescent="0.35">
      <c r="A101" s="19" t="s">
        <v>225</v>
      </c>
      <c r="B101" s="9">
        <v>45729</v>
      </c>
      <c r="C101" s="14" t="s">
        <v>1091</v>
      </c>
      <c r="D101" s="10" t="s">
        <v>1092</v>
      </c>
      <c r="E101" s="9">
        <v>45728</v>
      </c>
      <c r="F101" s="10" t="s">
        <v>221</v>
      </c>
      <c r="G101" s="10" t="s">
        <v>222</v>
      </c>
      <c r="H101" s="10" t="s">
        <v>23</v>
      </c>
      <c r="I101" s="10" t="s">
        <v>885</v>
      </c>
      <c r="J101" s="50" t="s">
        <v>1144</v>
      </c>
      <c r="K101" s="10" t="s">
        <v>1</v>
      </c>
      <c r="L101" s="12">
        <f t="shared" si="13"/>
        <v>200</v>
      </c>
      <c r="M101" s="12">
        <v>9200</v>
      </c>
      <c r="N101" s="12">
        <v>16428</v>
      </c>
      <c r="O101" s="11">
        <v>1840000</v>
      </c>
      <c r="P101" s="11">
        <f t="shared" si="12"/>
        <v>1840000</v>
      </c>
      <c r="Q101" s="11">
        <v>202400</v>
      </c>
      <c r="R101" s="11"/>
      <c r="S101" s="11">
        <v>0</v>
      </c>
      <c r="T101" s="11">
        <f t="shared" si="14"/>
        <v>2042400</v>
      </c>
      <c r="U101" s="42">
        <v>200</v>
      </c>
    </row>
    <row r="102" spans="1:23" s="36" customFormat="1" ht="15.45" x14ac:dyDescent="0.35">
      <c r="A102" s="19" t="s">
        <v>593</v>
      </c>
      <c r="B102" s="9">
        <v>45721</v>
      </c>
      <c r="C102" s="14" t="s">
        <v>992</v>
      </c>
      <c r="D102" s="10" t="s">
        <v>993</v>
      </c>
      <c r="E102" s="9">
        <v>45716</v>
      </c>
      <c r="F102" s="10" t="s">
        <v>566</v>
      </c>
      <c r="G102" s="10" t="s">
        <v>567</v>
      </c>
      <c r="H102" s="10" t="s">
        <v>23</v>
      </c>
      <c r="I102" s="10" t="s">
        <v>885</v>
      </c>
      <c r="J102" s="50" t="s">
        <v>1500</v>
      </c>
      <c r="K102" s="10" t="s">
        <v>1</v>
      </c>
      <c r="L102" s="12">
        <f t="shared" si="13"/>
        <v>60</v>
      </c>
      <c r="M102" s="12">
        <v>69489</v>
      </c>
      <c r="N102" s="12">
        <v>16545</v>
      </c>
      <c r="O102" s="11">
        <v>4169340</v>
      </c>
      <c r="P102" s="11">
        <f t="shared" si="12"/>
        <v>4169340</v>
      </c>
      <c r="Q102" s="11">
        <v>458627.4</v>
      </c>
      <c r="R102" s="11"/>
      <c r="S102" s="11">
        <v>0</v>
      </c>
      <c r="T102" s="11">
        <f t="shared" si="14"/>
        <v>4627967.4000000004</v>
      </c>
      <c r="U102" s="42">
        <v>60</v>
      </c>
    </row>
    <row r="103" spans="1:23" s="36" customFormat="1" ht="15.45" x14ac:dyDescent="0.35">
      <c r="A103" s="19" t="s">
        <v>232</v>
      </c>
      <c r="B103" s="9">
        <v>45734</v>
      </c>
      <c r="C103" s="14" t="s">
        <v>1175</v>
      </c>
      <c r="D103" s="10" t="s">
        <v>1176</v>
      </c>
      <c r="E103" s="9">
        <v>45733</v>
      </c>
      <c r="F103" s="10" t="s">
        <v>230</v>
      </c>
      <c r="G103" s="10" t="s">
        <v>231</v>
      </c>
      <c r="H103" s="10" t="s">
        <v>23</v>
      </c>
      <c r="I103" s="10" t="s">
        <v>890</v>
      </c>
      <c r="J103" s="50" t="s">
        <v>1531</v>
      </c>
      <c r="K103" s="10" t="s">
        <v>1</v>
      </c>
      <c r="L103" s="12">
        <f t="shared" si="13"/>
        <v>200</v>
      </c>
      <c r="M103" s="12">
        <v>28000</v>
      </c>
      <c r="N103" s="12">
        <v>0</v>
      </c>
      <c r="O103" s="11">
        <v>5600000</v>
      </c>
      <c r="P103" s="11">
        <f t="shared" si="12"/>
        <v>5600000</v>
      </c>
      <c r="Q103" s="11">
        <v>616000</v>
      </c>
      <c r="R103" s="11"/>
      <c r="S103" s="11">
        <v>0</v>
      </c>
      <c r="T103" s="11">
        <f t="shared" si="14"/>
        <v>6216000</v>
      </c>
      <c r="U103" s="42">
        <v>200</v>
      </c>
    </row>
    <row r="104" spans="1:23" s="36" customFormat="1" ht="15.45" x14ac:dyDescent="0.35">
      <c r="A104" s="19" t="s">
        <v>184</v>
      </c>
      <c r="B104" s="9">
        <v>45730</v>
      </c>
      <c r="C104" s="14" t="s">
        <v>1105</v>
      </c>
      <c r="D104" s="10" t="s">
        <v>1106</v>
      </c>
      <c r="E104" s="9">
        <v>45729</v>
      </c>
      <c r="F104" s="10" t="s">
        <v>183</v>
      </c>
      <c r="G104" s="10" t="s">
        <v>201</v>
      </c>
      <c r="H104" s="10" t="s">
        <v>23</v>
      </c>
      <c r="I104" s="10" t="s">
        <v>890</v>
      </c>
      <c r="J104" s="50" t="s">
        <v>1268</v>
      </c>
      <c r="K104" s="10" t="s">
        <v>1</v>
      </c>
      <c r="L104" s="12">
        <f t="shared" si="13"/>
        <v>400</v>
      </c>
      <c r="M104" s="12">
        <v>26293</v>
      </c>
      <c r="N104" s="12">
        <v>16433</v>
      </c>
      <c r="O104" s="11">
        <v>10517200</v>
      </c>
      <c r="P104" s="11">
        <f t="shared" si="12"/>
        <v>10517200</v>
      </c>
      <c r="Q104" s="11">
        <v>1156892</v>
      </c>
      <c r="R104" s="11"/>
      <c r="S104" s="11">
        <v>0</v>
      </c>
      <c r="T104" s="11">
        <f t="shared" si="14"/>
        <v>11674092</v>
      </c>
      <c r="U104" s="42">
        <v>400</v>
      </c>
    </row>
    <row r="105" spans="1:23" s="36" customFormat="1" ht="15.45" x14ac:dyDescent="0.35">
      <c r="A105" s="19" t="s">
        <v>184</v>
      </c>
      <c r="B105" s="9">
        <v>45730</v>
      </c>
      <c r="C105" s="14" t="s">
        <v>1105</v>
      </c>
      <c r="D105" s="10" t="s">
        <v>1106</v>
      </c>
      <c r="E105" s="9">
        <v>45729</v>
      </c>
      <c r="F105" s="10" t="s">
        <v>183</v>
      </c>
      <c r="G105" s="10" t="s">
        <v>213</v>
      </c>
      <c r="H105" s="10" t="s">
        <v>23</v>
      </c>
      <c r="I105" s="10" t="s">
        <v>890</v>
      </c>
      <c r="J105" s="50" t="s">
        <v>1268</v>
      </c>
      <c r="K105" s="10" t="s">
        <v>1</v>
      </c>
      <c r="L105" s="12">
        <f t="shared" si="13"/>
        <v>120</v>
      </c>
      <c r="M105" s="12">
        <v>55872</v>
      </c>
      <c r="N105" s="12">
        <v>16433</v>
      </c>
      <c r="O105" s="11">
        <v>6704640</v>
      </c>
      <c r="P105" s="11">
        <f t="shared" si="12"/>
        <v>6704640</v>
      </c>
      <c r="Q105" s="11">
        <v>737510.40000000002</v>
      </c>
      <c r="R105" s="11"/>
      <c r="S105" s="11">
        <v>0</v>
      </c>
      <c r="T105" s="11">
        <f t="shared" si="14"/>
        <v>7442150.4000000004</v>
      </c>
      <c r="U105" s="42">
        <v>120</v>
      </c>
    </row>
    <row r="106" spans="1:23" s="36" customFormat="1" ht="15.45" x14ac:dyDescent="0.35">
      <c r="A106" s="19" t="s">
        <v>692</v>
      </c>
      <c r="B106" s="9">
        <v>45734</v>
      </c>
      <c r="C106" s="14" t="s">
        <v>1173</v>
      </c>
      <c r="D106" s="10" t="s">
        <v>1174</v>
      </c>
      <c r="E106" s="9">
        <v>45731</v>
      </c>
      <c r="F106" s="10" t="s">
        <v>676</v>
      </c>
      <c r="G106" s="10" t="s">
        <v>630</v>
      </c>
      <c r="H106" s="10" t="s">
        <v>24</v>
      </c>
      <c r="I106" s="10" t="s">
        <v>61</v>
      </c>
      <c r="J106" s="50" t="s">
        <v>1511</v>
      </c>
      <c r="K106" s="10" t="s">
        <v>1</v>
      </c>
      <c r="L106" s="12">
        <f t="shared" ref="L106:L133" si="15">IF(LEFT(C106,2)="RP",U106*-1,U106)</f>
        <v>10</v>
      </c>
      <c r="M106" s="12">
        <v>47000</v>
      </c>
      <c r="N106" s="12">
        <v>0</v>
      </c>
      <c r="O106" s="11">
        <v>470000</v>
      </c>
      <c r="P106" s="11">
        <f t="shared" ref="P106:P134" si="16">O106</f>
        <v>470000</v>
      </c>
      <c r="Q106" s="11">
        <v>51700</v>
      </c>
      <c r="R106" s="11"/>
      <c r="S106" s="11">
        <v>0</v>
      </c>
      <c r="T106" s="11">
        <f t="shared" ref="T106:T137" si="17">P106+Q106-S106</f>
        <v>521700</v>
      </c>
      <c r="U106" s="42">
        <v>10</v>
      </c>
    </row>
    <row r="107" spans="1:23" s="36" customFormat="1" ht="15.45" x14ac:dyDescent="0.35">
      <c r="A107" s="20" t="s">
        <v>99</v>
      </c>
      <c r="B107" s="9">
        <v>45728</v>
      </c>
      <c r="C107" s="14" t="s">
        <v>1048</v>
      </c>
      <c r="D107" s="10" t="s">
        <v>1049</v>
      </c>
      <c r="E107" s="9">
        <v>45727</v>
      </c>
      <c r="F107" s="10" t="s">
        <v>64</v>
      </c>
      <c r="G107" s="10" t="s">
        <v>43</v>
      </c>
      <c r="H107" s="10" t="s">
        <v>23</v>
      </c>
      <c r="I107" s="10" t="s">
        <v>887</v>
      </c>
      <c r="J107" s="50" t="s">
        <v>1154</v>
      </c>
      <c r="K107" s="10" t="s">
        <v>1</v>
      </c>
      <c r="L107" s="12">
        <f t="shared" si="15"/>
        <v>1</v>
      </c>
      <c r="M107" s="12">
        <v>1500000</v>
      </c>
      <c r="N107" s="12">
        <v>0</v>
      </c>
      <c r="O107" s="11">
        <v>1500000</v>
      </c>
      <c r="P107" s="11">
        <f t="shared" si="16"/>
        <v>1500000</v>
      </c>
      <c r="Q107" s="11">
        <v>165000</v>
      </c>
      <c r="R107" s="11"/>
      <c r="S107" s="11">
        <v>0</v>
      </c>
      <c r="T107" s="11">
        <f t="shared" si="17"/>
        <v>1665000</v>
      </c>
      <c r="U107" s="42">
        <v>1</v>
      </c>
    </row>
    <row r="108" spans="1:23" s="36" customFormat="1" ht="15.45" x14ac:dyDescent="0.35">
      <c r="A108" s="19" t="s">
        <v>1248</v>
      </c>
      <c r="B108" s="9">
        <v>45734</v>
      </c>
      <c r="C108" s="14" t="s">
        <v>1177</v>
      </c>
      <c r="D108" s="10" t="s">
        <v>1178</v>
      </c>
      <c r="E108" s="9">
        <v>45733</v>
      </c>
      <c r="F108" s="10" t="s">
        <v>1179</v>
      </c>
      <c r="G108" s="10" t="s">
        <v>1180</v>
      </c>
      <c r="H108" s="10" t="s">
        <v>24</v>
      </c>
      <c r="I108" s="10" t="s">
        <v>61</v>
      </c>
      <c r="J108" s="50" t="s">
        <v>1515</v>
      </c>
      <c r="K108" s="10" t="s">
        <v>1181</v>
      </c>
      <c r="L108" s="12">
        <f t="shared" si="15"/>
        <v>10</v>
      </c>
      <c r="M108" s="12">
        <v>800000</v>
      </c>
      <c r="N108" s="12">
        <v>0</v>
      </c>
      <c r="O108" s="11">
        <v>8000000</v>
      </c>
      <c r="P108" s="11">
        <f t="shared" si="16"/>
        <v>8000000</v>
      </c>
      <c r="Q108" s="11">
        <v>880000</v>
      </c>
      <c r="R108" s="11"/>
      <c r="S108" s="11">
        <v>0</v>
      </c>
      <c r="T108" s="11">
        <f t="shared" si="17"/>
        <v>8880000</v>
      </c>
      <c r="U108" s="42">
        <v>10</v>
      </c>
    </row>
    <row r="109" spans="1:23" s="36" customFormat="1" ht="15.45" x14ac:dyDescent="0.35">
      <c r="A109" s="19" t="s">
        <v>1248</v>
      </c>
      <c r="B109" s="9">
        <v>45734</v>
      </c>
      <c r="C109" s="14" t="s">
        <v>1177</v>
      </c>
      <c r="D109" s="10" t="s">
        <v>1178</v>
      </c>
      <c r="E109" s="9">
        <v>45733</v>
      </c>
      <c r="F109" s="10" t="s">
        <v>1179</v>
      </c>
      <c r="G109" s="10" t="s">
        <v>1182</v>
      </c>
      <c r="H109" s="10" t="s">
        <v>24</v>
      </c>
      <c r="I109" s="10" t="s">
        <v>61</v>
      </c>
      <c r="J109" s="50" t="s">
        <v>1515</v>
      </c>
      <c r="K109" s="10" t="s">
        <v>1181</v>
      </c>
      <c r="L109" s="12">
        <f t="shared" si="15"/>
        <v>3</v>
      </c>
      <c r="M109" s="12">
        <v>450000</v>
      </c>
      <c r="N109" s="12">
        <v>0</v>
      </c>
      <c r="O109" s="11">
        <v>1350000</v>
      </c>
      <c r="P109" s="11">
        <f t="shared" si="16"/>
        <v>1350000</v>
      </c>
      <c r="Q109" s="11">
        <v>148500</v>
      </c>
      <c r="R109" s="11"/>
      <c r="S109" s="11">
        <v>0</v>
      </c>
      <c r="T109" s="11">
        <f t="shared" si="17"/>
        <v>1498500</v>
      </c>
      <c r="U109" s="42">
        <v>3</v>
      </c>
    </row>
    <row r="110" spans="1:23" s="36" customFormat="1" ht="15.45" x14ac:dyDescent="0.35">
      <c r="A110" s="19" t="s">
        <v>102</v>
      </c>
      <c r="B110" s="9">
        <v>45734</v>
      </c>
      <c r="C110" s="14" t="s">
        <v>1183</v>
      </c>
      <c r="D110" s="10" t="s">
        <v>790</v>
      </c>
      <c r="E110" s="9">
        <v>45707</v>
      </c>
      <c r="F110" s="10" t="s">
        <v>65</v>
      </c>
      <c r="G110" s="10" t="s">
        <v>48</v>
      </c>
      <c r="H110" s="10" t="s">
        <v>24</v>
      </c>
      <c r="I110" s="10" t="s">
        <v>61</v>
      </c>
      <c r="J110" s="50" t="s">
        <v>1274</v>
      </c>
      <c r="K110" s="10" t="s">
        <v>15</v>
      </c>
      <c r="L110" s="12">
        <f t="shared" si="15"/>
        <v>144</v>
      </c>
      <c r="M110" s="12">
        <v>8200</v>
      </c>
      <c r="N110" s="12">
        <v>0</v>
      </c>
      <c r="O110" s="11">
        <v>1180800</v>
      </c>
      <c r="P110" s="11">
        <f t="shared" si="16"/>
        <v>1180800</v>
      </c>
      <c r="Q110" s="11">
        <v>129888</v>
      </c>
      <c r="R110" s="11"/>
      <c r="S110" s="11">
        <v>0</v>
      </c>
      <c r="T110" s="11">
        <f t="shared" si="17"/>
        <v>1310688</v>
      </c>
      <c r="U110" s="42">
        <v>144</v>
      </c>
    </row>
    <row r="111" spans="1:23" s="36" customFormat="1" ht="15.45" x14ac:dyDescent="0.35">
      <c r="A111" s="19" t="s">
        <v>98</v>
      </c>
      <c r="B111" s="9">
        <v>45734</v>
      </c>
      <c r="C111" s="14" t="s">
        <v>1184</v>
      </c>
      <c r="D111" s="10" t="s">
        <v>924</v>
      </c>
      <c r="E111" s="9">
        <v>45719</v>
      </c>
      <c r="F111" s="10" t="s">
        <v>84</v>
      </c>
      <c r="G111" s="10" t="s">
        <v>175</v>
      </c>
      <c r="H111" s="10" t="s">
        <v>25</v>
      </c>
      <c r="I111" s="10" t="s">
        <v>79</v>
      </c>
      <c r="J111" s="50" t="s">
        <v>1273</v>
      </c>
      <c r="K111" s="10" t="s">
        <v>1</v>
      </c>
      <c r="L111" s="12">
        <f t="shared" si="15"/>
        <v>32210</v>
      </c>
      <c r="M111" s="12">
        <v>1250</v>
      </c>
      <c r="N111" s="12">
        <v>0</v>
      </c>
      <c r="O111" s="11">
        <v>40262500</v>
      </c>
      <c r="P111" s="11">
        <f t="shared" si="16"/>
        <v>40262500</v>
      </c>
      <c r="Q111" s="11">
        <v>4428875</v>
      </c>
      <c r="R111" s="11">
        <f>P111*1.5%</f>
        <v>603937.5</v>
      </c>
      <c r="S111" s="11">
        <v>0</v>
      </c>
      <c r="T111" s="11">
        <f t="shared" si="17"/>
        <v>44691375</v>
      </c>
      <c r="U111" s="42">
        <v>32210</v>
      </c>
    </row>
    <row r="112" spans="1:23" s="36" customFormat="1" ht="15.45" x14ac:dyDescent="0.35">
      <c r="A112" s="19" t="s">
        <v>115</v>
      </c>
      <c r="B112" s="9">
        <v>45734</v>
      </c>
      <c r="C112" s="14" t="s">
        <v>1185</v>
      </c>
      <c r="D112" s="10" t="s">
        <v>1016</v>
      </c>
      <c r="E112" s="9">
        <v>45719</v>
      </c>
      <c r="F112" s="10" t="s">
        <v>81</v>
      </c>
      <c r="G112" s="10" t="s">
        <v>89</v>
      </c>
      <c r="H112" s="10" t="s">
        <v>25</v>
      </c>
      <c r="I112" s="10" t="s">
        <v>79</v>
      </c>
      <c r="J112" s="50" t="s">
        <v>1520</v>
      </c>
      <c r="K112" s="10" t="s">
        <v>1</v>
      </c>
      <c r="L112" s="12">
        <f t="shared" si="15"/>
        <v>30300</v>
      </c>
      <c r="M112" s="12">
        <v>1565</v>
      </c>
      <c r="N112" s="12">
        <v>0</v>
      </c>
      <c r="O112" s="11">
        <v>47419500</v>
      </c>
      <c r="P112" s="11">
        <f t="shared" si="16"/>
        <v>47419500</v>
      </c>
      <c r="Q112" s="11">
        <v>5216145</v>
      </c>
      <c r="R112" s="11">
        <f>P112*1.5%</f>
        <v>711292.5</v>
      </c>
      <c r="S112" s="11">
        <v>0</v>
      </c>
      <c r="T112" s="11">
        <f>P112+Q112-S112-R112</f>
        <v>51924352.5</v>
      </c>
      <c r="U112" s="42">
        <v>30300</v>
      </c>
    </row>
    <row r="113" spans="1:21" s="36" customFormat="1" ht="15.45" x14ac:dyDescent="0.35">
      <c r="A113" s="19" t="s">
        <v>99</v>
      </c>
      <c r="B113" s="9">
        <v>45722</v>
      </c>
      <c r="C113" s="14" t="s">
        <v>996</v>
      </c>
      <c r="D113" s="10" t="s">
        <v>997</v>
      </c>
      <c r="E113" s="9">
        <v>45721</v>
      </c>
      <c r="F113" s="10" t="s">
        <v>64</v>
      </c>
      <c r="G113" s="10" t="s">
        <v>126</v>
      </c>
      <c r="H113" s="10" t="s">
        <v>23</v>
      </c>
      <c r="I113" s="10" t="s">
        <v>887</v>
      </c>
      <c r="J113" s="50" t="s">
        <v>1134</v>
      </c>
      <c r="K113" s="10" t="s">
        <v>0</v>
      </c>
      <c r="L113" s="12">
        <f t="shared" si="15"/>
        <v>300</v>
      </c>
      <c r="M113" s="12">
        <v>13180</v>
      </c>
      <c r="N113" s="12">
        <v>0</v>
      </c>
      <c r="O113" s="11">
        <v>3954000</v>
      </c>
      <c r="P113" s="11">
        <f t="shared" si="16"/>
        <v>3954000</v>
      </c>
      <c r="Q113" s="11">
        <v>434940</v>
      </c>
      <c r="R113" s="11"/>
      <c r="S113" s="11">
        <v>0</v>
      </c>
      <c r="T113" s="11">
        <f t="shared" si="17"/>
        <v>4388940</v>
      </c>
      <c r="U113" s="42">
        <v>300</v>
      </c>
    </row>
    <row r="114" spans="1:21" s="36" customFormat="1" ht="15.45" x14ac:dyDescent="0.35">
      <c r="A114" s="20" t="s">
        <v>1247</v>
      </c>
      <c r="B114" s="9">
        <v>45735</v>
      </c>
      <c r="C114" s="14" t="s">
        <v>1187</v>
      </c>
      <c r="D114" s="10" t="s">
        <v>1188</v>
      </c>
      <c r="E114" s="9">
        <v>45729</v>
      </c>
      <c r="F114" s="10" t="s">
        <v>1189</v>
      </c>
      <c r="G114" s="10" t="s">
        <v>1190</v>
      </c>
      <c r="H114" s="10" t="s">
        <v>24</v>
      </c>
      <c r="I114" s="10" t="s">
        <v>61</v>
      </c>
      <c r="J114" s="50" t="s">
        <v>1282</v>
      </c>
      <c r="K114" s="10" t="s">
        <v>4</v>
      </c>
      <c r="L114" s="12">
        <f t="shared" si="15"/>
        <v>2800</v>
      </c>
      <c r="M114" s="12">
        <v>31500</v>
      </c>
      <c r="N114" s="12">
        <v>0</v>
      </c>
      <c r="O114" s="11">
        <v>88200000</v>
      </c>
      <c r="P114" s="11">
        <f t="shared" si="16"/>
        <v>88200000</v>
      </c>
      <c r="Q114" s="11">
        <v>9702000</v>
      </c>
      <c r="R114" s="11"/>
      <c r="S114" s="11">
        <v>0</v>
      </c>
      <c r="T114" s="11">
        <f t="shared" si="17"/>
        <v>97902000</v>
      </c>
      <c r="U114" s="42">
        <v>2800</v>
      </c>
    </row>
    <row r="115" spans="1:21" s="36" customFormat="1" ht="15.45" x14ac:dyDescent="0.35">
      <c r="A115" s="19" t="s">
        <v>692</v>
      </c>
      <c r="B115" s="9">
        <v>45735</v>
      </c>
      <c r="C115" s="14" t="s">
        <v>1191</v>
      </c>
      <c r="D115" s="10" t="s">
        <v>1192</v>
      </c>
      <c r="E115" s="9">
        <v>45733</v>
      </c>
      <c r="F115" s="10" t="s">
        <v>676</v>
      </c>
      <c r="G115" s="10" t="s">
        <v>1193</v>
      </c>
      <c r="H115" s="10" t="s">
        <v>24</v>
      </c>
      <c r="I115" s="10" t="s">
        <v>61</v>
      </c>
      <c r="J115" s="50" t="s">
        <v>1513</v>
      </c>
      <c r="K115" s="10" t="s">
        <v>6</v>
      </c>
      <c r="L115" s="12">
        <f t="shared" si="15"/>
        <v>1</v>
      </c>
      <c r="M115" s="12">
        <v>1805100</v>
      </c>
      <c r="N115" s="12">
        <v>0</v>
      </c>
      <c r="O115" s="11">
        <v>1805100</v>
      </c>
      <c r="P115" s="11">
        <f t="shared" si="16"/>
        <v>1805100</v>
      </c>
      <c r="Q115" s="11">
        <v>198561</v>
      </c>
      <c r="R115" s="11"/>
      <c r="S115" s="11">
        <v>0</v>
      </c>
      <c r="T115" s="11">
        <f t="shared" si="17"/>
        <v>2003661</v>
      </c>
      <c r="U115" s="42">
        <v>1</v>
      </c>
    </row>
    <row r="116" spans="1:21" s="36" customFormat="1" ht="15.45" x14ac:dyDescent="0.35">
      <c r="A116" s="19" t="s">
        <v>117</v>
      </c>
      <c r="B116" s="9">
        <v>45735</v>
      </c>
      <c r="C116" s="14" t="s">
        <v>1194</v>
      </c>
      <c r="D116" s="10" t="s">
        <v>1195</v>
      </c>
      <c r="E116" s="9">
        <v>45733</v>
      </c>
      <c r="F116" s="10" t="s">
        <v>68</v>
      </c>
      <c r="G116" s="10" t="s">
        <v>1196</v>
      </c>
      <c r="H116" s="10" t="s">
        <v>934</v>
      </c>
      <c r="I116" s="10" t="s">
        <v>935</v>
      </c>
      <c r="J116" s="50" t="s">
        <v>1535</v>
      </c>
      <c r="K116" s="10" t="s">
        <v>1181</v>
      </c>
      <c r="L116" s="12">
        <f t="shared" si="15"/>
        <v>3</v>
      </c>
      <c r="M116" s="12">
        <v>66216.2</v>
      </c>
      <c r="N116" s="12">
        <v>0</v>
      </c>
      <c r="O116" s="11">
        <v>198648.6</v>
      </c>
      <c r="P116" s="11">
        <f t="shared" si="16"/>
        <v>198648.6</v>
      </c>
      <c r="Q116" s="11">
        <v>21851.346000000001</v>
      </c>
      <c r="R116" s="11"/>
      <c r="S116" s="11">
        <v>0</v>
      </c>
      <c r="T116" s="11">
        <f t="shared" si="17"/>
        <v>220499.946</v>
      </c>
      <c r="U116" s="42">
        <v>3</v>
      </c>
    </row>
    <row r="117" spans="1:21" s="36" customFormat="1" ht="15.45" x14ac:dyDescent="0.35">
      <c r="A117" s="19" t="s">
        <v>117</v>
      </c>
      <c r="B117" s="9">
        <v>45735</v>
      </c>
      <c r="C117" s="14" t="s">
        <v>1194</v>
      </c>
      <c r="D117" s="10" t="s">
        <v>1195</v>
      </c>
      <c r="E117" s="9">
        <v>45733</v>
      </c>
      <c r="F117" s="10" t="s">
        <v>68</v>
      </c>
      <c r="G117" s="10" t="s">
        <v>1197</v>
      </c>
      <c r="H117" s="10" t="s">
        <v>934</v>
      </c>
      <c r="I117" s="10" t="s">
        <v>935</v>
      </c>
      <c r="J117" s="50" t="s">
        <v>1535</v>
      </c>
      <c r="K117" s="10" t="s">
        <v>6</v>
      </c>
      <c r="L117" s="12">
        <f t="shared" si="15"/>
        <v>3</v>
      </c>
      <c r="M117" s="12">
        <v>184685</v>
      </c>
      <c r="N117" s="12">
        <v>0</v>
      </c>
      <c r="O117" s="11">
        <v>554055</v>
      </c>
      <c r="P117" s="11">
        <f t="shared" si="16"/>
        <v>554055</v>
      </c>
      <c r="Q117" s="11">
        <v>60946.05</v>
      </c>
      <c r="R117" s="11"/>
      <c r="S117" s="11">
        <v>0</v>
      </c>
      <c r="T117" s="11">
        <f t="shared" si="17"/>
        <v>615001.05000000005</v>
      </c>
      <c r="U117" s="42">
        <v>3</v>
      </c>
    </row>
    <row r="118" spans="1:21" s="36" customFormat="1" ht="15.45" x14ac:dyDescent="0.35">
      <c r="A118" s="19" t="s">
        <v>149</v>
      </c>
      <c r="B118" s="9">
        <v>45735</v>
      </c>
      <c r="C118" s="14" t="s">
        <v>1198</v>
      </c>
      <c r="D118" s="10" t="s">
        <v>1199</v>
      </c>
      <c r="E118" s="9">
        <v>45735</v>
      </c>
      <c r="F118" s="10" t="s">
        <v>143</v>
      </c>
      <c r="G118" s="10" t="s">
        <v>1200</v>
      </c>
      <c r="H118" s="10" t="s">
        <v>24</v>
      </c>
      <c r="I118" s="10" t="s">
        <v>61</v>
      </c>
      <c r="J118" s="50" t="s">
        <v>1536</v>
      </c>
      <c r="K118" s="10" t="s">
        <v>6</v>
      </c>
      <c r="L118" s="12">
        <f t="shared" si="15"/>
        <v>2</v>
      </c>
      <c r="M118" s="12">
        <v>1200000</v>
      </c>
      <c r="N118" s="12">
        <v>0</v>
      </c>
      <c r="O118" s="11">
        <v>2400000</v>
      </c>
      <c r="P118" s="11">
        <f t="shared" si="16"/>
        <v>2400000</v>
      </c>
      <c r="Q118" s="11">
        <v>264000</v>
      </c>
      <c r="R118" s="11"/>
      <c r="S118" s="11">
        <v>0</v>
      </c>
      <c r="T118" s="11">
        <f t="shared" si="17"/>
        <v>2664000</v>
      </c>
      <c r="U118" s="42">
        <v>2</v>
      </c>
    </row>
    <row r="119" spans="1:21" s="36" customFormat="1" ht="15.45" x14ac:dyDescent="0.35">
      <c r="A119" s="19" t="s">
        <v>218</v>
      </c>
      <c r="B119" s="9">
        <v>45735</v>
      </c>
      <c r="C119" s="14" t="s">
        <v>1186</v>
      </c>
      <c r="D119" s="10" t="s">
        <v>684</v>
      </c>
      <c r="E119" s="9">
        <v>45693</v>
      </c>
      <c r="F119" s="10" t="s">
        <v>44</v>
      </c>
      <c r="G119" s="10" t="s">
        <v>41</v>
      </c>
      <c r="H119" s="10" t="s">
        <v>23</v>
      </c>
      <c r="I119" s="10" t="s">
        <v>890</v>
      </c>
      <c r="J119" s="50" t="s">
        <v>1283</v>
      </c>
      <c r="K119" s="10" t="s">
        <v>1</v>
      </c>
      <c r="L119" s="12">
        <f t="shared" si="15"/>
        <v>4000</v>
      </c>
      <c r="M119" s="12">
        <v>21190</v>
      </c>
      <c r="N119" s="12">
        <v>16300</v>
      </c>
      <c r="O119" s="11">
        <v>84760000</v>
      </c>
      <c r="P119" s="11">
        <f t="shared" si="16"/>
        <v>84760000</v>
      </c>
      <c r="Q119" s="11">
        <v>9323600</v>
      </c>
      <c r="R119" s="11"/>
      <c r="S119" s="11">
        <v>0</v>
      </c>
      <c r="T119" s="11">
        <f t="shared" si="17"/>
        <v>94083600</v>
      </c>
      <c r="U119" s="42">
        <v>4000</v>
      </c>
    </row>
    <row r="120" spans="1:21" s="36" customFormat="1" ht="15.45" x14ac:dyDescent="0.35">
      <c r="A120" s="19" t="s">
        <v>109</v>
      </c>
      <c r="B120" s="9">
        <v>45736</v>
      </c>
      <c r="C120" s="14" t="s">
        <v>1202</v>
      </c>
      <c r="D120" s="10" t="s">
        <v>788</v>
      </c>
      <c r="E120" s="9">
        <v>45707</v>
      </c>
      <c r="F120" s="10" t="s">
        <v>54</v>
      </c>
      <c r="G120" s="10" t="s">
        <v>49</v>
      </c>
      <c r="H120" s="10" t="s">
        <v>24</v>
      </c>
      <c r="I120" s="10" t="s">
        <v>61</v>
      </c>
      <c r="J120" s="50" t="s">
        <v>1266</v>
      </c>
      <c r="K120" s="10" t="s">
        <v>15</v>
      </c>
      <c r="L120" s="12">
        <f t="shared" si="15"/>
        <v>144</v>
      </c>
      <c r="M120" s="12">
        <v>6454</v>
      </c>
      <c r="N120" s="12">
        <v>0</v>
      </c>
      <c r="O120" s="11">
        <v>929376</v>
      </c>
      <c r="P120" s="11">
        <f t="shared" si="16"/>
        <v>929376</v>
      </c>
      <c r="Q120" s="11">
        <v>102231.36</v>
      </c>
      <c r="R120" s="11"/>
      <c r="S120" s="11">
        <v>0</v>
      </c>
      <c r="T120" s="11">
        <f t="shared" si="17"/>
        <v>1031607.36</v>
      </c>
      <c r="U120" s="42">
        <v>144</v>
      </c>
    </row>
    <row r="121" spans="1:21" s="36" customFormat="1" ht="15.45" x14ac:dyDescent="0.35">
      <c r="A121" s="19" t="s">
        <v>132</v>
      </c>
      <c r="B121" s="9">
        <v>45736</v>
      </c>
      <c r="C121" s="14" t="s">
        <v>1203</v>
      </c>
      <c r="D121" s="10" t="s">
        <v>1204</v>
      </c>
      <c r="E121" s="9">
        <v>45736</v>
      </c>
      <c r="F121" s="10" t="s">
        <v>129</v>
      </c>
      <c r="G121" s="10" t="s">
        <v>549</v>
      </c>
      <c r="H121" s="10" t="s">
        <v>24</v>
      </c>
      <c r="I121" s="10" t="s">
        <v>61</v>
      </c>
      <c r="J121" s="10"/>
      <c r="K121" s="10" t="s">
        <v>6</v>
      </c>
      <c r="L121" s="12">
        <f t="shared" si="15"/>
        <v>5</v>
      </c>
      <c r="M121" s="12">
        <v>5000</v>
      </c>
      <c r="N121" s="12">
        <v>0</v>
      </c>
      <c r="O121" s="11">
        <v>25000</v>
      </c>
      <c r="P121" s="11">
        <f t="shared" si="16"/>
        <v>25000</v>
      </c>
      <c r="Q121" s="11">
        <v>0</v>
      </c>
      <c r="R121" s="11"/>
      <c r="S121" s="11">
        <v>0</v>
      </c>
      <c r="T121" s="11">
        <f t="shared" si="17"/>
        <v>25000</v>
      </c>
      <c r="U121" s="42">
        <v>5</v>
      </c>
    </row>
    <row r="122" spans="1:21" s="36" customFormat="1" ht="15.45" x14ac:dyDescent="0.35">
      <c r="A122" s="19" t="s">
        <v>132</v>
      </c>
      <c r="B122" s="9">
        <v>45736</v>
      </c>
      <c r="C122" s="14" t="s">
        <v>1203</v>
      </c>
      <c r="D122" s="10" t="s">
        <v>1204</v>
      </c>
      <c r="E122" s="9">
        <v>45736</v>
      </c>
      <c r="F122" s="10" t="s">
        <v>129</v>
      </c>
      <c r="G122" s="10" t="s">
        <v>202</v>
      </c>
      <c r="H122" s="10" t="s">
        <v>24</v>
      </c>
      <c r="I122" s="10" t="s">
        <v>61</v>
      </c>
      <c r="J122" s="10"/>
      <c r="K122" s="10" t="s">
        <v>145</v>
      </c>
      <c r="L122" s="12">
        <f t="shared" si="15"/>
        <v>25</v>
      </c>
      <c r="M122" s="12">
        <v>4500</v>
      </c>
      <c r="N122" s="12">
        <v>0</v>
      </c>
      <c r="O122" s="11">
        <v>112500</v>
      </c>
      <c r="P122" s="11">
        <f t="shared" si="16"/>
        <v>112500</v>
      </c>
      <c r="Q122" s="11">
        <v>0</v>
      </c>
      <c r="R122" s="11"/>
      <c r="S122" s="11">
        <v>0</v>
      </c>
      <c r="T122" s="11">
        <f t="shared" si="17"/>
        <v>112500</v>
      </c>
      <c r="U122" s="42">
        <v>25</v>
      </c>
    </row>
    <row r="123" spans="1:21" s="36" customFormat="1" ht="15.45" x14ac:dyDescent="0.35">
      <c r="A123" s="19" t="s">
        <v>113</v>
      </c>
      <c r="B123" s="9">
        <v>45736</v>
      </c>
      <c r="C123" s="14" t="s">
        <v>1205</v>
      </c>
      <c r="D123" s="10" t="s">
        <v>1206</v>
      </c>
      <c r="E123" s="9">
        <v>45736</v>
      </c>
      <c r="F123" s="10" t="s">
        <v>42</v>
      </c>
      <c r="G123" s="10" t="s">
        <v>1207</v>
      </c>
      <c r="H123" s="10" t="s">
        <v>24</v>
      </c>
      <c r="I123" s="10" t="s">
        <v>61</v>
      </c>
      <c r="J123" s="10"/>
      <c r="K123" s="10" t="s">
        <v>6</v>
      </c>
      <c r="L123" s="12">
        <f t="shared" si="15"/>
        <v>4</v>
      </c>
      <c r="M123" s="12">
        <v>80000</v>
      </c>
      <c r="N123" s="12">
        <v>0</v>
      </c>
      <c r="O123" s="11">
        <v>320000</v>
      </c>
      <c r="P123" s="11">
        <f t="shared" si="16"/>
        <v>320000</v>
      </c>
      <c r="Q123" s="11">
        <v>0</v>
      </c>
      <c r="R123" s="11"/>
      <c r="S123" s="11">
        <v>0</v>
      </c>
      <c r="T123" s="11">
        <f t="shared" si="17"/>
        <v>320000</v>
      </c>
      <c r="U123" s="42">
        <v>4</v>
      </c>
    </row>
    <row r="124" spans="1:21" s="36" customFormat="1" ht="15.45" x14ac:dyDescent="0.35">
      <c r="A124" s="19" t="s">
        <v>113</v>
      </c>
      <c r="B124" s="9">
        <v>45736</v>
      </c>
      <c r="C124" s="14" t="s">
        <v>1205</v>
      </c>
      <c r="D124" s="10" t="s">
        <v>1206</v>
      </c>
      <c r="E124" s="9">
        <v>45736</v>
      </c>
      <c r="F124" s="10" t="s">
        <v>42</v>
      </c>
      <c r="G124" s="10" t="s">
        <v>1208</v>
      </c>
      <c r="H124" s="10" t="s">
        <v>24</v>
      </c>
      <c r="I124" s="10" t="s">
        <v>61</v>
      </c>
      <c r="J124" s="10"/>
      <c r="K124" s="10" t="s">
        <v>10</v>
      </c>
      <c r="L124" s="12">
        <f t="shared" si="15"/>
        <v>15</v>
      </c>
      <c r="M124" s="12">
        <v>17500</v>
      </c>
      <c r="N124" s="12">
        <v>0</v>
      </c>
      <c r="O124" s="11">
        <v>262500</v>
      </c>
      <c r="P124" s="11">
        <f t="shared" si="16"/>
        <v>262500</v>
      </c>
      <c r="Q124" s="11">
        <v>0</v>
      </c>
      <c r="R124" s="11"/>
      <c r="S124" s="11">
        <v>0</v>
      </c>
      <c r="T124" s="11">
        <f t="shared" si="17"/>
        <v>262500</v>
      </c>
      <c r="U124" s="42">
        <v>15</v>
      </c>
    </row>
    <row r="125" spans="1:21" s="36" customFormat="1" ht="15.45" x14ac:dyDescent="0.35">
      <c r="A125" s="19" t="s">
        <v>113</v>
      </c>
      <c r="B125" s="9">
        <v>45736</v>
      </c>
      <c r="C125" s="14" t="s">
        <v>1205</v>
      </c>
      <c r="D125" s="10" t="s">
        <v>1206</v>
      </c>
      <c r="E125" s="9">
        <v>45736</v>
      </c>
      <c r="F125" s="10" t="s">
        <v>42</v>
      </c>
      <c r="G125" s="10" t="s">
        <v>1209</v>
      </c>
      <c r="H125" s="10" t="s">
        <v>24</v>
      </c>
      <c r="I125" s="10" t="s">
        <v>61</v>
      </c>
      <c r="J125" s="10"/>
      <c r="K125" s="10" t="s">
        <v>6</v>
      </c>
      <c r="L125" s="12">
        <f t="shared" si="15"/>
        <v>2</v>
      </c>
      <c r="M125" s="12">
        <v>40000</v>
      </c>
      <c r="N125" s="12">
        <v>0</v>
      </c>
      <c r="O125" s="11">
        <v>80000</v>
      </c>
      <c r="P125" s="11">
        <f t="shared" si="16"/>
        <v>80000</v>
      </c>
      <c r="Q125" s="11">
        <v>0</v>
      </c>
      <c r="R125" s="11"/>
      <c r="S125" s="11">
        <v>0</v>
      </c>
      <c r="T125" s="11">
        <f t="shared" si="17"/>
        <v>80000</v>
      </c>
      <c r="U125" s="42">
        <v>2</v>
      </c>
    </row>
    <row r="126" spans="1:21" s="36" customFormat="1" ht="15.45" x14ac:dyDescent="0.35">
      <c r="A126" s="19" t="s">
        <v>113</v>
      </c>
      <c r="B126" s="9">
        <v>45736</v>
      </c>
      <c r="C126" s="14" t="s">
        <v>1205</v>
      </c>
      <c r="D126" s="10" t="s">
        <v>1206</v>
      </c>
      <c r="E126" s="9">
        <v>45736</v>
      </c>
      <c r="F126" s="10" t="s">
        <v>42</v>
      </c>
      <c r="G126" s="10" t="s">
        <v>227</v>
      </c>
      <c r="H126" s="10" t="s">
        <v>24</v>
      </c>
      <c r="I126" s="10" t="s">
        <v>61</v>
      </c>
      <c r="J126" s="10"/>
      <c r="K126" s="10" t="s">
        <v>8</v>
      </c>
      <c r="L126" s="12">
        <f t="shared" si="15"/>
        <v>36</v>
      </c>
      <c r="M126" s="12">
        <v>3750</v>
      </c>
      <c r="N126" s="12">
        <v>0</v>
      </c>
      <c r="O126" s="11">
        <v>135000</v>
      </c>
      <c r="P126" s="11">
        <f t="shared" si="16"/>
        <v>135000</v>
      </c>
      <c r="Q126" s="11">
        <v>0</v>
      </c>
      <c r="R126" s="11"/>
      <c r="S126" s="11">
        <v>0</v>
      </c>
      <c r="T126" s="11">
        <f t="shared" si="17"/>
        <v>135000</v>
      </c>
      <c r="U126" s="42">
        <v>36</v>
      </c>
    </row>
    <row r="127" spans="1:21" s="36" customFormat="1" ht="15.45" x14ac:dyDescent="0.35">
      <c r="A127" s="19" t="s">
        <v>113</v>
      </c>
      <c r="B127" s="9">
        <v>45736</v>
      </c>
      <c r="C127" s="14" t="s">
        <v>1210</v>
      </c>
      <c r="D127" s="10" t="s">
        <v>1211</v>
      </c>
      <c r="E127" s="9">
        <v>45733</v>
      </c>
      <c r="F127" s="10" t="s">
        <v>42</v>
      </c>
      <c r="G127" s="10" t="s">
        <v>1212</v>
      </c>
      <c r="H127" s="10" t="s">
        <v>24</v>
      </c>
      <c r="I127" s="10" t="s">
        <v>61</v>
      </c>
      <c r="J127" s="10"/>
      <c r="K127" s="10" t="s">
        <v>1213</v>
      </c>
      <c r="L127" s="12">
        <f t="shared" si="15"/>
        <v>1</v>
      </c>
      <c r="M127" s="12">
        <v>2250000</v>
      </c>
      <c r="N127" s="12">
        <v>0</v>
      </c>
      <c r="O127" s="11">
        <v>2250000</v>
      </c>
      <c r="P127" s="11">
        <f t="shared" si="16"/>
        <v>2250000</v>
      </c>
      <c r="Q127" s="11">
        <v>0</v>
      </c>
      <c r="R127" s="11"/>
      <c r="S127" s="11">
        <v>0</v>
      </c>
      <c r="T127" s="11">
        <f t="shared" si="17"/>
        <v>2250000</v>
      </c>
      <c r="U127" s="42">
        <v>1</v>
      </c>
    </row>
    <row r="128" spans="1:21" s="36" customFormat="1" ht="15.45" x14ac:dyDescent="0.35">
      <c r="A128" s="19" t="s">
        <v>111</v>
      </c>
      <c r="B128" s="9">
        <v>45736</v>
      </c>
      <c r="C128" s="14" t="s">
        <v>1214</v>
      </c>
      <c r="D128" s="10" t="s">
        <v>1215</v>
      </c>
      <c r="E128" s="9">
        <v>45736</v>
      </c>
      <c r="F128" s="10" t="s">
        <v>55</v>
      </c>
      <c r="G128" s="10" t="s">
        <v>1216</v>
      </c>
      <c r="H128" s="10" t="s">
        <v>24</v>
      </c>
      <c r="I128" s="10" t="s">
        <v>61</v>
      </c>
      <c r="J128" s="10"/>
      <c r="K128" s="10" t="s">
        <v>6</v>
      </c>
      <c r="L128" s="12">
        <f t="shared" si="15"/>
        <v>5</v>
      </c>
      <c r="M128" s="12">
        <v>200000</v>
      </c>
      <c r="N128" s="12">
        <v>0</v>
      </c>
      <c r="O128" s="11">
        <v>1000000</v>
      </c>
      <c r="P128" s="11">
        <f t="shared" si="16"/>
        <v>1000000</v>
      </c>
      <c r="Q128" s="11">
        <v>0</v>
      </c>
      <c r="R128" s="11"/>
      <c r="S128" s="11">
        <v>0</v>
      </c>
      <c r="T128" s="11">
        <f t="shared" si="17"/>
        <v>1000000</v>
      </c>
      <c r="U128" s="42">
        <v>5</v>
      </c>
    </row>
    <row r="129" spans="1:21" s="36" customFormat="1" ht="15.45" x14ac:dyDescent="0.35">
      <c r="A129" s="19" t="s">
        <v>111</v>
      </c>
      <c r="B129" s="9">
        <v>45736</v>
      </c>
      <c r="C129" s="14" t="s">
        <v>1214</v>
      </c>
      <c r="D129" s="10" t="s">
        <v>1215</v>
      </c>
      <c r="E129" s="9">
        <v>45736</v>
      </c>
      <c r="F129" s="10" t="s">
        <v>55</v>
      </c>
      <c r="G129" s="10" t="s">
        <v>1217</v>
      </c>
      <c r="H129" s="10" t="s">
        <v>24</v>
      </c>
      <c r="I129" s="10" t="s">
        <v>61</v>
      </c>
      <c r="J129" s="10"/>
      <c r="K129" s="10" t="s">
        <v>6</v>
      </c>
      <c r="L129" s="12">
        <f t="shared" si="15"/>
        <v>3</v>
      </c>
      <c r="M129" s="12">
        <v>300000</v>
      </c>
      <c r="N129" s="12">
        <v>0</v>
      </c>
      <c r="O129" s="11">
        <v>900000</v>
      </c>
      <c r="P129" s="11">
        <f t="shared" si="16"/>
        <v>900000</v>
      </c>
      <c r="Q129" s="11">
        <v>0</v>
      </c>
      <c r="R129" s="11"/>
      <c r="S129" s="11">
        <v>0</v>
      </c>
      <c r="T129" s="11">
        <f t="shared" si="17"/>
        <v>900000</v>
      </c>
      <c r="U129" s="42">
        <v>3</v>
      </c>
    </row>
    <row r="130" spans="1:21" s="36" customFormat="1" ht="15.45" x14ac:dyDescent="0.35">
      <c r="A130" s="19" t="s">
        <v>99</v>
      </c>
      <c r="B130" s="9">
        <v>45727</v>
      </c>
      <c r="C130" s="14" t="s">
        <v>1041</v>
      </c>
      <c r="D130" s="10" t="s">
        <v>1042</v>
      </c>
      <c r="E130" s="9">
        <v>45724</v>
      </c>
      <c r="F130" s="10" t="s">
        <v>64</v>
      </c>
      <c r="G130" s="10" t="s">
        <v>238</v>
      </c>
      <c r="H130" s="10" t="s">
        <v>23</v>
      </c>
      <c r="I130" s="10" t="s">
        <v>887</v>
      </c>
      <c r="J130" s="50" t="s">
        <v>1152</v>
      </c>
      <c r="K130" s="10" t="s">
        <v>1</v>
      </c>
      <c r="L130" s="12">
        <f t="shared" si="15"/>
        <v>300</v>
      </c>
      <c r="M130" s="12">
        <v>33000</v>
      </c>
      <c r="N130" s="12">
        <v>0</v>
      </c>
      <c r="O130" s="11">
        <v>9900000</v>
      </c>
      <c r="P130" s="11">
        <f t="shared" si="16"/>
        <v>9900000</v>
      </c>
      <c r="Q130" s="11">
        <v>1089000</v>
      </c>
      <c r="R130" s="11"/>
      <c r="S130" s="11">
        <v>0</v>
      </c>
      <c r="T130" s="11">
        <f t="shared" si="17"/>
        <v>10989000</v>
      </c>
      <c r="U130" s="42">
        <v>300</v>
      </c>
    </row>
    <row r="131" spans="1:21" s="36" customFormat="1" ht="15.45" x14ac:dyDescent="0.35">
      <c r="A131" s="19" t="s">
        <v>98</v>
      </c>
      <c r="B131" s="9">
        <v>45736</v>
      </c>
      <c r="C131" s="14" t="s">
        <v>1219</v>
      </c>
      <c r="D131" s="10" t="s">
        <v>924</v>
      </c>
      <c r="E131" s="9">
        <v>45719</v>
      </c>
      <c r="F131" s="10" t="s">
        <v>84</v>
      </c>
      <c r="G131" s="10" t="s">
        <v>175</v>
      </c>
      <c r="H131" s="10" t="s">
        <v>25</v>
      </c>
      <c r="I131" s="10" t="s">
        <v>79</v>
      </c>
      <c r="J131" s="50" t="s">
        <v>1273</v>
      </c>
      <c r="K131" s="10" t="s">
        <v>1</v>
      </c>
      <c r="L131" s="12">
        <f t="shared" si="15"/>
        <v>32210</v>
      </c>
      <c r="M131" s="12">
        <v>1250</v>
      </c>
      <c r="N131" s="12">
        <v>0</v>
      </c>
      <c r="O131" s="11">
        <v>40262500</v>
      </c>
      <c r="P131" s="11">
        <f t="shared" si="16"/>
        <v>40262500</v>
      </c>
      <c r="Q131" s="11">
        <v>4428875</v>
      </c>
      <c r="R131" s="11">
        <f>P131*1.5%</f>
        <v>603937.5</v>
      </c>
      <c r="S131" s="11">
        <v>0</v>
      </c>
      <c r="T131" s="11">
        <f t="shared" si="17"/>
        <v>44691375</v>
      </c>
      <c r="U131" s="42">
        <v>32210</v>
      </c>
    </row>
    <row r="132" spans="1:21" s="36" customFormat="1" ht="15.45" x14ac:dyDescent="0.35">
      <c r="A132" s="19" t="s">
        <v>115</v>
      </c>
      <c r="B132" s="9">
        <v>45736</v>
      </c>
      <c r="C132" s="14" t="s">
        <v>1220</v>
      </c>
      <c r="D132" s="10" t="s">
        <v>1016</v>
      </c>
      <c r="E132" s="9">
        <v>45719</v>
      </c>
      <c r="F132" s="10" t="s">
        <v>81</v>
      </c>
      <c r="G132" s="10" t="s">
        <v>89</v>
      </c>
      <c r="H132" s="10" t="s">
        <v>25</v>
      </c>
      <c r="I132" s="10" t="s">
        <v>79</v>
      </c>
      <c r="J132" s="50" t="s">
        <v>1520</v>
      </c>
      <c r="K132" s="10" t="s">
        <v>1</v>
      </c>
      <c r="L132" s="12">
        <f t="shared" si="15"/>
        <v>29730</v>
      </c>
      <c r="M132" s="12">
        <v>1565</v>
      </c>
      <c r="N132" s="12">
        <v>0</v>
      </c>
      <c r="O132" s="11">
        <v>46527450</v>
      </c>
      <c r="P132" s="11">
        <f t="shared" si="16"/>
        <v>46527450</v>
      </c>
      <c r="Q132" s="11">
        <v>5118019.5</v>
      </c>
      <c r="R132" s="11">
        <f>P132*1.5%</f>
        <v>697911.75</v>
      </c>
      <c r="S132" s="11">
        <v>0</v>
      </c>
      <c r="T132" s="11">
        <f>P132+Q132-S132-R132</f>
        <v>50947557.75</v>
      </c>
      <c r="U132" s="42">
        <v>29730</v>
      </c>
    </row>
    <row r="133" spans="1:21" s="36" customFormat="1" ht="15.45" x14ac:dyDescent="0.35">
      <c r="A133" s="19" t="s">
        <v>108</v>
      </c>
      <c r="B133" s="9">
        <v>45737</v>
      </c>
      <c r="C133" s="14" t="s">
        <v>1227</v>
      </c>
      <c r="D133" s="10" t="s">
        <v>1228</v>
      </c>
      <c r="E133" s="9">
        <v>45736</v>
      </c>
      <c r="F133" s="10" t="s">
        <v>51</v>
      </c>
      <c r="G133" s="10" t="s">
        <v>1229</v>
      </c>
      <c r="H133" s="10" t="s">
        <v>24</v>
      </c>
      <c r="I133" s="10" t="s">
        <v>61</v>
      </c>
      <c r="J133" s="50" t="s">
        <v>1514</v>
      </c>
      <c r="K133" s="10" t="s">
        <v>6</v>
      </c>
      <c r="L133" s="12">
        <f t="shared" si="15"/>
        <v>20</v>
      </c>
      <c r="M133" s="12">
        <v>55000</v>
      </c>
      <c r="N133" s="12">
        <v>0</v>
      </c>
      <c r="O133" s="11">
        <v>1100000</v>
      </c>
      <c r="P133" s="11">
        <f t="shared" si="16"/>
        <v>1100000</v>
      </c>
      <c r="Q133" s="11">
        <v>121000</v>
      </c>
      <c r="R133" s="11"/>
      <c r="S133" s="11">
        <v>0</v>
      </c>
      <c r="T133" s="11">
        <f t="shared" si="17"/>
        <v>1221000</v>
      </c>
      <c r="U133" s="42">
        <v>20</v>
      </c>
    </row>
    <row r="134" spans="1:21" s="36" customFormat="1" ht="15.45" x14ac:dyDescent="0.35">
      <c r="A134" s="19" t="s">
        <v>1245</v>
      </c>
      <c r="B134" s="9">
        <v>45736</v>
      </c>
      <c r="C134" s="14" t="s">
        <v>1221</v>
      </c>
      <c r="D134" s="10" t="s">
        <v>1222</v>
      </c>
      <c r="E134" s="9">
        <v>45729</v>
      </c>
      <c r="F134" s="10" t="s">
        <v>1223</v>
      </c>
      <c r="G134" s="10" t="s">
        <v>1182</v>
      </c>
      <c r="H134" s="10" t="s">
        <v>24</v>
      </c>
      <c r="I134" s="10" t="s">
        <v>61</v>
      </c>
      <c r="J134" s="50" t="s">
        <v>1521</v>
      </c>
      <c r="K134" s="10" t="s">
        <v>1181</v>
      </c>
      <c r="L134" s="12">
        <v>6</v>
      </c>
      <c r="M134" s="12">
        <v>450000</v>
      </c>
      <c r="N134" s="12">
        <v>0</v>
      </c>
      <c r="O134" s="11">
        <f>L134*M134</f>
        <v>2700000</v>
      </c>
      <c r="P134" s="11">
        <f t="shared" si="16"/>
        <v>2700000</v>
      </c>
      <c r="Q134" s="11">
        <f>P134*0.11</f>
        <v>297000</v>
      </c>
      <c r="R134" s="11"/>
      <c r="S134" s="11">
        <v>0</v>
      </c>
      <c r="T134" s="11">
        <f t="shared" si="17"/>
        <v>2997000</v>
      </c>
      <c r="U134" s="42">
        <v>10</v>
      </c>
    </row>
    <row r="135" spans="1:21" s="36" customFormat="1" ht="15.45" x14ac:dyDescent="0.35">
      <c r="A135" s="19" t="s">
        <v>1245</v>
      </c>
      <c r="B135" s="9">
        <v>45736</v>
      </c>
      <c r="C135" s="14" t="s">
        <v>1221</v>
      </c>
      <c r="D135" s="10" t="s">
        <v>1222</v>
      </c>
      <c r="E135" s="9">
        <v>45729</v>
      </c>
      <c r="F135" s="10" t="s">
        <v>1223</v>
      </c>
      <c r="G135" s="10" t="s">
        <v>1224</v>
      </c>
      <c r="H135" s="10" t="s">
        <v>24</v>
      </c>
      <c r="I135" s="10" t="s">
        <v>61</v>
      </c>
      <c r="J135" s="50" t="s">
        <v>1521</v>
      </c>
      <c r="K135" s="10" t="s">
        <v>15</v>
      </c>
      <c r="L135" s="12">
        <f>IF(LEFT(C135,2)="RP",U135*-1,U135)</f>
        <v>1</v>
      </c>
      <c r="M135" s="12">
        <v>850500</v>
      </c>
      <c r="N135" s="12">
        <v>0</v>
      </c>
      <c r="O135" s="11">
        <v>850500</v>
      </c>
      <c r="P135" s="11">
        <f t="shared" ref="P135:P144" si="18">O135</f>
        <v>850500</v>
      </c>
      <c r="Q135" s="11">
        <v>93555</v>
      </c>
      <c r="R135" s="11"/>
      <c r="S135" s="11">
        <v>0</v>
      </c>
      <c r="T135" s="11">
        <f t="shared" si="17"/>
        <v>944055</v>
      </c>
      <c r="U135" s="42">
        <v>1</v>
      </c>
    </row>
    <row r="136" spans="1:21" s="36" customFormat="1" ht="15.45" x14ac:dyDescent="0.35">
      <c r="A136" s="19" t="s">
        <v>1245</v>
      </c>
      <c r="B136" s="9">
        <v>45736</v>
      </c>
      <c r="C136" s="14" t="s">
        <v>1221</v>
      </c>
      <c r="D136" s="10" t="s">
        <v>1222</v>
      </c>
      <c r="E136" s="9">
        <v>45729</v>
      </c>
      <c r="F136" s="10" t="s">
        <v>1223</v>
      </c>
      <c r="G136" s="10" t="s">
        <v>1225</v>
      </c>
      <c r="H136" s="10" t="s">
        <v>24</v>
      </c>
      <c r="I136" s="10" t="s">
        <v>61</v>
      </c>
      <c r="J136" s="50" t="s">
        <v>1521</v>
      </c>
      <c r="K136" s="10" t="s">
        <v>1181</v>
      </c>
      <c r="L136" s="12">
        <f>IF(LEFT(C136,2)="RP",U136*-1,U136)</f>
        <v>20</v>
      </c>
      <c r="M136" s="12">
        <v>877500</v>
      </c>
      <c r="N136" s="12">
        <v>0</v>
      </c>
      <c r="O136" s="11">
        <v>17550000</v>
      </c>
      <c r="P136" s="11">
        <f t="shared" si="18"/>
        <v>17550000</v>
      </c>
      <c r="Q136" s="11">
        <v>1930500</v>
      </c>
      <c r="R136" s="11"/>
      <c r="S136" s="11">
        <v>0</v>
      </c>
      <c r="T136" s="11">
        <f t="shared" si="17"/>
        <v>19480500</v>
      </c>
      <c r="U136" s="42">
        <v>20</v>
      </c>
    </row>
    <row r="137" spans="1:21" s="36" customFormat="1" ht="15.45" x14ac:dyDescent="0.35">
      <c r="A137" s="19" t="s">
        <v>1245</v>
      </c>
      <c r="B137" s="9">
        <v>45736</v>
      </c>
      <c r="C137" s="14" t="s">
        <v>1221</v>
      </c>
      <c r="D137" s="10" t="s">
        <v>1222</v>
      </c>
      <c r="E137" s="9">
        <v>45729</v>
      </c>
      <c r="F137" s="10" t="s">
        <v>1223</v>
      </c>
      <c r="G137" s="10" t="s">
        <v>1226</v>
      </c>
      <c r="H137" s="10" t="s">
        <v>24</v>
      </c>
      <c r="I137" s="10" t="s">
        <v>61</v>
      </c>
      <c r="J137" s="50" t="s">
        <v>1521</v>
      </c>
      <c r="K137" s="10" t="s">
        <v>6</v>
      </c>
      <c r="L137" s="12">
        <v>200</v>
      </c>
      <c r="M137" s="12">
        <v>103500</v>
      </c>
      <c r="N137" s="12">
        <v>0</v>
      </c>
      <c r="O137" s="11">
        <f>L137*M137</f>
        <v>20700000</v>
      </c>
      <c r="P137" s="11">
        <f t="shared" si="18"/>
        <v>20700000</v>
      </c>
      <c r="Q137" s="11">
        <f>P137*0.11</f>
        <v>2277000</v>
      </c>
      <c r="R137" s="11"/>
      <c r="S137" s="11">
        <v>0</v>
      </c>
      <c r="T137" s="11">
        <f t="shared" si="17"/>
        <v>22977000</v>
      </c>
      <c r="U137" s="42">
        <v>200</v>
      </c>
    </row>
    <row r="138" spans="1:21" s="36" customFormat="1" ht="15.45" x14ac:dyDescent="0.35">
      <c r="A138" s="19" t="s">
        <v>1245</v>
      </c>
      <c r="B138" s="9">
        <v>45728</v>
      </c>
      <c r="C138" s="14" t="s">
        <v>1230</v>
      </c>
      <c r="D138" s="10" t="s">
        <v>1231</v>
      </c>
      <c r="E138" s="9">
        <v>45729</v>
      </c>
      <c r="F138" s="10" t="s">
        <v>1223</v>
      </c>
      <c r="G138" s="10" t="s">
        <v>189</v>
      </c>
      <c r="H138" s="10" t="s">
        <v>190</v>
      </c>
      <c r="I138" s="10" t="s">
        <v>191</v>
      </c>
      <c r="J138" s="50" t="s">
        <v>1284</v>
      </c>
      <c r="K138" s="10" t="s">
        <v>16</v>
      </c>
      <c r="L138" s="12">
        <f t="shared" ref="L138:L143" si="19">IF(LEFT(C138,2)="RP",U138*-1,U138)</f>
        <v>1</v>
      </c>
      <c r="M138" s="12">
        <v>35499500</v>
      </c>
      <c r="N138" s="12">
        <v>0</v>
      </c>
      <c r="O138" s="11">
        <v>35499500</v>
      </c>
      <c r="P138" s="11">
        <f t="shared" si="18"/>
        <v>35499500</v>
      </c>
      <c r="Q138" s="11">
        <v>3904945</v>
      </c>
      <c r="R138" s="11">
        <f>P138*2%</f>
        <v>709990</v>
      </c>
      <c r="S138" s="11">
        <v>0</v>
      </c>
      <c r="T138" s="11">
        <f>P138+Q138-S138-R138</f>
        <v>38694455</v>
      </c>
      <c r="U138" s="42">
        <v>1</v>
      </c>
    </row>
    <row r="139" spans="1:21" s="36" customFormat="1" ht="15.45" x14ac:dyDescent="0.35">
      <c r="A139" s="19" t="s">
        <v>1245</v>
      </c>
      <c r="B139" s="9">
        <v>45740</v>
      </c>
      <c r="C139" s="14" t="s">
        <v>1232</v>
      </c>
      <c r="D139" s="10" t="s">
        <v>1222</v>
      </c>
      <c r="E139" s="9">
        <v>45729</v>
      </c>
      <c r="F139" s="10" t="s">
        <v>1223</v>
      </c>
      <c r="G139" s="10" t="s">
        <v>1233</v>
      </c>
      <c r="H139" s="10" t="s">
        <v>24</v>
      </c>
      <c r="I139" s="10" t="s">
        <v>61</v>
      </c>
      <c r="J139" s="50" t="s">
        <v>1521</v>
      </c>
      <c r="K139" s="10" t="s">
        <v>1234</v>
      </c>
      <c r="L139" s="12">
        <f t="shared" si="19"/>
        <v>1</v>
      </c>
      <c r="M139" s="12">
        <v>900000</v>
      </c>
      <c r="N139" s="12">
        <v>0</v>
      </c>
      <c r="O139" s="11">
        <v>900000</v>
      </c>
      <c r="P139" s="11">
        <f t="shared" si="18"/>
        <v>900000</v>
      </c>
      <c r="Q139" s="11">
        <v>99000</v>
      </c>
      <c r="R139" s="11"/>
      <c r="S139" s="11">
        <v>0</v>
      </c>
      <c r="T139" s="11">
        <f>P139+Q139-S139</f>
        <v>999000</v>
      </c>
      <c r="U139" s="42">
        <v>1</v>
      </c>
    </row>
    <row r="140" spans="1:21" s="36" customFormat="1" ht="15.45" x14ac:dyDescent="0.35">
      <c r="A140" s="19" t="s">
        <v>99</v>
      </c>
      <c r="B140" s="9">
        <v>45728</v>
      </c>
      <c r="C140" s="14" t="s">
        <v>1050</v>
      </c>
      <c r="D140" s="10" t="s">
        <v>1051</v>
      </c>
      <c r="E140" s="9">
        <v>45727</v>
      </c>
      <c r="F140" s="10" t="s">
        <v>64</v>
      </c>
      <c r="G140" s="10" t="s">
        <v>237</v>
      </c>
      <c r="H140" s="10" t="s">
        <v>23</v>
      </c>
      <c r="I140" s="10" t="s">
        <v>887</v>
      </c>
      <c r="J140" s="50" t="s">
        <v>1153</v>
      </c>
      <c r="K140" s="10" t="s">
        <v>1</v>
      </c>
      <c r="L140" s="12">
        <f t="shared" si="19"/>
        <v>300</v>
      </c>
      <c r="M140" s="12">
        <v>47500</v>
      </c>
      <c r="N140" s="12">
        <v>0</v>
      </c>
      <c r="O140" s="11">
        <v>14250000</v>
      </c>
      <c r="P140" s="11">
        <f t="shared" si="18"/>
        <v>14250000</v>
      </c>
      <c r="Q140" s="11">
        <v>1567500</v>
      </c>
      <c r="R140" s="11"/>
      <c r="S140" s="11">
        <v>0</v>
      </c>
      <c r="T140" s="11">
        <f>P140+Q140-S140</f>
        <v>15817500</v>
      </c>
      <c r="U140" s="42">
        <v>300</v>
      </c>
    </row>
    <row r="141" spans="1:21" s="36" customFormat="1" ht="15.45" x14ac:dyDescent="0.35">
      <c r="A141" s="19" t="s">
        <v>1245</v>
      </c>
      <c r="B141" s="9">
        <v>45741</v>
      </c>
      <c r="C141" s="14" t="s">
        <v>1239</v>
      </c>
      <c r="D141" s="10" t="s">
        <v>1240</v>
      </c>
      <c r="E141" s="9">
        <v>45741</v>
      </c>
      <c r="F141" s="10" t="s">
        <v>1223</v>
      </c>
      <c r="G141" s="10" t="s">
        <v>1241</v>
      </c>
      <c r="H141" s="10" t="s">
        <v>24</v>
      </c>
      <c r="I141" s="10" t="s">
        <v>61</v>
      </c>
      <c r="J141" s="50" t="s">
        <v>1285</v>
      </c>
      <c r="K141" s="10" t="s">
        <v>6</v>
      </c>
      <c r="L141" s="12">
        <f t="shared" si="19"/>
        <v>15</v>
      </c>
      <c r="M141" s="12">
        <v>103500</v>
      </c>
      <c r="N141" s="12">
        <v>0</v>
      </c>
      <c r="O141" s="11">
        <v>1552500</v>
      </c>
      <c r="P141" s="11">
        <f t="shared" si="18"/>
        <v>1552500</v>
      </c>
      <c r="Q141" s="11">
        <v>170775</v>
      </c>
      <c r="R141" s="11"/>
      <c r="S141" s="11">
        <v>0</v>
      </c>
      <c r="T141" s="11">
        <f>P141+Q141-S141</f>
        <v>1723275</v>
      </c>
      <c r="U141" s="42">
        <v>15</v>
      </c>
    </row>
    <row r="142" spans="1:21" s="36" customFormat="1" ht="15.45" x14ac:dyDescent="0.35">
      <c r="A142" s="19" t="s">
        <v>1245</v>
      </c>
      <c r="B142" s="9">
        <v>45741</v>
      </c>
      <c r="C142" s="14" t="s">
        <v>1239</v>
      </c>
      <c r="D142" s="10" t="s">
        <v>1240</v>
      </c>
      <c r="E142" s="9">
        <v>45741</v>
      </c>
      <c r="F142" s="10" t="s">
        <v>1223</v>
      </c>
      <c r="G142" s="10" t="s">
        <v>1242</v>
      </c>
      <c r="H142" s="10" t="s">
        <v>24</v>
      </c>
      <c r="I142" s="10" t="s">
        <v>61</v>
      </c>
      <c r="J142" s="50" t="s">
        <v>1285</v>
      </c>
      <c r="K142" s="10" t="s">
        <v>1243</v>
      </c>
      <c r="L142" s="12">
        <f t="shared" si="19"/>
        <v>2</v>
      </c>
      <c r="M142" s="12">
        <v>2100000</v>
      </c>
      <c r="N142" s="12">
        <v>0</v>
      </c>
      <c r="O142" s="11">
        <v>4200000</v>
      </c>
      <c r="P142" s="11">
        <f t="shared" si="18"/>
        <v>4200000</v>
      </c>
      <c r="Q142" s="11">
        <v>462000</v>
      </c>
      <c r="R142" s="11"/>
      <c r="S142" s="11">
        <v>0</v>
      </c>
      <c r="T142" s="11">
        <f>P142+Q142-S142</f>
        <v>4662000</v>
      </c>
      <c r="U142" s="42">
        <v>2</v>
      </c>
    </row>
    <row r="143" spans="1:21" s="36" customFormat="1" ht="15.45" x14ac:dyDescent="0.35">
      <c r="A143" s="19" t="s">
        <v>1245</v>
      </c>
      <c r="B143" s="9">
        <v>45741</v>
      </c>
      <c r="C143" s="14" t="s">
        <v>1239</v>
      </c>
      <c r="D143" s="10" t="s">
        <v>1240</v>
      </c>
      <c r="E143" s="9">
        <v>45741</v>
      </c>
      <c r="F143" s="10" t="s">
        <v>1223</v>
      </c>
      <c r="G143" s="10" t="s">
        <v>1244</v>
      </c>
      <c r="H143" s="10" t="s">
        <v>24</v>
      </c>
      <c r="I143" s="10" t="s">
        <v>61</v>
      </c>
      <c r="J143" s="50" t="s">
        <v>1285</v>
      </c>
      <c r="K143" s="10" t="s">
        <v>6</v>
      </c>
      <c r="L143" s="12">
        <f t="shared" si="19"/>
        <v>36</v>
      </c>
      <c r="M143" s="12">
        <v>103500</v>
      </c>
      <c r="N143" s="12">
        <v>0</v>
      </c>
      <c r="O143" s="11">
        <v>3726000</v>
      </c>
      <c r="P143" s="11">
        <f t="shared" si="18"/>
        <v>3726000</v>
      </c>
      <c r="Q143" s="11">
        <v>409860</v>
      </c>
      <c r="R143" s="11"/>
      <c r="S143" s="11">
        <v>0</v>
      </c>
      <c r="T143" s="11">
        <f>P143+Q143-S143</f>
        <v>4135860</v>
      </c>
      <c r="U143" s="42">
        <v>36</v>
      </c>
    </row>
    <row r="144" spans="1:21" s="36" customFormat="1" ht="15.45" x14ac:dyDescent="0.35">
      <c r="A144" s="19" t="s">
        <v>166</v>
      </c>
      <c r="B144" s="9">
        <v>45719</v>
      </c>
      <c r="C144" s="14" t="s">
        <v>1251</v>
      </c>
      <c r="D144" s="10"/>
      <c r="E144" s="9"/>
      <c r="F144" s="23" t="s">
        <v>210</v>
      </c>
      <c r="G144" s="23" t="s">
        <v>168</v>
      </c>
      <c r="H144" s="23" t="s">
        <v>169</v>
      </c>
      <c r="I144" s="23" t="s">
        <v>192</v>
      </c>
      <c r="J144" s="50" t="s">
        <v>1501</v>
      </c>
      <c r="K144" s="10" t="s">
        <v>0</v>
      </c>
      <c r="L144" s="12">
        <v>6380</v>
      </c>
      <c r="M144" s="12">
        <v>225.23</v>
      </c>
      <c r="N144" s="12">
        <v>0</v>
      </c>
      <c r="O144" s="11">
        <f>L144*M144</f>
        <v>1436967.4</v>
      </c>
      <c r="P144" s="11">
        <f t="shared" si="18"/>
        <v>1436967.4</v>
      </c>
      <c r="Q144" s="11">
        <f>P144*0.11</f>
        <v>158066.41399999999</v>
      </c>
      <c r="R144" s="11">
        <f>P144*2%</f>
        <v>28739.347999999998</v>
      </c>
      <c r="S144" s="11">
        <v>0</v>
      </c>
      <c r="T144" s="11">
        <f>P144+Q144-S144-R144</f>
        <v>1566294.4659999998</v>
      </c>
      <c r="U144" s="42">
        <v>36</v>
      </c>
    </row>
    <row r="145" spans="1:21" s="36" customFormat="1" ht="15.45" x14ac:dyDescent="0.35">
      <c r="A145" s="19" t="s">
        <v>166</v>
      </c>
      <c r="B145" s="9">
        <v>45721</v>
      </c>
      <c r="C145" s="14" t="s">
        <v>1252</v>
      </c>
      <c r="D145" s="10"/>
      <c r="E145" s="9"/>
      <c r="F145" s="23" t="s">
        <v>210</v>
      </c>
      <c r="G145" s="23" t="s">
        <v>168</v>
      </c>
      <c r="H145" s="23" t="s">
        <v>169</v>
      </c>
      <c r="I145" s="23" t="s">
        <v>192</v>
      </c>
      <c r="J145" s="50" t="s">
        <v>1502</v>
      </c>
      <c r="K145" s="10" t="s">
        <v>0</v>
      </c>
      <c r="L145" s="12">
        <v>6950</v>
      </c>
      <c r="M145" s="12">
        <v>225.23</v>
      </c>
      <c r="N145" s="12">
        <v>0</v>
      </c>
      <c r="O145" s="11">
        <f t="shared" ref="O145:O153" si="20">L145*M145</f>
        <v>1565348.5</v>
      </c>
      <c r="P145" s="11">
        <f t="shared" ref="P145:P153" si="21">O145</f>
        <v>1565348.5</v>
      </c>
      <c r="Q145" s="11">
        <f t="shared" ref="Q145:Q153" si="22">P145*0.11</f>
        <v>172188.33499999999</v>
      </c>
      <c r="R145" s="11">
        <f t="shared" ref="R145:R153" si="23">P145*2%</f>
        <v>31306.97</v>
      </c>
      <c r="S145" s="11">
        <v>0</v>
      </c>
      <c r="T145" s="11">
        <f t="shared" ref="T145:T153" si="24">P145+Q145-S145-R145</f>
        <v>1706229.865</v>
      </c>
      <c r="U145" s="42"/>
    </row>
    <row r="146" spans="1:21" s="36" customFormat="1" ht="15.45" x14ac:dyDescent="0.35">
      <c r="A146" s="19" t="s">
        <v>166</v>
      </c>
      <c r="B146" s="9">
        <v>45723</v>
      </c>
      <c r="C146" s="14" t="s">
        <v>1253</v>
      </c>
      <c r="D146" s="10"/>
      <c r="E146" s="9"/>
      <c r="F146" s="23" t="s">
        <v>210</v>
      </c>
      <c r="G146" s="23" t="s">
        <v>168</v>
      </c>
      <c r="H146" s="23" t="s">
        <v>169</v>
      </c>
      <c r="I146" s="23" t="s">
        <v>192</v>
      </c>
      <c r="J146" s="50" t="s">
        <v>1503</v>
      </c>
      <c r="K146" s="10" t="s">
        <v>0</v>
      </c>
      <c r="L146" s="12">
        <v>6510</v>
      </c>
      <c r="M146" s="12">
        <v>225.23</v>
      </c>
      <c r="N146" s="12">
        <v>0</v>
      </c>
      <c r="O146" s="11">
        <f t="shared" si="20"/>
        <v>1466247.3</v>
      </c>
      <c r="P146" s="11">
        <f t="shared" si="21"/>
        <v>1466247.3</v>
      </c>
      <c r="Q146" s="11">
        <f t="shared" si="22"/>
        <v>161287.20300000001</v>
      </c>
      <c r="R146" s="11">
        <f t="shared" si="23"/>
        <v>29324.946</v>
      </c>
      <c r="S146" s="11">
        <v>0</v>
      </c>
      <c r="T146" s="11">
        <f t="shared" si="24"/>
        <v>1598209.557</v>
      </c>
      <c r="U146" s="42"/>
    </row>
    <row r="147" spans="1:21" s="36" customFormat="1" ht="15.45" x14ac:dyDescent="0.35">
      <c r="A147" s="19" t="s">
        <v>166</v>
      </c>
      <c r="B147" s="9">
        <v>45726</v>
      </c>
      <c r="C147" s="14" t="s">
        <v>1254</v>
      </c>
      <c r="D147" s="10"/>
      <c r="E147" s="9"/>
      <c r="F147" s="23" t="s">
        <v>210</v>
      </c>
      <c r="G147" s="23" t="s">
        <v>168</v>
      </c>
      <c r="H147" s="23" t="s">
        <v>169</v>
      </c>
      <c r="I147" s="23" t="s">
        <v>192</v>
      </c>
      <c r="J147" s="50" t="s">
        <v>1504</v>
      </c>
      <c r="K147" s="10" t="s">
        <v>0</v>
      </c>
      <c r="L147" s="12">
        <v>6720</v>
      </c>
      <c r="M147" s="12">
        <v>225.23</v>
      </c>
      <c r="N147" s="12">
        <v>0</v>
      </c>
      <c r="O147" s="11">
        <f t="shared" si="20"/>
        <v>1513545.5999999999</v>
      </c>
      <c r="P147" s="11">
        <f t="shared" si="21"/>
        <v>1513545.5999999999</v>
      </c>
      <c r="Q147" s="11">
        <f t="shared" si="22"/>
        <v>166490.01599999997</v>
      </c>
      <c r="R147" s="11">
        <f t="shared" si="23"/>
        <v>30270.911999999997</v>
      </c>
      <c r="S147" s="11">
        <v>0</v>
      </c>
      <c r="T147" s="11">
        <f t="shared" si="24"/>
        <v>1649764.7039999999</v>
      </c>
      <c r="U147" s="42"/>
    </row>
    <row r="148" spans="1:21" s="36" customFormat="1" ht="15.45" x14ac:dyDescent="0.35">
      <c r="A148" s="19" t="s">
        <v>166</v>
      </c>
      <c r="B148" s="9">
        <v>45727</v>
      </c>
      <c r="C148" s="14" t="s">
        <v>1255</v>
      </c>
      <c r="D148" s="10"/>
      <c r="E148" s="9"/>
      <c r="F148" s="23" t="s">
        <v>210</v>
      </c>
      <c r="G148" s="23" t="s">
        <v>168</v>
      </c>
      <c r="H148" s="23" t="s">
        <v>169</v>
      </c>
      <c r="I148" s="23" t="s">
        <v>192</v>
      </c>
      <c r="J148" s="50" t="s">
        <v>1505</v>
      </c>
      <c r="K148" s="10" t="s">
        <v>0</v>
      </c>
      <c r="L148" s="12">
        <v>6610</v>
      </c>
      <c r="M148" s="12">
        <v>225.23</v>
      </c>
      <c r="N148" s="12">
        <v>0</v>
      </c>
      <c r="O148" s="11">
        <f t="shared" si="20"/>
        <v>1488770.3</v>
      </c>
      <c r="P148" s="11">
        <f t="shared" si="21"/>
        <v>1488770.3</v>
      </c>
      <c r="Q148" s="11">
        <f t="shared" si="22"/>
        <v>163764.73300000001</v>
      </c>
      <c r="R148" s="11">
        <f t="shared" si="23"/>
        <v>29775.406000000003</v>
      </c>
      <c r="S148" s="11">
        <v>0</v>
      </c>
      <c r="T148" s="11">
        <f t="shared" si="24"/>
        <v>1622759.6270000001</v>
      </c>
      <c r="U148" s="42"/>
    </row>
    <row r="149" spans="1:21" s="36" customFormat="1" ht="15.45" x14ac:dyDescent="0.35">
      <c r="A149" s="19" t="s">
        <v>166</v>
      </c>
      <c r="B149" s="9">
        <v>45728</v>
      </c>
      <c r="C149" s="14" t="s">
        <v>1256</v>
      </c>
      <c r="D149" s="10"/>
      <c r="E149" s="9"/>
      <c r="F149" s="23" t="s">
        <v>210</v>
      </c>
      <c r="G149" s="23" t="s">
        <v>168</v>
      </c>
      <c r="H149" s="23" t="s">
        <v>169</v>
      </c>
      <c r="I149" s="23" t="s">
        <v>192</v>
      </c>
      <c r="J149" s="50" t="s">
        <v>1506</v>
      </c>
      <c r="K149" s="10" t="s">
        <v>0</v>
      </c>
      <c r="L149" s="12">
        <v>7500</v>
      </c>
      <c r="M149" s="12">
        <v>225.23</v>
      </c>
      <c r="N149" s="12">
        <v>0</v>
      </c>
      <c r="O149" s="11">
        <f t="shared" si="20"/>
        <v>1689225</v>
      </c>
      <c r="P149" s="11">
        <f t="shared" si="21"/>
        <v>1689225</v>
      </c>
      <c r="Q149" s="11">
        <f t="shared" si="22"/>
        <v>185814.75</v>
      </c>
      <c r="R149" s="11">
        <f t="shared" si="23"/>
        <v>33784.5</v>
      </c>
      <c r="S149" s="11">
        <v>0</v>
      </c>
      <c r="T149" s="11">
        <f t="shared" si="24"/>
        <v>1841255.25</v>
      </c>
      <c r="U149" s="42"/>
    </row>
    <row r="150" spans="1:21" s="36" customFormat="1" ht="15.45" x14ac:dyDescent="0.35">
      <c r="A150" s="19" t="s">
        <v>166</v>
      </c>
      <c r="B150" s="9">
        <v>45731</v>
      </c>
      <c r="C150" s="14" t="s">
        <v>1257</v>
      </c>
      <c r="D150" s="10"/>
      <c r="E150" s="9"/>
      <c r="F150" s="23" t="s">
        <v>210</v>
      </c>
      <c r="G150" s="23" t="s">
        <v>168</v>
      </c>
      <c r="H150" s="23" t="s">
        <v>169</v>
      </c>
      <c r="I150" s="23" t="s">
        <v>192</v>
      </c>
      <c r="J150" s="50" t="s">
        <v>1507</v>
      </c>
      <c r="K150" s="10" t="s">
        <v>0</v>
      </c>
      <c r="L150" s="12">
        <v>7070</v>
      </c>
      <c r="M150" s="12">
        <v>225.23</v>
      </c>
      <c r="N150" s="12">
        <v>0</v>
      </c>
      <c r="O150" s="11">
        <f t="shared" si="20"/>
        <v>1592376.0999999999</v>
      </c>
      <c r="P150" s="11">
        <f t="shared" si="21"/>
        <v>1592376.0999999999</v>
      </c>
      <c r="Q150" s="11">
        <f t="shared" si="22"/>
        <v>175161.37099999998</v>
      </c>
      <c r="R150" s="11">
        <f t="shared" si="23"/>
        <v>31847.521999999997</v>
      </c>
      <c r="S150" s="11">
        <v>0</v>
      </c>
      <c r="T150" s="11">
        <f t="shared" si="24"/>
        <v>1735689.949</v>
      </c>
      <c r="U150" s="42"/>
    </row>
    <row r="151" spans="1:21" s="36" customFormat="1" ht="15.45" x14ac:dyDescent="0.35">
      <c r="A151" s="19" t="s">
        <v>166</v>
      </c>
      <c r="B151" s="9">
        <v>45735</v>
      </c>
      <c r="C151" s="14" t="s">
        <v>1258</v>
      </c>
      <c r="D151" s="10"/>
      <c r="E151" s="9"/>
      <c r="F151" s="23" t="s">
        <v>210</v>
      </c>
      <c r="G151" s="23" t="s">
        <v>168</v>
      </c>
      <c r="H151" s="23" t="s">
        <v>169</v>
      </c>
      <c r="I151" s="23" t="s">
        <v>192</v>
      </c>
      <c r="J151" s="50" t="s">
        <v>1508</v>
      </c>
      <c r="K151" s="10" t="s">
        <v>0</v>
      </c>
      <c r="L151" s="12">
        <v>6710</v>
      </c>
      <c r="M151" s="12">
        <v>225.23</v>
      </c>
      <c r="N151" s="12">
        <v>0</v>
      </c>
      <c r="O151" s="11">
        <f t="shared" si="20"/>
        <v>1511293.3</v>
      </c>
      <c r="P151" s="11">
        <f t="shared" si="21"/>
        <v>1511293.3</v>
      </c>
      <c r="Q151" s="11">
        <f t="shared" si="22"/>
        <v>166242.26300000001</v>
      </c>
      <c r="R151" s="11">
        <f t="shared" si="23"/>
        <v>30225.866000000002</v>
      </c>
      <c r="S151" s="11">
        <v>0</v>
      </c>
      <c r="T151" s="11">
        <f t="shared" si="24"/>
        <v>1647309.6970000002</v>
      </c>
      <c r="U151" s="42"/>
    </row>
    <row r="152" spans="1:21" s="36" customFormat="1" ht="15.45" x14ac:dyDescent="0.35">
      <c r="A152" s="19" t="s">
        <v>166</v>
      </c>
      <c r="B152" s="9">
        <v>45738</v>
      </c>
      <c r="C152" s="14" t="s">
        <v>1259</v>
      </c>
      <c r="D152" s="10"/>
      <c r="E152" s="9"/>
      <c r="F152" s="23" t="s">
        <v>210</v>
      </c>
      <c r="G152" s="23" t="s">
        <v>168</v>
      </c>
      <c r="H152" s="23" t="s">
        <v>169</v>
      </c>
      <c r="I152" s="23" t="s">
        <v>192</v>
      </c>
      <c r="J152" s="50" t="s">
        <v>1509</v>
      </c>
      <c r="K152" s="10" t="s">
        <v>0</v>
      </c>
      <c r="L152" s="12">
        <v>6310</v>
      </c>
      <c r="M152" s="12">
        <v>225.23</v>
      </c>
      <c r="N152" s="12">
        <v>0</v>
      </c>
      <c r="O152" s="11">
        <f t="shared" si="20"/>
        <v>1421201.3</v>
      </c>
      <c r="P152" s="11">
        <f t="shared" si="21"/>
        <v>1421201.3</v>
      </c>
      <c r="Q152" s="11">
        <f t="shared" si="22"/>
        <v>156332.14300000001</v>
      </c>
      <c r="R152" s="11">
        <f t="shared" si="23"/>
        <v>28424.026000000002</v>
      </c>
      <c r="S152" s="11">
        <v>0</v>
      </c>
      <c r="T152" s="11">
        <f t="shared" si="24"/>
        <v>1549109.4169999999</v>
      </c>
      <c r="U152" s="42"/>
    </row>
    <row r="153" spans="1:21" s="36" customFormat="1" ht="15.45" x14ac:dyDescent="0.35">
      <c r="A153" s="19" t="s">
        <v>166</v>
      </c>
      <c r="B153" s="9">
        <v>45740</v>
      </c>
      <c r="C153" s="14" t="s">
        <v>1260</v>
      </c>
      <c r="D153" s="10"/>
      <c r="E153" s="9"/>
      <c r="F153" s="23" t="s">
        <v>210</v>
      </c>
      <c r="G153" s="23" t="s">
        <v>168</v>
      </c>
      <c r="H153" s="23" t="s">
        <v>169</v>
      </c>
      <c r="I153" s="23" t="s">
        <v>192</v>
      </c>
      <c r="J153" s="50" t="s">
        <v>1510</v>
      </c>
      <c r="K153" s="10" t="s">
        <v>0</v>
      </c>
      <c r="L153" s="12">
        <v>6870</v>
      </c>
      <c r="M153" s="12">
        <v>225.23</v>
      </c>
      <c r="N153" s="12">
        <v>0</v>
      </c>
      <c r="O153" s="11">
        <f t="shared" si="20"/>
        <v>1547330.0999999999</v>
      </c>
      <c r="P153" s="11">
        <f t="shared" si="21"/>
        <v>1547330.0999999999</v>
      </c>
      <c r="Q153" s="11">
        <f t="shared" si="22"/>
        <v>170206.31099999999</v>
      </c>
      <c r="R153" s="11">
        <f t="shared" si="23"/>
        <v>30946.601999999999</v>
      </c>
      <c r="S153" s="11">
        <v>0</v>
      </c>
      <c r="T153" s="11">
        <f t="shared" si="24"/>
        <v>1686589.8089999999</v>
      </c>
      <c r="U153" s="42"/>
    </row>
    <row r="154" spans="1:21" s="36" customFormat="1" ht="15.45" x14ac:dyDescent="0.35">
      <c r="A154" s="19" t="s">
        <v>161</v>
      </c>
      <c r="B154" s="9">
        <v>45731</v>
      </c>
      <c r="C154" s="14" t="s">
        <v>1261</v>
      </c>
      <c r="D154" s="10"/>
      <c r="E154" s="9"/>
      <c r="F154" s="23" t="s">
        <v>162</v>
      </c>
      <c r="G154" s="23" t="s">
        <v>1262</v>
      </c>
      <c r="H154" s="23" t="s">
        <v>163</v>
      </c>
      <c r="I154" s="23" t="s">
        <v>164</v>
      </c>
      <c r="J154" s="50" t="s">
        <v>1263</v>
      </c>
      <c r="K154" s="10" t="s">
        <v>165</v>
      </c>
      <c r="L154" s="12">
        <v>5</v>
      </c>
      <c r="M154" s="12">
        <v>4800000</v>
      </c>
      <c r="N154" s="12">
        <v>0</v>
      </c>
      <c r="O154" s="11">
        <f>L154*M154</f>
        <v>24000000</v>
      </c>
      <c r="P154" s="11">
        <f>O154</f>
        <v>24000000</v>
      </c>
      <c r="Q154" s="11">
        <f>P154*0.11</f>
        <v>2640000</v>
      </c>
      <c r="R154" s="11">
        <f>P154*2%</f>
        <v>480000</v>
      </c>
      <c r="S154" s="11">
        <v>0</v>
      </c>
      <c r="T154" s="11">
        <f>P154+Q154-S154-R154</f>
        <v>26160000</v>
      </c>
      <c r="U154" s="42"/>
    </row>
    <row r="158" spans="1:21" x14ac:dyDescent="0.4">
      <c r="P158" s="35" t="s">
        <v>1286</v>
      </c>
      <c r="Q158" s="56">
        <f>+Q6-173799</f>
        <v>161881230.18000007</v>
      </c>
      <c r="R158" s="57" t="s">
        <v>505</v>
      </c>
    </row>
    <row r="159" spans="1:21" x14ac:dyDescent="0.4">
      <c r="Q159" s="56">
        <v>161881227</v>
      </c>
      <c r="R159" s="57" t="s">
        <v>506</v>
      </c>
    </row>
    <row r="160" spans="1:21" x14ac:dyDescent="0.4">
      <c r="Q160" s="56">
        <v>271654124</v>
      </c>
      <c r="R160" s="57" t="s">
        <v>507</v>
      </c>
    </row>
    <row r="161" spans="17:18" x14ac:dyDescent="0.4">
      <c r="Q161" s="58">
        <f>Q158-Q159</f>
        <v>3.1800000667572021</v>
      </c>
      <c r="R161" s="57" t="s">
        <v>508</v>
      </c>
    </row>
    <row r="162" spans="17:18" x14ac:dyDescent="0.4">
      <c r="Q162" s="58">
        <f>Q159-Q160</f>
        <v>-109772897</v>
      </c>
      <c r="R162" s="57" t="s">
        <v>509</v>
      </c>
    </row>
  </sheetData>
  <autoFilter ref="A7:W154" xr:uid="{6FC4597B-38E8-406C-AA3A-B7C13D0AD1D3}"/>
  <conditionalFormatting sqref="A8">
    <cfRule type="duplicateValues" dxfId="1086" priority="237"/>
  </conditionalFormatting>
  <conditionalFormatting sqref="A9">
    <cfRule type="duplicateValues" dxfId="1085" priority="241"/>
  </conditionalFormatting>
  <conditionalFormatting sqref="A10">
    <cfRule type="duplicateValues" dxfId="1084" priority="239"/>
  </conditionalFormatting>
  <conditionalFormatting sqref="A11">
    <cfRule type="duplicateValues" dxfId="1083" priority="235"/>
  </conditionalFormatting>
  <conditionalFormatting sqref="A12">
    <cfRule type="duplicateValues" dxfId="1082" priority="249"/>
  </conditionalFormatting>
  <conditionalFormatting sqref="A13">
    <cfRule type="duplicateValues" dxfId="1081" priority="281"/>
  </conditionalFormatting>
  <conditionalFormatting sqref="A14">
    <cfRule type="duplicateValues" dxfId="1080" priority="279"/>
  </conditionalFormatting>
  <conditionalFormatting sqref="A15">
    <cfRule type="duplicateValues" dxfId="1079" priority="231"/>
  </conditionalFormatting>
  <conditionalFormatting sqref="A16">
    <cfRule type="duplicateValues" dxfId="1078" priority="225"/>
  </conditionalFormatting>
  <conditionalFormatting sqref="A17">
    <cfRule type="duplicateValues" dxfId="1077" priority="275"/>
  </conditionalFormatting>
  <conditionalFormatting sqref="A18">
    <cfRule type="duplicateValues" dxfId="1076" priority="293"/>
  </conditionalFormatting>
  <conditionalFormatting sqref="A19">
    <cfRule type="duplicateValues" dxfId="1075" priority="291"/>
  </conditionalFormatting>
  <conditionalFormatting sqref="A20">
    <cfRule type="duplicateValues" dxfId="1074" priority="289"/>
  </conditionalFormatting>
  <conditionalFormatting sqref="A21">
    <cfRule type="duplicateValues" dxfId="1073" priority="233"/>
  </conditionalFormatting>
  <conditionalFormatting sqref="A22">
    <cfRule type="duplicateValues" dxfId="1072" priority="221"/>
  </conditionalFormatting>
  <conditionalFormatting sqref="A23">
    <cfRule type="duplicateValues" dxfId="1071" priority="219"/>
  </conditionalFormatting>
  <conditionalFormatting sqref="A24">
    <cfRule type="duplicateValues" dxfId="1070" priority="217"/>
  </conditionalFormatting>
  <conditionalFormatting sqref="A25">
    <cfRule type="duplicateValues" dxfId="1069" priority="215"/>
  </conditionalFormatting>
  <conditionalFormatting sqref="A26">
    <cfRule type="duplicateValues" dxfId="1068" priority="223"/>
  </conditionalFormatting>
  <conditionalFormatting sqref="A27">
    <cfRule type="duplicateValues" dxfId="1067" priority="294"/>
  </conditionalFormatting>
  <conditionalFormatting sqref="A28">
    <cfRule type="duplicateValues" dxfId="1066" priority="213"/>
  </conditionalFormatting>
  <conditionalFormatting sqref="A29">
    <cfRule type="duplicateValues" dxfId="1065" priority="287"/>
  </conditionalFormatting>
  <conditionalFormatting sqref="A30">
    <cfRule type="duplicateValues" dxfId="1064" priority="271"/>
  </conditionalFormatting>
  <conditionalFormatting sqref="A31">
    <cfRule type="duplicateValues" dxfId="1063" priority="277"/>
  </conditionalFormatting>
  <conditionalFormatting sqref="A32">
    <cfRule type="duplicateValues" dxfId="1062" priority="257"/>
  </conditionalFormatting>
  <conditionalFormatting sqref="A33">
    <cfRule type="duplicateValues" dxfId="1061" priority="255"/>
  </conditionalFormatting>
  <conditionalFormatting sqref="A34">
    <cfRule type="duplicateValues" dxfId="1060" priority="253"/>
  </conditionalFormatting>
  <conditionalFormatting sqref="A35">
    <cfRule type="duplicateValues" dxfId="1059" priority="251"/>
  </conditionalFormatting>
  <conditionalFormatting sqref="A36">
    <cfRule type="duplicateValues" dxfId="1058" priority="269"/>
  </conditionalFormatting>
  <conditionalFormatting sqref="A37">
    <cfRule type="duplicateValues" dxfId="1057" priority="267"/>
  </conditionalFormatting>
  <conditionalFormatting sqref="A38">
    <cfRule type="duplicateValues" dxfId="1056" priority="265"/>
  </conditionalFormatting>
  <conditionalFormatting sqref="A39">
    <cfRule type="duplicateValues" dxfId="1055" priority="273"/>
  </conditionalFormatting>
  <conditionalFormatting sqref="A40">
    <cfRule type="duplicateValues" dxfId="1054" priority="227"/>
  </conditionalFormatting>
  <conditionalFormatting sqref="A41">
    <cfRule type="duplicateValues" dxfId="1053" priority="285"/>
  </conditionalFormatting>
  <conditionalFormatting sqref="A42">
    <cfRule type="duplicateValues" dxfId="1052" priority="283"/>
  </conditionalFormatting>
  <conditionalFormatting sqref="A43">
    <cfRule type="duplicateValues" dxfId="1051" priority="261"/>
  </conditionalFormatting>
  <conditionalFormatting sqref="A44">
    <cfRule type="duplicateValues" dxfId="1050" priority="259"/>
  </conditionalFormatting>
  <conditionalFormatting sqref="A45">
    <cfRule type="duplicateValues" dxfId="1049" priority="229"/>
  </conditionalFormatting>
  <conditionalFormatting sqref="A46">
    <cfRule type="duplicateValues" dxfId="1048" priority="263"/>
  </conditionalFormatting>
  <conditionalFormatting sqref="A47">
    <cfRule type="duplicateValues" dxfId="1047" priority="247"/>
  </conditionalFormatting>
  <conditionalFormatting sqref="A48">
    <cfRule type="duplicateValues" dxfId="1046" priority="245"/>
  </conditionalFormatting>
  <conditionalFormatting sqref="A49">
    <cfRule type="duplicateValues" dxfId="1045" priority="243"/>
  </conditionalFormatting>
  <conditionalFormatting sqref="A50">
    <cfRule type="duplicateValues" dxfId="1044" priority="117"/>
  </conditionalFormatting>
  <conditionalFormatting sqref="A51">
    <cfRule type="duplicateValues" dxfId="1043" priority="189"/>
  </conditionalFormatting>
  <conditionalFormatting sqref="A52">
    <cfRule type="duplicateValues" dxfId="1042" priority="197"/>
  </conditionalFormatting>
  <conditionalFormatting sqref="A53">
    <cfRule type="duplicateValues" dxfId="1041" priority="195"/>
  </conditionalFormatting>
  <conditionalFormatting sqref="A54">
    <cfRule type="duplicateValues" dxfId="1040" priority="207"/>
  </conditionalFormatting>
  <conditionalFormatting sqref="A55">
    <cfRule type="duplicateValues" dxfId="1039" priority="185"/>
  </conditionalFormatting>
  <conditionalFormatting sqref="A56">
    <cfRule type="duplicateValues" dxfId="1038" priority="187"/>
  </conditionalFormatting>
  <conditionalFormatting sqref="A57">
    <cfRule type="duplicateValues" dxfId="1037" priority="205"/>
  </conditionalFormatting>
  <conditionalFormatting sqref="A59">
    <cfRule type="duplicateValues" dxfId="1036" priority="191"/>
  </conditionalFormatting>
  <conditionalFormatting sqref="A60">
    <cfRule type="duplicateValues" dxfId="1035" priority="203"/>
  </conditionalFormatting>
  <conditionalFormatting sqref="A61">
    <cfRule type="duplicateValues" dxfId="1034" priority="201"/>
  </conditionalFormatting>
  <conditionalFormatting sqref="A62">
    <cfRule type="duplicateValues" dxfId="1033" priority="199"/>
  </conditionalFormatting>
  <conditionalFormatting sqref="A63">
    <cfRule type="duplicateValues" dxfId="1032" priority="209"/>
  </conditionalFormatting>
  <conditionalFormatting sqref="A64">
    <cfRule type="duplicateValues" dxfId="1031" priority="119"/>
  </conditionalFormatting>
  <conditionalFormatting sqref="A65">
    <cfRule type="duplicateValues" dxfId="1030" priority="169"/>
  </conditionalFormatting>
  <conditionalFormatting sqref="A66">
    <cfRule type="duplicateValues" dxfId="1029" priority="123"/>
  </conditionalFormatting>
  <conditionalFormatting sqref="A67">
    <cfRule type="duplicateValues" dxfId="1028" priority="167"/>
  </conditionalFormatting>
  <conditionalFormatting sqref="A68">
    <cfRule type="duplicateValues" dxfId="1027" priority="165"/>
  </conditionalFormatting>
  <conditionalFormatting sqref="A69">
    <cfRule type="duplicateValues" dxfId="1026" priority="163"/>
  </conditionalFormatting>
  <conditionalFormatting sqref="A70">
    <cfRule type="duplicateValues" dxfId="1025" priority="161"/>
  </conditionalFormatting>
  <conditionalFormatting sqref="A71">
    <cfRule type="duplicateValues" dxfId="1024" priority="159"/>
  </conditionalFormatting>
  <conditionalFormatting sqref="A72">
    <cfRule type="duplicateValues" dxfId="1023" priority="177"/>
  </conditionalFormatting>
  <conditionalFormatting sqref="A73">
    <cfRule type="duplicateValues" dxfId="1022" priority="175"/>
  </conditionalFormatting>
  <conditionalFormatting sqref="A74">
    <cfRule type="duplicateValues" dxfId="1021" priority="135"/>
  </conditionalFormatting>
  <conditionalFormatting sqref="A75">
    <cfRule type="duplicateValues" dxfId="1020" priority="133"/>
  </conditionalFormatting>
  <conditionalFormatting sqref="A76">
    <cfRule type="duplicateValues" dxfId="1019" priority="131"/>
  </conditionalFormatting>
  <conditionalFormatting sqref="A77">
    <cfRule type="duplicateValues" dxfId="1018" priority="129"/>
  </conditionalFormatting>
  <conditionalFormatting sqref="A78">
    <cfRule type="duplicateValues" dxfId="1017" priority="143"/>
  </conditionalFormatting>
  <conditionalFormatting sqref="A79">
    <cfRule type="duplicateValues" dxfId="1016" priority="141"/>
  </conditionalFormatting>
  <conditionalFormatting sqref="A80">
    <cfRule type="duplicateValues" dxfId="1015" priority="139"/>
  </conditionalFormatting>
  <conditionalFormatting sqref="A81">
    <cfRule type="duplicateValues" dxfId="1014" priority="137"/>
  </conditionalFormatting>
  <conditionalFormatting sqref="A82">
    <cfRule type="duplicateValues" dxfId="1013" priority="147"/>
  </conditionalFormatting>
  <conditionalFormatting sqref="A83">
    <cfRule type="duplicateValues" dxfId="1012" priority="145"/>
  </conditionalFormatting>
  <conditionalFormatting sqref="A84">
    <cfRule type="duplicateValues" dxfId="1011" priority="149"/>
  </conditionalFormatting>
  <conditionalFormatting sqref="A85">
    <cfRule type="duplicateValues" dxfId="1010" priority="127"/>
  </conditionalFormatting>
  <conditionalFormatting sqref="A86">
    <cfRule type="duplicateValues" dxfId="1009" priority="151"/>
  </conditionalFormatting>
  <conditionalFormatting sqref="A87">
    <cfRule type="duplicateValues" dxfId="1008" priority="121"/>
  </conditionalFormatting>
  <conditionalFormatting sqref="A88">
    <cfRule type="duplicateValues" dxfId="1007" priority="173"/>
  </conditionalFormatting>
  <conditionalFormatting sqref="A89">
    <cfRule type="duplicateValues" dxfId="1006" priority="157"/>
  </conditionalFormatting>
  <conditionalFormatting sqref="A90">
    <cfRule type="duplicateValues" dxfId="1005" priority="155"/>
  </conditionalFormatting>
  <conditionalFormatting sqref="A91">
    <cfRule type="duplicateValues" dxfId="1004" priority="153"/>
  </conditionalFormatting>
  <conditionalFormatting sqref="A92">
    <cfRule type="duplicateValues" dxfId="1003" priority="183"/>
  </conditionalFormatting>
  <conditionalFormatting sqref="A93">
    <cfRule type="duplicateValues" dxfId="1002" priority="181"/>
  </conditionalFormatting>
  <conditionalFormatting sqref="A94">
    <cfRule type="duplicateValues" dxfId="1001" priority="171"/>
  </conditionalFormatting>
  <conditionalFormatting sqref="A95">
    <cfRule type="duplicateValues" dxfId="1000" priority="179"/>
  </conditionalFormatting>
  <conditionalFormatting sqref="A96">
    <cfRule type="duplicateValues" dxfId="999" priority="125"/>
  </conditionalFormatting>
  <conditionalFormatting sqref="A97">
    <cfRule type="duplicateValues" dxfId="998" priority="115"/>
  </conditionalFormatting>
  <conditionalFormatting sqref="A98">
    <cfRule type="duplicateValues" dxfId="997" priority="80"/>
  </conditionalFormatting>
  <conditionalFormatting sqref="A99">
    <cfRule type="duplicateValues" dxfId="996" priority="82"/>
  </conditionalFormatting>
  <conditionalFormatting sqref="A100">
    <cfRule type="duplicateValues" dxfId="995" priority="110"/>
  </conditionalFormatting>
  <conditionalFormatting sqref="A101">
    <cfRule type="duplicateValues" dxfId="994" priority="78"/>
  </conditionalFormatting>
  <conditionalFormatting sqref="A102">
    <cfRule type="duplicateValues" dxfId="993" priority="42"/>
  </conditionalFormatting>
  <conditionalFormatting sqref="A103">
    <cfRule type="duplicateValues" dxfId="992" priority="76"/>
  </conditionalFormatting>
  <conditionalFormatting sqref="A104">
    <cfRule type="duplicateValues" dxfId="991" priority="74"/>
  </conditionalFormatting>
  <conditionalFormatting sqref="A105">
    <cfRule type="duplicateValues" dxfId="990" priority="72"/>
  </conditionalFormatting>
  <conditionalFormatting sqref="A106">
    <cfRule type="duplicateValues" dxfId="989" priority="70"/>
  </conditionalFormatting>
  <conditionalFormatting sqref="A107">
    <cfRule type="duplicateValues" dxfId="988" priority="38"/>
  </conditionalFormatting>
  <conditionalFormatting sqref="A108">
    <cfRule type="duplicateValues" dxfId="987" priority="30"/>
  </conditionalFormatting>
  <conditionalFormatting sqref="A109">
    <cfRule type="duplicateValues" dxfId="986" priority="28"/>
  </conditionalFormatting>
  <conditionalFormatting sqref="A110">
    <cfRule type="duplicateValues" dxfId="985" priority="104"/>
  </conditionalFormatting>
  <conditionalFormatting sqref="A111">
    <cfRule type="duplicateValues" dxfId="984" priority="114"/>
  </conditionalFormatting>
  <conditionalFormatting sqref="A112">
    <cfRule type="duplicateValues" dxfId="983" priority="112"/>
  </conditionalFormatting>
  <conditionalFormatting sqref="A113">
    <cfRule type="duplicateValues" dxfId="982" priority="60"/>
  </conditionalFormatting>
  <conditionalFormatting sqref="A114">
    <cfRule type="duplicateValues" dxfId="981" priority="58"/>
  </conditionalFormatting>
  <conditionalFormatting sqref="A115">
    <cfRule type="duplicateValues" dxfId="980" priority="68"/>
  </conditionalFormatting>
  <conditionalFormatting sqref="A116">
    <cfRule type="duplicateValues" dxfId="979" priority="36"/>
  </conditionalFormatting>
  <conditionalFormatting sqref="A117">
    <cfRule type="duplicateValues" dxfId="978" priority="34"/>
  </conditionalFormatting>
  <conditionalFormatting sqref="A118">
    <cfRule type="duplicateValues" dxfId="977" priority="32"/>
  </conditionalFormatting>
  <conditionalFormatting sqref="A119">
    <cfRule type="duplicateValues" dxfId="976" priority="40"/>
  </conditionalFormatting>
  <conditionalFormatting sqref="A120">
    <cfRule type="duplicateValues" dxfId="975" priority="64"/>
  </conditionalFormatting>
  <conditionalFormatting sqref="A121">
    <cfRule type="duplicateValues" dxfId="974" priority="108"/>
  </conditionalFormatting>
  <conditionalFormatting sqref="A122">
    <cfRule type="duplicateValues" dxfId="973" priority="106"/>
  </conditionalFormatting>
  <conditionalFormatting sqref="A123">
    <cfRule type="duplicateValues" dxfId="972" priority="52"/>
  </conditionalFormatting>
  <conditionalFormatting sqref="A124">
    <cfRule type="duplicateValues" dxfId="971" priority="50"/>
  </conditionalFormatting>
  <conditionalFormatting sqref="A125">
    <cfRule type="duplicateValues" dxfId="970" priority="48"/>
  </conditionalFormatting>
  <conditionalFormatting sqref="A126">
    <cfRule type="duplicateValues" dxfId="969" priority="46"/>
  </conditionalFormatting>
  <conditionalFormatting sqref="A127">
    <cfRule type="duplicateValues" dxfId="968" priority="44"/>
  </conditionalFormatting>
  <conditionalFormatting sqref="A128">
    <cfRule type="duplicateValues" dxfId="967" priority="56"/>
  </conditionalFormatting>
  <conditionalFormatting sqref="A129">
    <cfRule type="duplicateValues" dxfId="966" priority="54"/>
  </conditionalFormatting>
  <conditionalFormatting sqref="A130">
    <cfRule type="duplicateValues" dxfId="965" priority="62"/>
  </conditionalFormatting>
  <conditionalFormatting sqref="A131">
    <cfRule type="duplicateValues" dxfId="964" priority="113"/>
  </conditionalFormatting>
  <conditionalFormatting sqref="A132">
    <cfRule type="duplicateValues" dxfId="963" priority="111"/>
  </conditionalFormatting>
  <conditionalFormatting sqref="A133">
    <cfRule type="duplicateValues" dxfId="962" priority="66"/>
  </conditionalFormatting>
  <conditionalFormatting sqref="A134">
    <cfRule type="duplicateValues" dxfId="961" priority="102"/>
  </conditionalFormatting>
  <conditionalFormatting sqref="A135">
    <cfRule type="duplicateValues" dxfId="960" priority="100"/>
  </conditionalFormatting>
  <conditionalFormatting sqref="A136">
    <cfRule type="duplicateValues" dxfId="959" priority="98"/>
  </conditionalFormatting>
  <conditionalFormatting sqref="A137">
    <cfRule type="duplicateValues" dxfId="958" priority="96"/>
  </conditionalFormatting>
  <conditionalFormatting sqref="A138">
    <cfRule type="duplicateValues" dxfId="957" priority="94"/>
  </conditionalFormatting>
  <conditionalFormatting sqref="A139">
    <cfRule type="duplicateValues" dxfId="956" priority="92"/>
  </conditionalFormatting>
  <conditionalFormatting sqref="A140">
    <cfRule type="duplicateValues" dxfId="955" priority="84"/>
  </conditionalFormatting>
  <conditionalFormatting sqref="A141">
    <cfRule type="duplicateValues" dxfId="954" priority="90"/>
  </conditionalFormatting>
  <conditionalFormatting sqref="A142">
    <cfRule type="duplicateValues" dxfId="953" priority="88"/>
  </conditionalFormatting>
  <conditionalFormatting sqref="A143">
    <cfRule type="duplicateValues" dxfId="952" priority="86"/>
  </conditionalFormatting>
  <conditionalFormatting sqref="A144">
    <cfRule type="duplicateValues" dxfId="951" priority="24"/>
  </conditionalFormatting>
  <conditionalFormatting sqref="A145">
    <cfRule type="duplicateValues" dxfId="950" priority="17"/>
  </conditionalFormatting>
  <conditionalFormatting sqref="A145:A153">
    <cfRule type="duplicateValues" dxfId="949" priority="20"/>
  </conditionalFormatting>
  <conditionalFormatting sqref="A146">
    <cfRule type="duplicateValues" dxfId="948" priority="16"/>
  </conditionalFormatting>
  <conditionalFormatting sqref="A147">
    <cfRule type="duplicateValues" dxfId="947" priority="15"/>
  </conditionalFormatting>
  <conditionalFormatting sqref="A148">
    <cfRule type="duplicateValues" dxfId="946" priority="14"/>
  </conditionalFormatting>
  <conditionalFormatting sqref="A149">
    <cfRule type="duplicateValues" dxfId="945" priority="13"/>
  </conditionalFormatting>
  <conditionalFormatting sqref="A150">
    <cfRule type="duplicateValues" dxfId="944" priority="12"/>
  </conditionalFormatting>
  <conditionalFormatting sqref="A151">
    <cfRule type="duplicateValues" dxfId="943" priority="10"/>
  </conditionalFormatting>
  <conditionalFormatting sqref="A152">
    <cfRule type="duplicateValues" dxfId="942" priority="11"/>
  </conditionalFormatting>
  <conditionalFormatting sqref="A153">
    <cfRule type="duplicateValues" dxfId="941" priority="9"/>
  </conditionalFormatting>
  <conditionalFormatting sqref="A154">
    <cfRule type="duplicateValues" dxfId="940" priority="6"/>
  </conditionalFormatting>
  <conditionalFormatting sqref="B145:B153">
    <cfRule type="duplicateValues" dxfId="939" priority="22"/>
  </conditionalFormatting>
  <conditionalFormatting sqref="B154">
    <cfRule type="duplicateValues" dxfId="938" priority="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B076-F58B-42DC-866F-5EC67B0F709F}">
  <sheetPr filterMode="1"/>
  <dimension ref="A1:W180"/>
  <sheetViews>
    <sheetView zoomScaleNormal="100" workbookViewId="0">
      <pane xSplit="5" ySplit="7" topLeftCell="F17" activePane="bottomRight" state="frozen"/>
      <selection pane="topRight" activeCell="F1" sqref="F1"/>
      <selection pane="bottomLeft" activeCell="A8" sqref="A8"/>
      <selection pane="bottomRight" activeCell="R20" sqref="R17:R20"/>
    </sheetView>
  </sheetViews>
  <sheetFormatPr defaultRowHeight="14.6" x14ac:dyDescent="0.4"/>
  <cols>
    <col min="2" max="2" width="9.15234375" customWidth="1"/>
    <col min="3" max="3" width="14.15234375" customWidth="1"/>
    <col min="4" max="4" width="11.3046875" customWidth="1"/>
    <col min="5" max="5" width="9.15234375" customWidth="1"/>
    <col min="6" max="6" width="31.53515625" bestFit="1" customWidth="1"/>
    <col min="7" max="7" width="36.3046875" bestFit="1" customWidth="1"/>
    <col min="8" max="8" width="7.69140625" customWidth="1"/>
    <col min="9" max="9" width="26.3828125" customWidth="1"/>
    <col min="10" max="10" width="23.53515625" customWidth="1"/>
    <col min="11" max="12" width="9.15234375" customWidth="1"/>
    <col min="13" max="13" width="14.53515625" customWidth="1"/>
    <col min="14" max="14" width="9.15234375" customWidth="1"/>
    <col min="15" max="15" width="14" customWidth="1"/>
    <col min="16" max="16" width="16.3046875" bestFit="1" customWidth="1"/>
    <col min="17" max="17" width="15" bestFit="1" customWidth="1"/>
    <col min="18" max="18" width="15.69140625" customWidth="1"/>
    <col min="19" max="19" width="13.15234375" bestFit="1" customWidth="1"/>
    <col min="20" max="20" width="16.3046875" bestFit="1" customWidth="1"/>
  </cols>
  <sheetData>
    <row r="1" spans="1:23" x14ac:dyDescent="0.4">
      <c r="A1" s="35"/>
      <c r="B1" s="1" t="s">
        <v>75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4">
      <c r="A2" s="3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3" ht="17.600000000000001" x14ac:dyDescent="0.4">
      <c r="A3" s="36"/>
      <c r="B3" s="13" t="s">
        <v>92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pans="1:23" x14ac:dyDescent="0.4">
      <c r="A4" s="36"/>
      <c r="B4" s="3" t="s">
        <v>30</v>
      </c>
      <c r="C4" s="37" t="s">
        <v>1643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3" x14ac:dyDescent="0.4">
      <c r="A5" s="36"/>
      <c r="B5" s="3" t="s">
        <v>171</v>
      </c>
      <c r="C5" s="37" t="s">
        <v>172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6"/>
      <c r="R5" s="6"/>
      <c r="S5" s="4"/>
      <c r="T5" s="4"/>
      <c r="U5" s="4"/>
    </row>
    <row r="6" spans="1:23" x14ac:dyDescent="0.4">
      <c r="A6" s="36"/>
      <c r="B6" s="15" t="s">
        <v>62</v>
      </c>
      <c r="C6" s="7"/>
      <c r="D6" s="38"/>
      <c r="E6" s="3"/>
      <c r="F6" s="8"/>
      <c r="G6" s="3"/>
      <c r="H6" s="3"/>
      <c r="I6" s="3"/>
      <c r="J6" s="3"/>
      <c r="K6" s="3"/>
      <c r="L6" s="3">
        <v>22856</v>
      </c>
      <c r="M6" s="3"/>
      <c r="N6" s="3"/>
      <c r="O6" s="36"/>
      <c r="P6" s="17">
        <f>SUM(P8:P171)</f>
        <v>1441982086.1699998</v>
      </c>
      <c r="Q6" s="17">
        <f>SUM(Q8:Q171)</f>
        <v>149103134.18990001</v>
      </c>
      <c r="R6" s="17">
        <f>SUM(R8:R171)</f>
        <v>12110327.440000001</v>
      </c>
      <c r="S6" s="17">
        <f>SUM(S8:S171)</f>
        <v>1380000</v>
      </c>
      <c r="T6" s="17">
        <f>SUM(T8:T171)</f>
        <v>1579515892.9199004</v>
      </c>
      <c r="U6" s="3"/>
    </row>
    <row r="7" spans="1:23" ht="20.6" x14ac:dyDescent="0.4">
      <c r="A7" s="18" t="s">
        <v>95</v>
      </c>
      <c r="B7" s="40" t="s">
        <v>31</v>
      </c>
      <c r="C7" s="41" t="s">
        <v>32</v>
      </c>
      <c r="D7" s="39" t="s">
        <v>17</v>
      </c>
      <c r="E7" s="39" t="s">
        <v>22</v>
      </c>
      <c r="F7" s="40" t="s">
        <v>33</v>
      </c>
      <c r="G7" s="40" t="s">
        <v>38</v>
      </c>
      <c r="H7" s="40" t="s">
        <v>20</v>
      </c>
      <c r="I7" s="40" t="s">
        <v>28</v>
      </c>
      <c r="J7" s="40" t="s">
        <v>94</v>
      </c>
      <c r="K7" s="40" t="s">
        <v>21</v>
      </c>
      <c r="L7" s="40" t="s">
        <v>9</v>
      </c>
      <c r="M7" s="40" t="s">
        <v>34</v>
      </c>
      <c r="N7" s="40" t="s">
        <v>13</v>
      </c>
      <c r="O7" s="40" t="s">
        <v>18</v>
      </c>
      <c r="P7" s="40" t="s">
        <v>2</v>
      </c>
      <c r="Q7" s="39" t="s">
        <v>7</v>
      </c>
      <c r="R7" s="39" t="s">
        <v>93</v>
      </c>
      <c r="S7" s="39" t="s">
        <v>14</v>
      </c>
      <c r="T7" s="39" t="s">
        <v>37</v>
      </c>
      <c r="U7" s="16"/>
    </row>
    <row r="8" spans="1:23" ht="15.45" hidden="1" x14ac:dyDescent="0.4">
      <c r="A8" s="19" t="s">
        <v>200</v>
      </c>
      <c r="B8" s="9">
        <v>45762</v>
      </c>
      <c r="C8" s="14" t="s">
        <v>1370</v>
      </c>
      <c r="D8" s="10" t="s">
        <v>1371</v>
      </c>
      <c r="E8" s="9">
        <v>45761</v>
      </c>
      <c r="F8" s="10" t="s">
        <v>194</v>
      </c>
      <c r="G8" s="10" t="s">
        <v>195</v>
      </c>
      <c r="H8" s="10" t="s">
        <v>23</v>
      </c>
      <c r="I8" s="10" t="s">
        <v>888</v>
      </c>
      <c r="J8" s="50" t="s">
        <v>1717</v>
      </c>
      <c r="K8" s="10" t="s">
        <v>1</v>
      </c>
      <c r="L8" s="12">
        <f t="shared" ref="L8:L16" si="0">IF(LEFT(C8,2)="RP",U8*-1,U8)</f>
        <v>300</v>
      </c>
      <c r="M8" s="12">
        <v>17000</v>
      </c>
      <c r="N8" s="12">
        <v>0</v>
      </c>
      <c r="O8" s="11">
        <v>5100000</v>
      </c>
      <c r="P8" s="11">
        <f t="shared" ref="P8:P39" si="1">O8</f>
        <v>5100000</v>
      </c>
      <c r="Q8" s="11">
        <v>561000</v>
      </c>
      <c r="R8" s="11"/>
      <c r="S8" s="11">
        <v>0</v>
      </c>
      <c r="T8" s="11">
        <f t="shared" ref="T8:T21" si="2">P8+Q8-S8</f>
        <v>5661000</v>
      </c>
      <c r="U8" s="42">
        <v>300</v>
      </c>
      <c r="V8" s="36"/>
      <c r="W8" s="36"/>
    </row>
    <row r="9" spans="1:23" ht="15.45" hidden="1" x14ac:dyDescent="0.4">
      <c r="A9" s="19" t="s">
        <v>1391</v>
      </c>
      <c r="B9" s="9">
        <v>45763</v>
      </c>
      <c r="C9" s="14" t="s">
        <v>1386</v>
      </c>
      <c r="D9" s="10" t="s">
        <v>1387</v>
      </c>
      <c r="E9" s="9">
        <v>45719</v>
      </c>
      <c r="F9" s="10" t="s">
        <v>1388</v>
      </c>
      <c r="G9" s="10" t="s">
        <v>1389</v>
      </c>
      <c r="H9" s="10" t="s">
        <v>24</v>
      </c>
      <c r="I9" s="10" t="s">
        <v>61</v>
      </c>
      <c r="J9" s="50" t="s">
        <v>1390</v>
      </c>
      <c r="K9" s="10" t="s">
        <v>16</v>
      </c>
      <c r="L9" s="12">
        <f t="shared" si="0"/>
        <v>2</v>
      </c>
      <c r="M9" s="12">
        <v>10500000</v>
      </c>
      <c r="N9" s="12">
        <v>0</v>
      </c>
      <c r="O9" s="11">
        <v>21000000</v>
      </c>
      <c r="P9" s="11">
        <f t="shared" si="1"/>
        <v>21000000</v>
      </c>
      <c r="Q9" s="11">
        <v>2310000</v>
      </c>
      <c r="R9" s="11"/>
      <c r="S9" s="11">
        <v>0</v>
      </c>
      <c r="T9" s="11">
        <f t="shared" si="2"/>
        <v>23310000</v>
      </c>
      <c r="U9" s="42">
        <v>2</v>
      </c>
      <c r="V9" s="36"/>
      <c r="W9" s="36"/>
    </row>
    <row r="10" spans="1:23" ht="15.45" hidden="1" x14ac:dyDescent="0.4">
      <c r="A10" s="19" t="s">
        <v>96</v>
      </c>
      <c r="B10" s="9">
        <v>45770</v>
      </c>
      <c r="C10" s="14" t="s">
        <v>1475</v>
      </c>
      <c r="D10" s="10" t="s">
        <v>1476</v>
      </c>
      <c r="E10" s="9">
        <v>45769</v>
      </c>
      <c r="F10" s="10" t="s">
        <v>39</v>
      </c>
      <c r="G10" s="10" t="s">
        <v>649</v>
      </c>
      <c r="H10" s="10" t="s">
        <v>24</v>
      </c>
      <c r="I10" s="10" t="s">
        <v>61</v>
      </c>
      <c r="J10" s="10"/>
      <c r="K10" s="10" t="s">
        <v>650</v>
      </c>
      <c r="L10" s="12">
        <f t="shared" si="0"/>
        <v>5</v>
      </c>
      <c r="M10" s="12">
        <v>800000</v>
      </c>
      <c r="N10" s="12">
        <v>0</v>
      </c>
      <c r="O10" s="11">
        <v>4000000</v>
      </c>
      <c r="P10" s="11">
        <f t="shared" si="1"/>
        <v>4000000</v>
      </c>
      <c r="Q10" s="11">
        <v>0</v>
      </c>
      <c r="R10" s="11"/>
      <c r="S10" s="11">
        <v>0</v>
      </c>
      <c r="T10" s="11">
        <f t="shared" si="2"/>
        <v>4000000</v>
      </c>
      <c r="U10" s="42">
        <v>5</v>
      </c>
      <c r="V10" s="36"/>
      <c r="W10" s="36"/>
    </row>
    <row r="11" spans="1:23" ht="15.45" hidden="1" x14ac:dyDescent="0.4">
      <c r="A11" s="19" t="s">
        <v>97</v>
      </c>
      <c r="B11" s="9">
        <v>45764</v>
      </c>
      <c r="C11" s="14" t="s">
        <v>1420</v>
      </c>
      <c r="D11" s="10" t="s">
        <v>1421</v>
      </c>
      <c r="E11" s="9">
        <v>45764</v>
      </c>
      <c r="F11" s="10" t="s">
        <v>63</v>
      </c>
      <c r="G11" s="10" t="s">
        <v>136</v>
      </c>
      <c r="H11" s="10" t="s">
        <v>24</v>
      </c>
      <c r="I11" s="10" t="s">
        <v>888</v>
      </c>
      <c r="J11" s="50" t="s">
        <v>1618</v>
      </c>
      <c r="K11" s="10" t="s">
        <v>5</v>
      </c>
      <c r="L11" s="12">
        <f t="shared" si="0"/>
        <v>1000</v>
      </c>
      <c r="M11" s="12">
        <v>39500</v>
      </c>
      <c r="N11" s="12">
        <v>0</v>
      </c>
      <c r="O11" s="11">
        <v>39500000</v>
      </c>
      <c r="P11" s="11">
        <f t="shared" si="1"/>
        <v>39500000</v>
      </c>
      <c r="Q11" s="11">
        <v>4345000</v>
      </c>
      <c r="R11" s="11"/>
      <c r="S11" s="11">
        <v>0</v>
      </c>
      <c r="T11" s="11">
        <f t="shared" si="2"/>
        <v>43845000</v>
      </c>
      <c r="U11" s="42">
        <v>1000</v>
      </c>
      <c r="V11" s="36"/>
      <c r="W11" s="36"/>
    </row>
    <row r="12" spans="1:23" ht="15.45" hidden="1" x14ac:dyDescent="0.4">
      <c r="A12" s="19" t="s">
        <v>97</v>
      </c>
      <c r="B12" s="9">
        <v>45771</v>
      </c>
      <c r="C12" s="14" t="s">
        <v>1543</v>
      </c>
      <c r="D12" s="10" t="s">
        <v>1544</v>
      </c>
      <c r="E12" s="9">
        <v>45769</v>
      </c>
      <c r="F12" s="10" t="s">
        <v>63</v>
      </c>
      <c r="G12" s="10" t="s">
        <v>83</v>
      </c>
      <c r="H12" s="10" t="s">
        <v>24</v>
      </c>
      <c r="I12" s="10" t="s">
        <v>888</v>
      </c>
      <c r="J12" s="50" t="s">
        <v>1746</v>
      </c>
      <c r="K12" s="10" t="s">
        <v>5</v>
      </c>
      <c r="L12" s="12">
        <f t="shared" si="0"/>
        <v>1000</v>
      </c>
      <c r="M12" s="12">
        <v>27000</v>
      </c>
      <c r="N12" s="12">
        <v>0</v>
      </c>
      <c r="O12" s="11">
        <v>27000000</v>
      </c>
      <c r="P12" s="11">
        <f t="shared" si="1"/>
        <v>27000000</v>
      </c>
      <c r="Q12" s="11">
        <v>2970000</v>
      </c>
      <c r="R12" s="11"/>
      <c r="S12" s="11">
        <v>0</v>
      </c>
      <c r="T12" s="11">
        <f t="shared" si="2"/>
        <v>29970000</v>
      </c>
      <c r="U12" s="42">
        <v>1000</v>
      </c>
      <c r="V12" s="36"/>
      <c r="W12" s="36"/>
    </row>
    <row r="13" spans="1:23" s="65" customFormat="1" ht="15.45" hidden="1" x14ac:dyDescent="0.4">
      <c r="A13" s="19" t="s">
        <v>97</v>
      </c>
      <c r="B13" s="9">
        <v>45771</v>
      </c>
      <c r="C13" s="14" t="s">
        <v>1545</v>
      </c>
      <c r="D13" s="10" t="s">
        <v>1546</v>
      </c>
      <c r="E13" s="9">
        <v>45769</v>
      </c>
      <c r="F13" s="10" t="s">
        <v>63</v>
      </c>
      <c r="G13" s="10" t="s">
        <v>86</v>
      </c>
      <c r="H13" s="10" t="s">
        <v>24</v>
      </c>
      <c r="I13" s="10" t="s">
        <v>61</v>
      </c>
      <c r="J13" s="50" t="s">
        <v>1745</v>
      </c>
      <c r="K13" s="10" t="s">
        <v>6</v>
      </c>
      <c r="L13" s="12">
        <f t="shared" si="0"/>
        <v>5</v>
      </c>
      <c r="M13" s="12">
        <v>200000</v>
      </c>
      <c r="N13" s="12">
        <v>0</v>
      </c>
      <c r="O13" s="11">
        <v>1000000</v>
      </c>
      <c r="P13" s="11">
        <f t="shared" si="1"/>
        <v>1000000</v>
      </c>
      <c r="Q13" s="11">
        <v>110000</v>
      </c>
      <c r="R13" s="11"/>
      <c r="S13" s="11">
        <v>0</v>
      </c>
      <c r="T13" s="11">
        <f t="shared" si="2"/>
        <v>1110000</v>
      </c>
      <c r="U13" s="63">
        <v>5</v>
      </c>
      <c r="V13" s="64"/>
      <c r="W13" s="64"/>
    </row>
    <row r="14" spans="1:23" ht="15.45" hidden="1" x14ac:dyDescent="0.4">
      <c r="A14" s="19" t="s">
        <v>97</v>
      </c>
      <c r="B14" s="9">
        <v>45771</v>
      </c>
      <c r="C14" s="14" t="s">
        <v>1545</v>
      </c>
      <c r="D14" s="10" t="s">
        <v>1546</v>
      </c>
      <c r="E14" s="9">
        <v>45769</v>
      </c>
      <c r="F14" s="10" t="s">
        <v>63</v>
      </c>
      <c r="G14" s="10" t="s">
        <v>88</v>
      </c>
      <c r="H14" s="10" t="s">
        <v>24</v>
      </c>
      <c r="I14" s="10" t="s">
        <v>61</v>
      </c>
      <c r="J14" s="50" t="s">
        <v>1745</v>
      </c>
      <c r="K14" s="10" t="s">
        <v>6</v>
      </c>
      <c r="L14" s="12">
        <f t="shared" si="0"/>
        <v>5</v>
      </c>
      <c r="M14" s="12">
        <v>285000</v>
      </c>
      <c r="N14" s="12">
        <v>0</v>
      </c>
      <c r="O14" s="11">
        <v>1425000</v>
      </c>
      <c r="P14" s="11">
        <f t="shared" si="1"/>
        <v>1425000</v>
      </c>
      <c r="Q14" s="11">
        <v>156750</v>
      </c>
      <c r="R14" s="11"/>
      <c r="S14" s="11">
        <v>0</v>
      </c>
      <c r="T14" s="11">
        <f t="shared" si="2"/>
        <v>1581750</v>
      </c>
      <c r="U14" s="42">
        <v>5</v>
      </c>
      <c r="V14" s="36"/>
      <c r="W14" s="36"/>
    </row>
    <row r="15" spans="1:23" ht="15.45" hidden="1" x14ac:dyDescent="0.4">
      <c r="A15" s="19" t="s">
        <v>97</v>
      </c>
      <c r="B15" s="9">
        <v>45772</v>
      </c>
      <c r="C15" s="14" t="s">
        <v>1571</v>
      </c>
      <c r="D15" s="10" t="s">
        <v>1572</v>
      </c>
      <c r="E15" s="9">
        <v>45771</v>
      </c>
      <c r="F15" s="10" t="s">
        <v>63</v>
      </c>
      <c r="G15" s="10" t="s">
        <v>831</v>
      </c>
      <c r="H15" s="10" t="s">
        <v>24</v>
      </c>
      <c r="I15" s="10" t="s">
        <v>61</v>
      </c>
      <c r="J15" s="50" t="s">
        <v>1747</v>
      </c>
      <c r="K15" s="10" t="s">
        <v>15</v>
      </c>
      <c r="L15" s="12">
        <f t="shared" si="0"/>
        <v>5</v>
      </c>
      <c r="M15" s="12">
        <v>285000</v>
      </c>
      <c r="N15" s="12">
        <v>0</v>
      </c>
      <c r="O15" s="11">
        <v>1425000</v>
      </c>
      <c r="P15" s="11">
        <f t="shared" si="1"/>
        <v>1425000</v>
      </c>
      <c r="Q15" s="11">
        <v>156750</v>
      </c>
      <c r="R15" s="11"/>
      <c r="S15" s="11">
        <v>0</v>
      </c>
      <c r="T15" s="11">
        <f t="shared" si="2"/>
        <v>1581750</v>
      </c>
      <c r="U15" s="42">
        <v>5</v>
      </c>
      <c r="V15" s="36"/>
      <c r="W15" s="36"/>
    </row>
    <row r="16" spans="1:23" ht="15.45" hidden="1" x14ac:dyDescent="0.4">
      <c r="A16" s="19" t="s">
        <v>1491</v>
      </c>
      <c r="B16" s="9">
        <v>45766</v>
      </c>
      <c r="C16" s="14" t="s">
        <v>1431</v>
      </c>
      <c r="D16" s="10" t="s">
        <v>1432</v>
      </c>
      <c r="E16" s="9">
        <v>45763</v>
      </c>
      <c r="F16" s="10" t="s">
        <v>1433</v>
      </c>
      <c r="G16" s="10" t="s">
        <v>1434</v>
      </c>
      <c r="H16" s="10" t="s">
        <v>23</v>
      </c>
      <c r="I16" s="10" t="s">
        <v>885</v>
      </c>
      <c r="J16" s="50" t="s">
        <v>1744</v>
      </c>
      <c r="K16" s="10" t="s">
        <v>1</v>
      </c>
      <c r="L16" s="12">
        <f t="shared" si="0"/>
        <v>200</v>
      </c>
      <c r="M16" s="12">
        <v>33646</v>
      </c>
      <c r="N16" s="12">
        <v>16823</v>
      </c>
      <c r="O16" s="11">
        <v>6729200</v>
      </c>
      <c r="P16" s="11">
        <f t="shared" si="1"/>
        <v>6729200</v>
      </c>
      <c r="Q16" s="11">
        <v>740212</v>
      </c>
      <c r="R16" s="11"/>
      <c r="S16" s="11">
        <v>0</v>
      </c>
      <c r="T16" s="11">
        <f t="shared" si="2"/>
        <v>7469412</v>
      </c>
      <c r="U16" s="42">
        <v>200</v>
      </c>
      <c r="V16" s="36"/>
      <c r="W16" s="36"/>
    </row>
    <row r="17" spans="1:23" ht="15.45" x14ac:dyDescent="0.4">
      <c r="A17" s="19" t="s">
        <v>1594</v>
      </c>
      <c r="B17" s="9">
        <v>45776</v>
      </c>
      <c r="C17" s="14"/>
      <c r="D17" s="10" t="s">
        <v>1590</v>
      </c>
      <c r="E17" s="9">
        <v>45776</v>
      </c>
      <c r="F17" s="10" t="s">
        <v>1597</v>
      </c>
      <c r="G17" s="10" t="s">
        <v>1589</v>
      </c>
      <c r="H17" s="10" t="s">
        <v>1595</v>
      </c>
      <c r="I17" s="10" t="s">
        <v>1596</v>
      </c>
      <c r="J17" s="50" t="s">
        <v>1750</v>
      </c>
      <c r="K17" s="10"/>
      <c r="L17" s="12">
        <v>1</v>
      </c>
      <c r="M17" s="12">
        <v>32660000</v>
      </c>
      <c r="N17" s="12">
        <v>0</v>
      </c>
      <c r="O17" s="11">
        <f>L17*M17</f>
        <v>32660000</v>
      </c>
      <c r="P17" s="11">
        <f t="shared" si="1"/>
        <v>32660000</v>
      </c>
      <c r="Q17" s="11">
        <f>P17*0.11</f>
        <v>3592600</v>
      </c>
      <c r="R17" s="11">
        <f>P17*2%</f>
        <v>653200</v>
      </c>
      <c r="S17" s="11">
        <v>0</v>
      </c>
      <c r="T17" s="11">
        <f t="shared" si="2"/>
        <v>36252600</v>
      </c>
      <c r="U17" s="42">
        <v>1</v>
      </c>
      <c r="V17" s="36"/>
      <c r="W17" s="36"/>
    </row>
    <row r="18" spans="1:23" ht="15.45" x14ac:dyDescent="0.4">
      <c r="A18" s="19" t="s">
        <v>1594</v>
      </c>
      <c r="B18" s="9">
        <v>45776</v>
      </c>
      <c r="C18" s="14"/>
      <c r="D18" s="10" t="s">
        <v>1590</v>
      </c>
      <c r="E18" s="9">
        <v>45776</v>
      </c>
      <c r="F18" s="10" t="s">
        <v>1597</v>
      </c>
      <c r="G18" s="10" t="s">
        <v>1591</v>
      </c>
      <c r="H18" s="10" t="s">
        <v>1595</v>
      </c>
      <c r="I18" s="10" t="s">
        <v>1596</v>
      </c>
      <c r="J18" s="50" t="s">
        <v>1750</v>
      </c>
      <c r="K18" s="10"/>
      <c r="L18" s="12">
        <v>1</v>
      </c>
      <c r="M18" s="12">
        <v>32660000</v>
      </c>
      <c r="N18" s="12">
        <v>0</v>
      </c>
      <c r="O18" s="11">
        <f>L18*M18</f>
        <v>32660000</v>
      </c>
      <c r="P18" s="11">
        <f t="shared" si="1"/>
        <v>32660000</v>
      </c>
      <c r="Q18" s="11">
        <f>P18*0.11</f>
        <v>3592600</v>
      </c>
      <c r="R18" s="11">
        <f>P18*2%</f>
        <v>653200</v>
      </c>
      <c r="S18" s="11">
        <v>0</v>
      </c>
      <c r="T18" s="11">
        <f t="shared" si="2"/>
        <v>36252600</v>
      </c>
      <c r="U18" s="42">
        <v>1</v>
      </c>
      <c r="V18" s="36"/>
      <c r="W18" s="36"/>
    </row>
    <row r="19" spans="1:23" ht="15.45" x14ac:dyDescent="0.4">
      <c r="A19" s="19" t="s">
        <v>1594</v>
      </c>
      <c r="B19" s="9">
        <v>45776</v>
      </c>
      <c r="C19" s="14"/>
      <c r="D19" s="10" t="s">
        <v>1590</v>
      </c>
      <c r="E19" s="9">
        <v>45776</v>
      </c>
      <c r="F19" s="10" t="s">
        <v>1597</v>
      </c>
      <c r="G19" s="10" t="s">
        <v>1592</v>
      </c>
      <c r="H19" s="10" t="s">
        <v>1595</v>
      </c>
      <c r="I19" s="10" t="s">
        <v>1596</v>
      </c>
      <c r="J19" s="50" t="s">
        <v>1750</v>
      </c>
      <c r="K19" s="10"/>
      <c r="L19" s="12">
        <v>1</v>
      </c>
      <c r="M19" s="12">
        <v>11730000</v>
      </c>
      <c r="N19" s="12">
        <v>0</v>
      </c>
      <c r="O19" s="11">
        <f>L19*M19</f>
        <v>11730000</v>
      </c>
      <c r="P19" s="11">
        <f t="shared" si="1"/>
        <v>11730000</v>
      </c>
      <c r="Q19" s="11">
        <f>P19*0.11</f>
        <v>1290300</v>
      </c>
      <c r="R19" s="11">
        <f>P19*2%</f>
        <v>234600</v>
      </c>
      <c r="S19" s="11">
        <v>0</v>
      </c>
      <c r="T19" s="11">
        <f t="shared" si="2"/>
        <v>13020300</v>
      </c>
      <c r="U19" s="42">
        <v>1</v>
      </c>
      <c r="V19" s="36"/>
      <c r="W19" s="36"/>
    </row>
    <row r="20" spans="1:23" ht="15.45" x14ac:dyDescent="0.4">
      <c r="A20" s="19" t="s">
        <v>1594</v>
      </c>
      <c r="B20" s="9">
        <v>45776</v>
      </c>
      <c r="C20" s="14"/>
      <c r="D20" s="10" t="s">
        <v>1590</v>
      </c>
      <c r="E20" s="9">
        <v>45776</v>
      </c>
      <c r="F20" s="10" t="s">
        <v>1597</v>
      </c>
      <c r="G20" s="10" t="s">
        <v>1593</v>
      </c>
      <c r="H20" s="10" t="s">
        <v>1595</v>
      </c>
      <c r="I20" s="10" t="s">
        <v>1596</v>
      </c>
      <c r="J20" s="50" t="s">
        <v>1750</v>
      </c>
      <c r="K20" s="10"/>
      <c r="L20" s="12">
        <v>1</v>
      </c>
      <c r="M20" s="12">
        <v>16330000</v>
      </c>
      <c r="N20" s="12">
        <v>0</v>
      </c>
      <c r="O20" s="11">
        <f>L20*M20</f>
        <v>16330000</v>
      </c>
      <c r="P20" s="11">
        <f t="shared" si="1"/>
        <v>16330000</v>
      </c>
      <c r="Q20" s="11">
        <f>(P20-S20)*0.11</f>
        <v>1644500</v>
      </c>
      <c r="R20" s="11">
        <f>(P20-S20)*2%</f>
        <v>299000</v>
      </c>
      <c r="S20" s="11">
        <v>1380000</v>
      </c>
      <c r="T20" s="11">
        <f t="shared" si="2"/>
        <v>16594500</v>
      </c>
      <c r="U20" s="42">
        <v>1</v>
      </c>
      <c r="V20" s="36"/>
      <c r="W20" s="36"/>
    </row>
    <row r="21" spans="1:23" ht="15.45" hidden="1" x14ac:dyDescent="0.4">
      <c r="A21" s="19" t="s">
        <v>184</v>
      </c>
      <c r="B21" s="9">
        <v>45757</v>
      </c>
      <c r="C21" s="14" t="s">
        <v>1294</v>
      </c>
      <c r="D21" s="10" t="s">
        <v>1295</v>
      </c>
      <c r="E21" s="9">
        <v>45755</v>
      </c>
      <c r="F21" s="10" t="s">
        <v>183</v>
      </c>
      <c r="G21" s="10" t="s">
        <v>1296</v>
      </c>
      <c r="H21" s="10" t="s">
        <v>23</v>
      </c>
      <c r="I21" s="10" t="s">
        <v>886</v>
      </c>
      <c r="J21" s="50" t="s">
        <v>1499</v>
      </c>
      <c r="K21" s="10" t="s">
        <v>1</v>
      </c>
      <c r="L21" s="12">
        <f t="shared" ref="L21:L35" si="3">IF(LEFT(C21,2)="RP",U21*-1,U21)</f>
        <v>30</v>
      </c>
      <c r="M21" s="12">
        <v>45414</v>
      </c>
      <c r="N21" s="12">
        <v>16820</v>
      </c>
      <c r="O21" s="11">
        <v>1362420</v>
      </c>
      <c r="P21" s="11">
        <f t="shared" si="1"/>
        <v>1362420</v>
      </c>
      <c r="Q21" s="11">
        <v>149866.20000000001</v>
      </c>
      <c r="R21" s="11"/>
      <c r="S21" s="11">
        <v>0</v>
      </c>
      <c r="T21" s="11">
        <f t="shared" si="2"/>
        <v>1512286.2</v>
      </c>
      <c r="U21" s="42">
        <v>30</v>
      </c>
    </row>
    <row r="22" spans="1:23" ht="15.45" hidden="1" x14ac:dyDescent="0.4">
      <c r="A22" s="19" t="s">
        <v>98</v>
      </c>
      <c r="B22" s="9">
        <v>45756</v>
      </c>
      <c r="C22" s="14" t="s">
        <v>1290</v>
      </c>
      <c r="D22" s="10" t="s">
        <v>1291</v>
      </c>
      <c r="E22" s="9">
        <v>45757</v>
      </c>
      <c r="F22" s="10" t="s">
        <v>84</v>
      </c>
      <c r="G22" s="10" t="s">
        <v>175</v>
      </c>
      <c r="H22" s="10" t="s">
        <v>25</v>
      </c>
      <c r="I22" s="10" t="s">
        <v>79</v>
      </c>
      <c r="J22" s="50" t="s">
        <v>1725</v>
      </c>
      <c r="K22" s="10" t="s">
        <v>1</v>
      </c>
      <c r="L22" s="12">
        <f t="shared" si="3"/>
        <v>32190</v>
      </c>
      <c r="M22" s="12">
        <v>1250</v>
      </c>
      <c r="N22" s="12">
        <v>0</v>
      </c>
      <c r="O22" s="11">
        <v>40237500</v>
      </c>
      <c r="P22" s="11">
        <f t="shared" si="1"/>
        <v>40237500</v>
      </c>
      <c r="Q22" s="11">
        <v>4426125</v>
      </c>
      <c r="R22" s="11">
        <f t="shared" ref="R22:R31" si="4">P22*1.5%</f>
        <v>603562.5</v>
      </c>
      <c r="S22" s="11">
        <v>0</v>
      </c>
      <c r="T22" s="11">
        <f t="shared" ref="T22:T31" si="5">P22+Q22-S22-R22</f>
        <v>44060062.5</v>
      </c>
      <c r="U22" s="42">
        <v>32190</v>
      </c>
    </row>
    <row r="23" spans="1:23" ht="15.45" hidden="1" x14ac:dyDescent="0.4">
      <c r="A23" s="19" t="s">
        <v>98</v>
      </c>
      <c r="B23" s="9">
        <v>45760</v>
      </c>
      <c r="C23" s="14" t="s">
        <v>1349</v>
      </c>
      <c r="D23" s="10" t="s">
        <v>1291</v>
      </c>
      <c r="E23" s="9">
        <v>45757</v>
      </c>
      <c r="F23" s="10" t="s">
        <v>84</v>
      </c>
      <c r="G23" s="10" t="s">
        <v>175</v>
      </c>
      <c r="H23" s="10" t="s">
        <v>25</v>
      </c>
      <c r="I23" s="10" t="s">
        <v>79</v>
      </c>
      <c r="J23" s="50" t="s">
        <v>1725</v>
      </c>
      <c r="K23" s="10" t="s">
        <v>1</v>
      </c>
      <c r="L23" s="12">
        <f t="shared" si="3"/>
        <v>31010</v>
      </c>
      <c r="M23" s="12">
        <v>1250</v>
      </c>
      <c r="N23" s="12">
        <v>0</v>
      </c>
      <c r="O23" s="11">
        <v>38762500</v>
      </c>
      <c r="P23" s="11">
        <f t="shared" si="1"/>
        <v>38762500</v>
      </c>
      <c r="Q23" s="11">
        <v>4263875</v>
      </c>
      <c r="R23" s="11">
        <f t="shared" si="4"/>
        <v>581437.5</v>
      </c>
      <c r="S23" s="11">
        <v>0</v>
      </c>
      <c r="T23" s="11">
        <f t="shared" si="5"/>
        <v>42444937.5</v>
      </c>
      <c r="U23" s="42">
        <v>31010</v>
      </c>
      <c r="V23" s="36"/>
      <c r="W23" s="36"/>
    </row>
    <row r="24" spans="1:23" ht="15.45" hidden="1" x14ac:dyDescent="0.4">
      <c r="A24" s="19" t="s">
        <v>98</v>
      </c>
      <c r="B24" s="9">
        <v>45760</v>
      </c>
      <c r="C24" s="14" t="s">
        <v>1350</v>
      </c>
      <c r="D24" s="10" t="s">
        <v>1351</v>
      </c>
      <c r="E24" s="9">
        <v>45761</v>
      </c>
      <c r="F24" s="10" t="s">
        <v>84</v>
      </c>
      <c r="G24" s="10" t="s">
        <v>89</v>
      </c>
      <c r="H24" s="10" t="s">
        <v>25</v>
      </c>
      <c r="I24" s="10" t="s">
        <v>79</v>
      </c>
      <c r="J24" s="50" t="s">
        <v>1726</v>
      </c>
      <c r="K24" s="10" t="s">
        <v>1</v>
      </c>
      <c r="L24" s="12">
        <f t="shared" si="3"/>
        <v>30800</v>
      </c>
      <c r="M24" s="12">
        <v>1535</v>
      </c>
      <c r="N24" s="12">
        <v>0</v>
      </c>
      <c r="O24" s="11">
        <v>47278000</v>
      </c>
      <c r="P24" s="11">
        <f t="shared" si="1"/>
        <v>47278000</v>
      </c>
      <c r="Q24" s="11">
        <v>5200580</v>
      </c>
      <c r="R24" s="11">
        <f t="shared" si="4"/>
        <v>709170</v>
      </c>
      <c r="S24" s="11">
        <v>0</v>
      </c>
      <c r="T24" s="11">
        <f t="shared" si="5"/>
        <v>51769410</v>
      </c>
      <c r="U24" s="42">
        <v>30800</v>
      </c>
      <c r="V24" s="36"/>
      <c r="W24" s="36"/>
    </row>
    <row r="25" spans="1:23" ht="15.45" hidden="1" x14ac:dyDescent="0.4">
      <c r="A25" s="19" t="s">
        <v>98</v>
      </c>
      <c r="B25" s="9">
        <v>45762</v>
      </c>
      <c r="C25" s="14" t="s">
        <v>1384</v>
      </c>
      <c r="D25" s="10" t="s">
        <v>1385</v>
      </c>
      <c r="E25" s="9">
        <v>45762</v>
      </c>
      <c r="F25" s="10" t="s">
        <v>84</v>
      </c>
      <c r="G25" s="10" t="s">
        <v>89</v>
      </c>
      <c r="H25" s="10" t="s">
        <v>25</v>
      </c>
      <c r="I25" s="10" t="s">
        <v>79</v>
      </c>
      <c r="J25" s="50" t="s">
        <v>1727</v>
      </c>
      <c r="K25" s="10" t="s">
        <v>1</v>
      </c>
      <c r="L25" s="12">
        <f t="shared" si="3"/>
        <v>27820</v>
      </c>
      <c r="M25" s="12">
        <v>1535</v>
      </c>
      <c r="N25" s="12">
        <v>0</v>
      </c>
      <c r="O25" s="11">
        <v>42703700</v>
      </c>
      <c r="P25" s="11">
        <f t="shared" si="1"/>
        <v>42703700</v>
      </c>
      <c r="Q25" s="11">
        <v>4697407</v>
      </c>
      <c r="R25" s="11">
        <f t="shared" si="4"/>
        <v>640555.5</v>
      </c>
      <c r="S25" s="11">
        <v>0</v>
      </c>
      <c r="T25" s="11">
        <f t="shared" si="5"/>
        <v>46760551.5</v>
      </c>
      <c r="U25" s="42">
        <v>27820</v>
      </c>
      <c r="V25" s="36"/>
      <c r="W25" s="36"/>
    </row>
    <row r="26" spans="1:23" ht="15.45" hidden="1" x14ac:dyDescent="0.4">
      <c r="A26" s="19" t="s">
        <v>98</v>
      </c>
      <c r="B26" s="9">
        <v>45764</v>
      </c>
      <c r="C26" s="14" t="s">
        <v>1423</v>
      </c>
      <c r="D26" s="10" t="s">
        <v>1291</v>
      </c>
      <c r="E26" s="9">
        <v>45757</v>
      </c>
      <c r="F26" s="10" t="s">
        <v>84</v>
      </c>
      <c r="G26" s="10" t="s">
        <v>175</v>
      </c>
      <c r="H26" s="10" t="s">
        <v>25</v>
      </c>
      <c r="I26" s="10" t="s">
        <v>79</v>
      </c>
      <c r="J26" s="50" t="s">
        <v>1725</v>
      </c>
      <c r="K26" s="10" t="s">
        <v>1</v>
      </c>
      <c r="L26" s="12">
        <f t="shared" si="3"/>
        <v>31740</v>
      </c>
      <c r="M26" s="12">
        <v>1250</v>
      </c>
      <c r="N26" s="12">
        <v>0</v>
      </c>
      <c r="O26" s="11">
        <v>39675000</v>
      </c>
      <c r="P26" s="11">
        <f t="shared" si="1"/>
        <v>39675000</v>
      </c>
      <c r="Q26" s="11">
        <v>4364250</v>
      </c>
      <c r="R26" s="11">
        <f t="shared" si="4"/>
        <v>595125</v>
      </c>
      <c r="S26" s="11">
        <v>0</v>
      </c>
      <c r="T26" s="11">
        <f t="shared" si="5"/>
        <v>43444125</v>
      </c>
      <c r="U26" s="42">
        <v>31740</v>
      </c>
      <c r="V26" s="36"/>
      <c r="W26" s="36"/>
    </row>
    <row r="27" spans="1:23" ht="15.45" hidden="1" x14ac:dyDescent="0.4">
      <c r="A27" s="19" t="s">
        <v>98</v>
      </c>
      <c r="B27" s="9">
        <v>45764</v>
      </c>
      <c r="C27" s="14" t="s">
        <v>1424</v>
      </c>
      <c r="D27" s="10" t="s">
        <v>1385</v>
      </c>
      <c r="E27" s="9">
        <v>45762</v>
      </c>
      <c r="F27" s="10" t="s">
        <v>84</v>
      </c>
      <c r="G27" s="10" t="s">
        <v>89</v>
      </c>
      <c r="H27" s="10" t="s">
        <v>25</v>
      </c>
      <c r="I27" s="10" t="s">
        <v>79</v>
      </c>
      <c r="J27" s="50" t="s">
        <v>1727</v>
      </c>
      <c r="K27" s="10" t="s">
        <v>1</v>
      </c>
      <c r="L27" s="12">
        <f t="shared" si="3"/>
        <v>34450</v>
      </c>
      <c r="M27" s="12">
        <v>1535</v>
      </c>
      <c r="N27" s="12">
        <v>0</v>
      </c>
      <c r="O27" s="11">
        <v>52880750</v>
      </c>
      <c r="P27" s="11">
        <f t="shared" si="1"/>
        <v>52880750</v>
      </c>
      <c r="Q27" s="11">
        <v>5816882.5</v>
      </c>
      <c r="R27" s="11">
        <f t="shared" si="4"/>
        <v>793211.25</v>
      </c>
      <c r="S27" s="11">
        <v>0</v>
      </c>
      <c r="T27" s="11">
        <f t="shared" si="5"/>
        <v>57904421.25</v>
      </c>
      <c r="U27" s="42">
        <v>34450</v>
      </c>
      <c r="V27" s="36"/>
      <c r="W27" s="36"/>
    </row>
    <row r="28" spans="1:23" ht="15.45" hidden="1" x14ac:dyDescent="0.4">
      <c r="A28" s="19" t="s">
        <v>98</v>
      </c>
      <c r="B28" s="9">
        <v>45768</v>
      </c>
      <c r="C28" s="14" t="s">
        <v>1444</v>
      </c>
      <c r="D28" s="10" t="s">
        <v>1291</v>
      </c>
      <c r="E28" s="9">
        <v>45757</v>
      </c>
      <c r="F28" s="10" t="s">
        <v>84</v>
      </c>
      <c r="G28" s="10" t="s">
        <v>175</v>
      </c>
      <c r="H28" s="10" t="s">
        <v>25</v>
      </c>
      <c r="I28" s="10" t="s">
        <v>79</v>
      </c>
      <c r="J28" s="50" t="s">
        <v>1725</v>
      </c>
      <c r="K28" s="10" t="s">
        <v>1</v>
      </c>
      <c r="L28" s="12">
        <f t="shared" si="3"/>
        <v>32680</v>
      </c>
      <c r="M28" s="12">
        <v>1250</v>
      </c>
      <c r="N28" s="12">
        <v>0</v>
      </c>
      <c r="O28" s="11">
        <v>40850000</v>
      </c>
      <c r="P28" s="11">
        <f t="shared" si="1"/>
        <v>40850000</v>
      </c>
      <c r="Q28" s="11">
        <v>4493500</v>
      </c>
      <c r="R28" s="11">
        <f t="shared" si="4"/>
        <v>612750</v>
      </c>
      <c r="S28" s="11">
        <v>0</v>
      </c>
      <c r="T28" s="11">
        <f t="shared" si="5"/>
        <v>44730750</v>
      </c>
      <c r="U28" s="42">
        <v>32680</v>
      </c>
      <c r="V28" s="36"/>
      <c r="W28" s="36"/>
    </row>
    <row r="29" spans="1:23" ht="15.45" hidden="1" x14ac:dyDescent="0.4">
      <c r="A29" s="19" t="s">
        <v>98</v>
      </c>
      <c r="B29" s="9">
        <v>45770</v>
      </c>
      <c r="C29" s="14" t="s">
        <v>1541</v>
      </c>
      <c r="D29" s="10" t="s">
        <v>1542</v>
      </c>
      <c r="E29" s="9">
        <v>45771</v>
      </c>
      <c r="F29" s="10" t="s">
        <v>84</v>
      </c>
      <c r="G29" s="10" t="s">
        <v>89</v>
      </c>
      <c r="H29" s="10" t="s">
        <v>25</v>
      </c>
      <c r="I29" s="10" t="s">
        <v>79</v>
      </c>
      <c r="J29" s="50" t="s">
        <v>1728</v>
      </c>
      <c r="K29" s="10" t="s">
        <v>1</v>
      </c>
      <c r="L29" s="12">
        <f t="shared" si="3"/>
        <v>34590</v>
      </c>
      <c r="M29" s="12">
        <v>1535</v>
      </c>
      <c r="N29" s="12">
        <v>0</v>
      </c>
      <c r="O29" s="11">
        <v>53095650</v>
      </c>
      <c r="P29" s="11">
        <f t="shared" si="1"/>
        <v>53095650</v>
      </c>
      <c r="Q29" s="11">
        <v>5840521.5</v>
      </c>
      <c r="R29" s="11">
        <f t="shared" si="4"/>
        <v>796434.75</v>
      </c>
      <c r="S29" s="11">
        <v>0</v>
      </c>
      <c r="T29" s="11">
        <f t="shared" si="5"/>
        <v>58139736.75</v>
      </c>
      <c r="U29" s="42">
        <v>34590</v>
      </c>
      <c r="V29" s="36"/>
      <c r="W29" s="36"/>
    </row>
    <row r="30" spans="1:23" ht="15.45" hidden="1" x14ac:dyDescent="0.4">
      <c r="A30" s="19" t="s">
        <v>98</v>
      </c>
      <c r="B30" s="9">
        <v>45771</v>
      </c>
      <c r="C30" s="14" t="s">
        <v>1559</v>
      </c>
      <c r="D30" s="10" t="s">
        <v>1291</v>
      </c>
      <c r="E30" s="9">
        <v>45757</v>
      </c>
      <c r="F30" s="10" t="s">
        <v>84</v>
      </c>
      <c r="G30" s="10" t="s">
        <v>175</v>
      </c>
      <c r="H30" s="10" t="s">
        <v>25</v>
      </c>
      <c r="I30" s="10" t="s">
        <v>79</v>
      </c>
      <c r="J30" s="50" t="s">
        <v>1725</v>
      </c>
      <c r="K30" s="10" t="s">
        <v>1</v>
      </c>
      <c r="L30" s="12">
        <f t="shared" si="3"/>
        <v>33370</v>
      </c>
      <c r="M30" s="12">
        <v>1250</v>
      </c>
      <c r="N30" s="12">
        <v>0</v>
      </c>
      <c r="O30" s="11">
        <v>41712500</v>
      </c>
      <c r="P30" s="11">
        <f t="shared" si="1"/>
        <v>41712500</v>
      </c>
      <c r="Q30" s="11">
        <v>4588375</v>
      </c>
      <c r="R30" s="11">
        <f t="shared" si="4"/>
        <v>625687.5</v>
      </c>
      <c r="S30" s="11">
        <v>0</v>
      </c>
      <c r="T30" s="11">
        <f t="shared" si="5"/>
        <v>45675187.5</v>
      </c>
      <c r="U30" s="42">
        <v>33370</v>
      </c>
      <c r="V30" s="36"/>
      <c r="W30" s="36"/>
    </row>
    <row r="31" spans="1:23" ht="15.45" hidden="1" x14ac:dyDescent="0.4">
      <c r="A31" s="19" t="s">
        <v>98</v>
      </c>
      <c r="B31" s="9">
        <v>45775</v>
      </c>
      <c r="C31" s="14" t="s">
        <v>1580</v>
      </c>
      <c r="D31" s="10" t="s">
        <v>1291</v>
      </c>
      <c r="E31" s="9">
        <v>45757</v>
      </c>
      <c r="F31" s="10" t="s">
        <v>84</v>
      </c>
      <c r="G31" s="10" t="s">
        <v>175</v>
      </c>
      <c r="H31" s="10" t="s">
        <v>25</v>
      </c>
      <c r="I31" s="10" t="s">
        <v>79</v>
      </c>
      <c r="J31" s="50" t="s">
        <v>1725</v>
      </c>
      <c r="K31" s="10" t="s">
        <v>1</v>
      </c>
      <c r="L31" s="12">
        <f t="shared" si="3"/>
        <v>28040</v>
      </c>
      <c r="M31" s="12">
        <v>1250</v>
      </c>
      <c r="N31" s="12">
        <v>0</v>
      </c>
      <c r="O31" s="11">
        <v>35050000</v>
      </c>
      <c r="P31" s="11">
        <f t="shared" si="1"/>
        <v>35050000</v>
      </c>
      <c r="Q31" s="11">
        <v>3855500</v>
      </c>
      <c r="R31" s="11">
        <f t="shared" si="4"/>
        <v>525750</v>
      </c>
      <c r="S31" s="11">
        <v>0</v>
      </c>
      <c r="T31" s="11">
        <f t="shared" si="5"/>
        <v>38379750</v>
      </c>
      <c r="U31" s="42">
        <v>28040</v>
      </c>
      <c r="V31" s="36"/>
      <c r="W31" s="36"/>
    </row>
    <row r="32" spans="1:23" ht="15.45" hidden="1" x14ac:dyDescent="0.4">
      <c r="A32" s="19" t="s">
        <v>99</v>
      </c>
      <c r="B32" s="9">
        <v>45758</v>
      </c>
      <c r="C32" s="14" t="s">
        <v>1324</v>
      </c>
      <c r="D32" s="10" t="s">
        <v>1325</v>
      </c>
      <c r="E32" s="9">
        <v>45757</v>
      </c>
      <c r="F32" s="10" t="s">
        <v>64</v>
      </c>
      <c r="G32" s="10" t="s">
        <v>126</v>
      </c>
      <c r="H32" s="10" t="s">
        <v>23</v>
      </c>
      <c r="I32" s="10" t="s">
        <v>887</v>
      </c>
      <c r="J32" s="50" t="s">
        <v>1497</v>
      </c>
      <c r="K32" s="10" t="s">
        <v>0</v>
      </c>
      <c r="L32" s="12">
        <f t="shared" si="3"/>
        <v>300</v>
      </c>
      <c r="M32" s="12">
        <v>13180</v>
      </c>
      <c r="N32" s="12">
        <v>0</v>
      </c>
      <c r="O32" s="11">
        <v>3954000</v>
      </c>
      <c r="P32" s="11">
        <f t="shared" si="1"/>
        <v>3954000</v>
      </c>
      <c r="Q32" s="11">
        <v>434940</v>
      </c>
      <c r="R32" s="11"/>
      <c r="S32" s="11">
        <v>0</v>
      </c>
      <c r="T32" s="11">
        <f>P32+Q32-S32</f>
        <v>4388940</v>
      </c>
      <c r="U32" s="42">
        <v>300</v>
      </c>
    </row>
    <row r="33" spans="1:23" s="36" customFormat="1" ht="15.45" hidden="1" x14ac:dyDescent="0.4">
      <c r="A33" s="19" t="s">
        <v>99</v>
      </c>
      <c r="B33" s="9">
        <v>45758</v>
      </c>
      <c r="C33" s="14" t="s">
        <v>1326</v>
      </c>
      <c r="D33" s="10" t="s">
        <v>1327</v>
      </c>
      <c r="E33" s="9">
        <v>45757</v>
      </c>
      <c r="F33" s="10" t="s">
        <v>64</v>
      </c>
      <c r="G33" s="10" t="s">
        <v>238</v>
      </c>
      <c r="H33" s="10" t="s">
        <v>23</v>
      </c>
      <c r="I33" s="10" t="s">
        <v>887</v>
      </c>
      <c r="J33" s="50" t="s">
        <v>1498</v>
      </c>
      <c r="K33" s="10" t="s">
        <v>1</v>
      </c>
      <c r="L33" s="12">
        <f t="shared" si="3"/>
        <v>300</v>
      </c>
      <c r="M33" s="12">
        <v>33000</v>
      </c>
      <c r="N33" s="12">
        <v>0</v>
      </c>
      <c r="O33" s="11">
        <v>9900000</v>
      </c>
      <c r="P33" s="11">
        <f t="shared" si="1"/>
        <v>9900000</v>
      </c>
      <c r="Q33" s="11">
        <v>1089000</v>
      </c>
      <c r="R33" s="11"/>
      <c r="S33" s="11">
        <v>0</v>
      </c>
      <c r="T33" s="11">
        <f>P33+Q33-S33</f>
        <v>10989000</v>
      </c>
      <c r="U33" s="42">
        <v>300</v>
      </c>
      <c r="V33"/>
      <c r="W33"/>
    </row>
    <row r="34" spans="1:23" s="36" customFormat="1" ht="15.45" hidden="1" x14ac:dyDescent="0.35">
      <c r="A34" s="19" t="s">
        <v>99</v>
      </c>
      <c r="B34" s="9">
        <v>45772</v>
      </c>
      <c r="C34" s="14" t="s">
        <v>1569</v>
      </c>
      <c r="D34" s="10" t="s">
        <v>1570</v>
      </c>
      <c r="E34" s="9">
        <v>45771</v>
      </c>
      <c r="F34" s="10" t="s">
        <v>64</v>
      </c>
      <c r="G34" s="10" t="s">
        <v>237</v>
      </c>
      <c r="H34" s="10" t="s">
        <v>23</v>
      </c>
      <c r="I34" s="10" t="s">
        <v>887</v>
      </c>
      <c r="J34" s="50" t="s">
        <v>1640</v>
      </c>
      <c r="K34" s="10" t="s">
        <v>1</v>
      </c>
      <c r="L34" s="12">
        <f t="shared" si="3"/>
        <v>300</v>
      </c>
      <c r="M34" s="12">
        <v>47500</v>
      </c>
      <c r="N34" s="12">
        <v>0</v>
      </c>
      <c r="O34" s="11">
        <v>14250000</v>
      </c>
      <c r="P34" s="11">
        <f t="shared" si="1"/>
        <v>14250000</v>
      </c>
      <c r="Q34" s="11">
        <v>1567500</v>
      </c>
      <c r="R34" s="11"/>
      <c r="S34" s="11">
        <v>0</v>
      </c>
      <c r="T34" s="11">
        <f>P34+Q34-S34</f>
        <v>15817500</v>
      </c>
      <c r="U34" s="42">
        <v>300</v>
      </c>
    </row>
    <row r="35" spans="1:23" s="36" customFormat="1" ht="15.45" hidden="1" x14ac:dyDescent="0.35">
      <c r="A35" s="19" t="s">
        <v>99</v>
      </c>
      <c r="B35" s="9">
        <v>45776</v>
      </c>
      <c r="C35" s="14" t="s">
        <v>1582</v>
      </c>
      <c r="D35" s="10" t="s">
        <v>1583</v>
      </c>
      <c r="E35" s="9">
        <v>45773</v>
      </c>
      <c r="F35" s="10" t="s">
        <v>64</v>
      </c>
      <c r="G35" s="10" t="s">
        <v>43</v>
      </c>
      <c r="H35" s="10" t="s">
        <v>23</v>
      </c>
      <c r="I35" s="10" t="s">
        <v>887</v>
      </c>
      <c r="J35" s="50" t="s">
        <v>1641</v>
      </c>
      <c r="K35" s="10" t="s">
        <v>0</v>
      </c>
      <c r="L35" s="12">
        <f t="shared" si="3"/>
        <v>1</v>
      </c>
      <c r="M35" s="12">
        <v>1500000</v>
      </c>
      <c r="N35" s="12">
        <v>0</v>
      </c>
      <c r="O35" s="11">
        <v>1500000</v>
      </c>
      <c r="P35" s="11">
        <f t="shared" si="1"/>
        <v>1500000</v>
      </c>
      <c r="Q35" s="11">
        <v>165000</v>
      </c>
      <c r="R35" s="11"/>
      <c r="S35" s="11">
        <v>0</v>
      </c>
      <c r="T35" s="11">
        <f>P35+Q35-S35</f>
        <v>1665000</v>
      </c>
      <c r="U35" s="42">
        <v>1</v>
      </c>
    </row>
    <row r="36" spans="1:23" s="76" customFormat="1" ht="15.45" hidden="1" x14ac:dyDescent="0.35">
      <c r="A36" s="66" t="s">
        <v>118</v>
      </c>
      <c r="B36" s="67">
        <v>45756</v>
      </c>
      <c r="C36" s="68" t="s">
        <v>1793</v>
      </c>
      <c r="D36" s="69"/>
      <c r="E36" s="67"/>
      <c r="F36" s="69" t="s">
        <v>217</v>
      </c>
      <c r="G36" s="69" t="s">
        <v>1792</v>
      </c>
      <c r="H36" s="69" t="s">
        <v>119</v>
      </c>
      <c r="I36" s="69" t="s">
        <v>120</v>
      </c>
      <c r="J36" s="70"/>
      <c r="K36" s="69" t="s">
        <v>135</v>
      </c>
      <c r="L36" s="71">
        <v>4708</v>
      </c>
      <c r="M36" s="71">
        <v>8500</v>
      </c>
      <c r="N36" s="71"/>
      <c r="O36" s="72">
        <f>L36*M36</f>
        <v>40018000</v>
      </c>
      <c r="P36" s="72">
        <f t="shared" si="1"/>
        <v>40018000</v>
      </c>
      <c r="Q36" s="73">
        <v>0</v>
      </c>
      <c r="R36" s="72"/>
      <c r="S36" s="72"/>
      <c r="T36" s="72">
        <f>P36</f>
        <v>40018000</v>
      </c>
      <c r="U36" s="74"/>
      <c r="V36" s="75"/>
      <c r="W36" s="75"/>
    </row>
    <row r="37" spans="1:23" s="36" customFormat="1" ht="15.45" hidden="1" x14ac:dyDescent="0.35">
      <c r="A37" s="19" t="s">
        <v>100</v>
      </c>
      <c r="B37" s="9">
        <v>45762</v>
      </c>
      <c r="C37" s="14" t="s">
        <v>1378</v>
      </c>
      <c r="D37" s="10" t="s">
        <v>1379</v>
      </c>
      <c r="E37" s="9">
        <v>45762</v>
      </c>
      <c r="F37" s="10" t="s">
        <v>56</v>
      </c>
      <c r="G37" s="10" t="s">
        <v>1380</v>
      </c>
      <c r="H37" s="10" t="s">
        <v>27</v>
      </c>
      <c r="I37" s="10" t="s">
        <v>69</v>
      </c>
      <c r="J37" s="10"/>
      <c r="K37" s="10" t="s">
        <v>1381</v>
      </c>
      <c r="L37" s="12">
        <f t="shared" ref="L37:L68" si="6">IF(LEFT(C37,2)="RP",U37*-1,U37)</f>
        <v>2</v>
      </c>
      <c r="M37" s="12">
        <v>56000</v>
      </c>
      <c r="N37" s="12">
        <v>0</v>
      </c>
      <c r="O37" s="11">
        <v>112000</v>
      </c>
      <c r="P37" s="11">
        <f t="shared" si="1"/>
        <v>112000</v>
      </c>
      <c r="Q37" s="11">
        <v>0</v>
      </c>
      <c r="R37" s="11"/>
      <c r="S37" s="11">
        <v>0</v>
      </c>
      <c r="T37" s="11">
        <f t="shared" ref="T37:T68" si="7">P37+Q37-S37</f>
        <v>112000</v>
      </c>
      <c r="U37" s="42">
        <v>2</v>
      </c>
    </row>
    <row r="38" spans="1:23" s="36" customFormat="1" ht="15.45" hidden="1" x14ac:dyDescent="0.35">
      <c r="A38" s="19" t="s">
        <v>100</v>
      </c>
      <c r="B38" s="9">
        <v>45762</v>
      </c>
      <c r="C38" s="14" t="s">
        <v>1378</v>
      </c>
      <c r="D38" s="10" t="s">
        <v>1379</v>
      </c>
      <c r="E38" s="9">
        <v>45762</v>
      </c>
      <c r="F38" s="10" t="s">
        <v>56</v>
      </c>
      <c r="G38" s="10" t="s">
        <v>185</v>
      </c>
      <c r="H38" s="10" t="s">
        <v>27</v>
      </c>
      <c r="I38" s="10" t="s">
        <v>69</v>
      </c>
      <c r="J38" s="10"/>
      <c r="K38" s="10" t="s">
        <v>145</v>
      </c>
      <c r="L38" s="12">
        <f t="shared" si="6"/>
        <v>1000</v>
      </c>
      <c r="M38" s="12">
        <v>750</v>
      </c>
      <c r="N38" s="12">
        <v>0</v>
      </c>
      <c r="O38" s="11">
        <v>750000</v>
      </c>
      <c r="P38" s="11">
        <f t="shared" si="1"/>
        <v>750000</v>
      </c>
      <c r="Q38" s="11">
        <v>0</v>
      </c>
      <c r="R38" s="11"/>
      <c r="S38" s="11">
        <v>0</v>
      </c>
      <c r="T38" s="11">
        <f t="shared" si="7"/>
        <v>750000</v>
      </c>
      <c r="U38" s="42">
        <v>1000</v>
      </c>
    </row>
    <row r="39" spans="1:23" s="36" customFormat="1" ht="15.45" hidden="1" x14ac:dyDescent="0.4">
      <c r="A39" s="19" t="s">
        <v>132</v>
      </c>
      <c r="B39" s="9">
        <v>45756</v>
      </c>
      <c r="C39" s="14" t="s">
        <v>1288</v>
      </c>
      <c r="D39" s="10" t="s">
        <v>1289</v>
      </c>
      <c r="E39" s="9">
        <v>45757</v>
      </c>
      <c r="F39" s="10" t="s">
        <v>129</v>
      </c>
      <c r="G39" s="10" t="s">
        <v>634</v>
      </c>
      <c r="H39" s="10" t="s">
        <v>24</v>
      </c>
      <c r="I39" s="10" t="s">
        <v>61</v>
      </c>
      <c r="J39" s="10"/>
      <c r="K39" s="10" t="s">
        <v>6</v>
      </c>
      <c r="L39" s="12">
        <f t="shared" si="6"/>
        <v>50</v>
      </c>
      <c r="M39" s="12">
        <v>13000</v>
      </c>
      <c r="N39" s="12">
        <v>0</v>
      </c>
      <c r="O39" s="11">
        <v>650000</v>
      </c>
      <c r="P39" s="11">
        <f t="shared" si="1"/>
        <v>650000</v>
      </c>
      <c r="Q39" s="11">
        <v>0</v>
      </c>
      <c r="R39" s="11"/>
      <c r="S39" s="11">
        <v>0</v>
      </c>
      <c r="T39" s="11">
        <f t="shared" si="7"/>
        <v>650000</v>
      </c>
      <c r="U39" s="42">
        <v>50</v>
      </c>
      <c r="V39"/>
      <c r="W39"/>
    </row>
    <row r="40" spans="1:23" s="36" customFormat="1" ht="15.45" hidden="1" x14ac:dyDescent="0.4">
      <c r="A40" s="19" t="s">
        <v>132</v>
      </c>
      <c r="B40" s="9">
        <v>45757</v>
      </c>
      <c r="C40" s="14" t="s">
        <v>1300</v>
      </c>
      <c r="D40" s="10" t="s">
        <v>1301</v>
      </c>
      <c r="E40" s="9">
        <v>45757</v>
      </c>
      <c r="F40" s="10" t="s">
        <v>129</v>
      </c>
      <c r="G40" s="10" t="s">
        <v>1302</v>
      </c>
      <c r="H40" s="10" t="s">
        <v>24</v>
      </c>
      <c r="I40" s="10" t="s">
        <v>61</v>
      </c>
      <c r="J40" s="10"/>
      <c r="K40" s="10" t="s">
        <v>6</v>
      </c>
      <c r="L40" s="12">
        <f t="shared" si="6"/>
        <v>50</v>
      </c>
      <c r="M40" s="12">
        <v>6100</v>
      </c>
      <c r="N40" s="12">
        <v>0</v>
      </c>
      <c r="O40" s="11">
        <v>305000</v>
      </c>
      <c r="P40" s="11">
        <f t="shared" ref="P40:P71" si="8">O40</f>
        <v>305000</v>
      </c>
      <c r="Q40" s="11">
        <v>0</v>
      </c>
      <c r="R40" s="11"/>
      <c r="S40" s="11">
        <v>0</v>
      </c>
      <c r="T40" s="11">
        <f t="shared" si="7"/>
        <v>305000</v>
      </c>
      <c r="U40" s="42">
        <v>50</v>
      </c>
      <c r="V40"/>
      <c r="W40"/>
    </row>
    <row r="41" spans="1:23" s="36" customFormat="1" ht="15.45" hidden="1" x14ac:dyDescent="0.4">
      <c r="A41" s="19" t="s">
        <v>132</v>
      </c>
      <c r="B41" s="9">
        <v>45757</v>
      </c>
      <c r="C41" s="14" t="s">
        <v>1300</v>
      </c>
      <c r="D41" s="10" t="s">
        <v>1301</v>
      </c>
      <c r="E41" s="9">
        <v>45757</v>
      </c>
      <c r="F41" s="10" t="s">
        <v>129</v>
      </c>
      <c r="G41" s="10" t="s">
        <v>1303</v>
      </c>
      <c r="H41" s="10" t="s">
        <v>24</v>
      </c>
      <c r="I41" s="10" t="s">
        <v>61</v>
      </c>
      <c r="J41" s="10"/>
      <c r="K41" s="10" t="s">
        <v>10</v>
      </c>
      <c r="L41" s="12">
        <f t="shared" si="6"/>
        <v>100</v>
      </c>
      <c r="M41" s="12">
        <v>1700</v>
      </c>
      <c r="N41" s="12">
        <v>0</v>
      </c>
      <c r="O41" s="11">
        <v>170000</v>
      </c>
      <c r="P41" s="11">
        <f t="shared" si="8"/>
        <v>170000</v>
      </c>
      <c r="Q41" s="11">
        <v>0</v>
      </c>
      <c r="R41" s="11"/>
      <c r="S41" s="11">
        <v>0</v>
      </c>
      <c r="T41" s="11">
        <f t="shared" si="7"/>
        <v>170000</v>
      </c>
      <c r="U41" s="42">
        <v>100</v>
      </c>
      <c r="V41"/>
      <c r="W41"/>
    </row>
    <row r="42" spans="1:23" s="36" customFormat="1" ht="15.45" hidden="1" x14ac:dyDescent="0.4">
      <c r="A42" s="19" t="s">
        <v>132</v>
      </c>
      <c r="B42" s="9">
        <v>45757</v>
      </c>
      <c r="C42" s="14" t="s">
        <v>1300</v>
      </c>
      <c r="D42" s="10" t="s">
        <v>1301</v>
      </c>
      <c r="E42" s="9">
        <v>45757</v>
      </c>
      <c r="F42" s="10" t="s">
        <v>129</v>
      </c>
      <c r="G42" s="10" t="s">
        <v>547</v>
      </c>
      <c r="H42" s="10" t="s">
        <v>24</v>
      </c>
      <c r="I42" s="10" t="s">
        <v>61</v>
      </c>
      <c r="J42" s="10"/>
      <c r="K42" s="10" t="s">
        <v>6</v>
      </c>
      <c r="L42" s="12">
        <f t="shared" si="6"/>
        <v>10</v>
      </c>
      <c r="M42" s="12">
        <v>8500</v>
      </c>
      <c r="N42" s="12">
        <v>0</v>
      </c>
      <c r="O42" s="11">
        <v>85000</v>
      </c>
      <c r="P42" s="11">
        <f t="shared" si="8"/>
        <v>85000</v>
      </c>
      <c r="Q42" s="11">
        <v>0</v>
      </c>
      <c r="R42" s="11"/>
      <c r="S42" s="11">
        <v>0</v>
      </c>
      <c r="T42" s="11">
        <f t="shared" si="7"/>
        <v>85000</v>
      </c>
      <c r="U42" s="42">
        <v>10</v>
      </c>
      <c r="V42"/>
      <c r="W42"/>
    </row>
    <row r="43" spans="1:23" s="36" customFormat="1" ht="15.45" hidden="1" x14ac:dyDescent="0.4">
      <c r="A43" s="19" t="s">
        <v>132</v>
      </c>
      <c r="B43" s="9">
        <v>45757</v>
      </c>
      <c r="C43" s="14" t="s">
        <v>1300</v>
      </c>
      <c r="D43" s="10" t="s">
        <v>1301</v>
      </c>
      <c r="E43" s="9">
        <v>45757</v>
      </c>
      <c r="F43" s="10" t="s">
        <v>129</v>
      </c>
      <c r="G43" s="10" t="s">
        <v>174</v>
      </c>
      <c r="H43" s="10" t="s">
        <v>24</v>
      </c>
      <c r="I43" s="10" t="s">
        <v>61</v>
      </c>
      <c r="J43" s="10"/>
      <c r="K43" s="10" t="s">
        <v>6</v>
      </c>
      <c r="L43" s="12">
        <f t="shared" si="6"/>
        <v>10</v>
      </c>
      <c r="M43" s="12">
        <v>10000</v>
      </c>
      <c r="N43" s="12">
        <v>0</v>
      </c>
      <c r="O43" s="11">
        <v>100000</v>
      </c>
      <c r="P43" s="11">
        <f t="shared" si="8"/>
        <v>100000</v>
      </c>
      <c r="Q43" s="11">
        <v>0</v>
      </c>
      <c r="R43" s="11"/>
      <c r="S43" s="11">
        <v>0</v>
      </c>
      <c r="T43" s="11">
        <f t="shared" si="7"/>
        <v>100000</v>
      </c>
      <c r="U43" s="42">
        <v>10</v>
      </c>
      <c r="V43"/>
      <c r="W43"/>
    </row>
    <row r="44" spans="1:23" s="36" customFormat="1" ht="15.45" hidden="1" x14ac:dyDescent="0.4">
      <c r="A44" s="19" t="s">
        <v>132</v>
      </c>
      <c r="B44" s="9">
        <v>45757</v>
      </c>
      <c r="C44" s="14" t="s">
        <v>1300</v>
      </c>
      <c r="D44" s="10" t="s">
        <v>1301</v>
      </c>
      <c r="E44" s="9">
        <v>45757</v>
      </c>
      <c r="F44" s="10" t="s">
        <v>129</v>
      </c>
      <c r="G44" s="10" t="s">
        <v>1304</v>
      </c>
      <c r="H44" s="10" t="s">
        <v>24</v>
      </c>
      <c r="I44" s="10" t="s">
        <v>61</v>
      </c>
      <c r="J44" s="10"/>
      <c r="K44" s="10" t="s">
        <v>10</v>
      </c>
      <c r="L44" s="12">
        <f t="shared" si="6"/>
        <v>100</v>
      </c>
      <c r="M44" s="12">
        <v>1470</v>
      </c>
      <c r="N44" s="12">
        <v>0</v>
      </c>
      <c r="O44" s="11">
        <v>147000</v>
      </c>
      <c r="P44" s="11">
        <f t="shared" si="8"/>
        <v>147000</v>
      </c>
      <c r="Q44" s="11">
        <v>0</v>
      </c>
      <c r="R44" s="11"/>
      <c r="S44" s="11">
        <v>0</v>
      </c>
      <c r="T44" s="11">
        <f t="shared" si="7"/>
        <v>147000</v>
      </c>
      <c r="U44" s="42">
        <v>100</v>
      </c>
      <c r="V44"/>
      <c r="W44"/>
    </row>
    <row r="45" spans="1:23" s="36" customFormat="1" ht="15.45" hidden="1" x14ac:dyDescent="0.35">
      <c r="A45" s="19" t="s">
        <v>132</v>
      </c>
      <c r="B45" s="9">
        <v>45764</v>
      </c>
      <c r="C45" s="14" t="s">
        <v>1397</v>
      </c>
      <c r="D45" s="10" t="s">
        <v>1398</v>
      </c>
      <c r="E45" s="9">
        <v>45764</v>
      </c>
      <c r="F45" s="10" t="s">
        <v>129</v>
      </c>
      <c r="G45" s="10" t="s">
        <v>1399</v>
      </c>
      <c r="H45" s="10" t="s">
        <v>24</v>
      </c>
      <c r="I45" s="10" t="s">
        <v>61</v>
      </c>
      <c r="J45" s="10"/>
      <c r="K45" s="10" t="s">
        <v>6</v>
      </c>
      <c r="L45" s="12">
        <f t="shared" si="6"/>
        <v>5</v>
      </c>
      <c r="M45" s="12">
        <v>4500</v>
      </c>
      <c r="N45" s="12">
        <v>0</v>
      </c>
      <c r="O45" s="11">
        <v>22500</v>
      </c>
      <c r="P45" s="11">
        <f t="shared" si="8"/>
        <v>22500</v>
      </c>
      <c r="Q45" s="11">
        <v>0</v>
      </c>
      <c r="R45" s="11"/>
      <c r="S45" s="11">
        <v>0</v>
      </c>
      <c r="T45" s="11">
        <f t="shared" si="7"/>
        <v>22500</v>
      </c>
      <c r="U45" s="42">
        <v>5</v>
      </c>
    </row>
    <row r="46" spans="1:23" s="36" customFormat="1" ht="15.45" hidden="1" x14ac:dyDescent="0.35">
      <c r="A46" s="19" t="s">
        <v>132</v>
      </c>
      <c r="B46" s="9">
        <v>45764</v>
      </c>
      <c r="C46" s="14" t="s">
        <v>1397</v>
      </c>
      <c r="D46" s="10" t="s">
        <v>1398</v>
      </c>
      <c r="E46" s="9">
        <v>45764</v>
      </c>
      <c r="F46" s="10" t="s">
        <v>129</v>
      </c>
      <c r="G46" s="10" t="s">
        <v>1013</v>
      </c>
      <c r="H46" s="10" t="s">
        <v>24</v>
      </c>
      <c r="I46" s="10" t="s">
        <v>61</v>
      </c>
      <c r="J46" s="10"/>
      <c r="K46" s="10" t="s">
        <v>6</v>
      </c>
      <c r="L46" s="12">
        <f t="shared" si="6"/>
        <v>10</v>
      </c>
      <c r="M46" s="12">
        <v>8500</v>
      </c>
      <c r="N46" s="12">
        <v>0</v>
      </c>
      <c r="O46" s="11">
        <v>85000</v>
      </c>
      <c r="P46" s="11">
        <f t="shared" si="8"/>
        <v>85000</v>
      </c>
      <c r="Q46" s="11">
        <v>0</v>
      </c>
      <c r="R46" s="11"/>
      <c r="S46" s="11">
        <v>0</v>
      </c>
      <c r="T46" s="11">
        <f t="shared" si="7"/>
        <v>85000</v>
      </c>
      <c r="U46" s="42">
        <v>10</v>
      </c>
    </row>
    <row r="47" spans="1:23" s="36" customFormat="1" ht="15.45" hidden="1" x14ac:dyDescent="0.35">
      <c r="A47" s="19" t="s">
        <v>132</v>
      </c>
      <c r="B47" s="9">
        <v>45764</v>
      </c>
      <c r="C47" s="14" t="s">
        <v>1397</v>
      </c>
      <c r="D47" s="10" t="s">
        <v>1398</v>
      </c>
      <c r="E47" s="9">
        <v>45764</v>
      </c>
      <c r="F47" s="10" t="s">
        <v>129</v>
      </c>
      <c r="G47" s="10" t="s">
        <v>1400</v>
      </c>
      <c r="H47" s="10" t="s">
        <v>24</v>
      </c>
      <c r="I47" s="10" t="s">
        <v>61</v>
      </c>
      <c r="J47" s="10"/>
      <c r="K47" s="10" t="s">
        <v>10</v>
      </c>
      <c r="L47" s="12">
        <f t="shared" si="6"/>
        <v>5</v>
      </c>
      <c r="M47" s="12">
        <v>8500</v>
      </c>
      <c r="N47" s="12">
        <v>0</v>
      </c>
      <c r="O47" s="11">
        <v>42500</v>
      </c>
      <c r="P47" s="11">
        <f t="shared" si="8"/>
        <v>42500</v>
      </c>
      <c r="Q47" s="11">
        <v>0</v>
      </c>
      <c r="R47" s="11"/>
      <c r="S47" s="11">
        <v>0</v>
      </c>
      <c r="T47" s="11">
        <f t="shared" si="7"/>
        <v>42500</v>
      </c>
      <c r="U47" s="42">
        <v>5</v>
      </c>
    </row>
    <row r="48" spans="1:23" s="36" customFormat="1" ht="15.45" hidden="1" x14ac:dyDescent="0.35">
      <c r="A48" s="19" t="s">
        <v>132</v>
      </c>
      <c r="B48" s="9">
        <v>45764</v>
      </c>
      <c r="C48" s="14" t="s">
        <v>1397</v>
      </c>
      <c r="D48" s="10" t="s">
        <v>1398</v>
      </c>
      <c r="E48" s="9">
        <v>45764</v>
      </c>
      <c r="F48" s="10" t="s">
        <v>129</v>
      </c>
      <c r="G48" s="10" t="s">
        <v>90</v>
      </c>
      <c r="H48" s="10" t="s">
        <v>24</v>
      </c>
      <c r="I48" s="10" t="s">
        <v>61</v>
      </c>
      <c r="J48" s="10"/>
      <c r="K48" s="10" t="s">
        <v>6</v>
      </c>
      <c r="L48" s="12">
        <f t="shared" si="6"/>
        <v>40</v>
      </c>
      <c r="M48" s="12">
        <v>3250</v>
      </c>
      <c r="N48" s="12">
        <v>0</v>
      </c>
      <c r="O48" s="11">
        <v>130000</v>
      </c>
      <c r="P48" s="11">
        <f t="shared" si="8"/>
        <v>130000</v>
      </c>
      <c r="Q48" s="11">
        <v>0</v>
      </c>
      <c r="R48" s="11"/>
      <c r="S48" s="11">
        <v>0</v>
      </c>
      <c r="T48" s="11">
        <f t="shared" si="7"/>
        <v>130000</v>
      </c>
      <c r="U48" s="42">
        <v>40</v>
      </c>
    </row>
    <row r="49" spans="1:23" s="36" customFormat="1" ht="15.45" hidden="1" x14ac:dyDescent="0.35">
      <c r="A49" s="19" t="s">
        <v>132</v>
      </c>
      <c r="B49" s="9">
        <v>45764</v>
      </c>
      <c r="C49" s="14" t="s">
        <v>1397</v>
      </c>
      <c r="D49" s="10" t="s">
        <v>1398</v>
      </c>
      <c r="E49" s="9">
        <v>45764</v>
      </c>
      <c r="F49" s="10" t="s">
        <v>129</v>
      </c>
      <c r="G49" s="10" t="s">
        <v>1401</v>
      </c>
      <c r="H49" s="10" t="s">
        <v>24</v>
      </c>
      <c r="I49" s="10" t="s">
        <v>61</v>
      </c>
      <c r="J49" s="10"/>
      <c r="K49" s="10" t="s">
        <v>10</v>
      </c>
      <c r="L49" s="12">
        <f t="shared" si="6"/>
        <v>5</v>
      </c>
      <c r="M49" s="12">
        <v>12500</v>
      </c>
      <c r="N49" s="12">
        <v>0</v>
      </c>
      <c r="O49" s="11">
        <v>62500</v>
      </c>
      <c r="P49" s="11">
        <f t="shared" si="8"/>
        <v>62500</v>
      </c>
      <c r="Q49" s="11">
        <v>0</v>
      </c>
      <c r="R49" s="11"/>
      <c r="S49" s="11">
        <v>0</v>
      </c>
      <c r="T49" s="11">
        <f t="shared" si="7"/>
        <v>62500</v>
      </c>
      <c r="U49" s="42">
        <v>5</v>
      </c>
    </row>
    <row r="50" spans="1:23" s="36" customFormat="1" ht="15.45" hidden="1" x14ac:dyDescent="0.35">
      <c r="A50" s="19" t="s">
        <v>132</v>
      </c>
      <c r="B50" s="9">
        <v>45771</v>
      </c>
      <c r="C50" s="14" t="s">
        <v>1547</v>
      </c>
      <c r="D50" s="10" t="s">
        <v>1548</v>
      </c>
      <c r="E50" s="9">
        <v>45771</v>
      </c>
      <c r="F50" s="10" t="s">
        <v>129</v>
      </c>
      <c r="G50" s="10" t="s">
        <v>1549</v>
      </c>
      <c r="H50" s="10" t="s">
        <v>24</v>
      </c>
      <c r="I50" s="10" t="s">
        <v>61</v>
      </c>
      <c r="J50" s="10"/>
      <c r="K50" s="10" t="s">
        <v>6</v>
      </c>
      <c r="L50" s="12">
        <f t="shared" si="6"/>
        <v>3</v>
      </c>
      <c r="M50" s="12">
        <v>31000</v>
      </c>
      <c r="N50" s="12">
        <v>0</v>
      </c>
      <c r="O50" s="11">
        <v>93000</v>
      </c>
      <c r="P50" s="11">
        <f t="shared" si="8"/>
        <v>93000</v>
      </c>
      <c r="Q50" s="11">
        <v>0</v>
      </c>
      <c r="R50" s="11"/>
      <c r="S50" s="11">
        <v>0</v>
      </c>
      <c r="T50" s="11">
        <f t="shared" si="7"/>
        <v>93000</v>
      </c>
      <c r="U50" s="42">
        <v>3</v>
      </c>
    </row>
    <row r="51" spans="1:23" s="36" customFormat="1" ht="15.45" hidden="1" x14ac:dyDescent="0.35">
      <c r="A51" s="19" t="s">
        <v>132</v>
      </c>
      <c r="B51" s="9">
        <v>45771</v>
      </c>
      <c r="C51" s="14" t="s">
        <v>1547</v>
      </c>
      <c r="D51" s="10" t="s">
        <v>1548</v>
      </c>
      <c r="E51" s="9">
        <v>45771</v>
      </c>
      <c r="F51" s="10" t="s">
        <v>129</v>
      </c>
      <c r="G51" s="10" t="s">
        <v>1550</v>
      </c>
      <c r="H51" s="10" t="s">
        <v>24</v>
      </c>
      <c r="I51" s="10" t="s">
        <v>61</v>
      </c>
      <c r="J51" s="10"/>
      <c r="K51" s="10" t="s">
        <v>6</v>
      </c>
      <c r="L51" s="12">
        <f t="shared" si="6"/>
        <v>3</v>
      </c>
      <c r="M51" s="12">
        <v>35000</v>
      </c>
      <c r="N51" s="12">
        <v>0</v>
      </c>
      <c r="O51" s="11">
        <v>105000</v>
      </c>
      <c r="P51" s="11">
        <f t="shared" si="8"/>
        <v>105000</v>
      </c>
      <c r="Q51" s="11">
        <v>0</v>
      </c>
      <c r="R51" s="11"/>
      <c r="S51" s="11">
        <v>0</v>
      </c>
      <c r="T51" s="11">
        <f t="shared" si="7"/>
        <v>105000</v>
      </c>
      <c r="U51" s="42">
        <v>3</v>
      </c>
    </row>
    <row r="52" spans="1:23" s="36" customFormat="1" ht="15.45" hidden="1" x14ac:dyDescent="0.35">
      <c r="A52" s="19" t="s">
        <v>132</v>
      </c>
      <c r="B52" s="9">
        <v>45771</v>
      </c>
      <c r="C52" s="14" t="s">
        <v>1547</v>
      </c>
      <c r="D52" s="10" t="s">
        <v>1548</v>
      </c>
      <c r="E52" s="9">
        <v>45771</v>
      </c>
      <c r="F52" s="10" t="s">
        <v>129</v>
      </c>
      <c r="G52" s="10" t="s">
        <v>1551</v>
      </c>
      <c r="H52" s="10" t="s">
        <v>24</v>
      </c>
      <c r="I52" s="10" t="s">
        <v>61</v>
      </c>
      <c r="J52" s="10"/>
      <c r="K52" s="10" t="s">
        <v>6</v>
      </c>
      <c r="L52" s="12">
        <f t="shared" si="6"/>
        <v>50</v>
      </c>
      <c r="M52" s="12">
        <v>900</v>
      </c>
      <c r="N52" s="12">
        <v>0</v>
      </c>
      <c r="O52" s="11">
        <v>45000</v>
      </c>
      <c r="P52" s="11">
        <f t="shared" si="8"/>
        <v>45000</v>
      </c>
      <c r="Q52" s="11">
        <v>0</v>
      </c>
      <c r="R52" s="11"/>
      <c r="S52" s="11">
        <v>0</v>
      </c>
      <c r="T52" s="11">
        <f t="shared" si="7"/>
        <v>45000</v>
      </c>
      <c r="U52" s="42">
        <v>50</v>
      </c>
    </row>
    <row r="53" spans="1:23" s="36" customFormat="1" ht="15.45" hidden="1" x14ac:dyDescent="0.35">
      <c r="A53" s="19" t="s">
        <v>132</v>
      </c>
      <c r="B53" s="9">
        <v>45771</v>
      </c>
      <c r="C53" s="14" t="s">
        <v>1547</v>
      </c>
      <c r="D53" s="10" t="s">
        <v>1548</v>
      </c>
      <c r="E53" s="9">
        <v>45771</v>
      </c>
      <c r="F53" s="10" t="s">
        <v>129</v>
      </c>
      <c r="G53" s="10" t="s">
        <v>1552</v>
      </c>
      <c r="H53" s="10" t="s">
        <v>24</v>
      </c>
      <c r="I53" s="10" t="s">
        <v>61</v>
      </c>
      <c r="J53" s="10"/>
      <c r="K53" s="10" t="s">
        <v>6</v>
      </c>
      <c r="L53" s="12">
        <f t="shared" si="6"/>
        <v>50</v>
      </c>
      <c r="M53" s="12">
        <v>1000</v>
      </c>
      <c r="N53" s="12">
        <v>0</v>
      </c>
      <c r="O53" s="11">
        <v>50000</v>
      </c>
      <c r="P53" s="11">
        <f t="shared" si="8"/>
        <v>50000</v>
      </c>
      <c r="Q53" s="11">
        <v>0</v>
      </c>
      <c r="R53" s="11"/>
      <c r="S53" s="11">
        <v>0</v>
      </c>
      <c r="T53" s="11">
        <f t="shared" si="7"/>
        <v>50000</v>
      </c>
      <c r="U53" s="42">
        <v>50</v>
      </c>
    </row>
    <row r="54" spans="1:23" s="36" customFormat="1" ht="15.45" hidden="1" x14ac:dyDescent="0.35">
      <c r="A54" s="19" t="s">
        <v>101</v>
      </c>
      <c r="B54" s="9">
        <v>45762</v>
      </c>
      <c r="C54" s="14" t="s">
        <v>1368</v>
      </c>
      <c r="D54" s="10" t="s">
        <v>1369</v>
      </c>
      <c r="E54" s="9">
        <v>45761</v>
      </c>
      <c r="F54" s="10" t="s">
        <v>57</v>
      </c>
      <c r="G54" s="10" t="s">
        <v>78</v>
      </c>
      <c r="H54" s="10" t="s">
        <v>23</v>
      </c>
      <c r="I54" s="10" t="s">
        <v>888</v>
      </c>
      <c r="J54" s="10"/>
      <c r="K54" s="10" t="s">
        <v>1</v>
      </c>
      <c r="L54" s="12">
        <f t="shared" si="6"/>
        <v>300</v>
      </c>
      <c r="M54" s="12">
        <v>64000</v>
      </c>
      <c r="N54" s="12">
        <v>0</v>
      </c>
      <c r="O54" s="11">
        <v>19200000</v>
      </c>
      <c r="P54" s="11">
        <f t="shared" si="8"/>
        <v>19200000</v>
      </c>
      <c r="Q54" s="11">
        <v>0</v>
      </c>
      <c r="R54" s="11"/>
      <c r="S54" s="11">
        <v>0</v>
      </c>
      <c r="T54" s="11">
        <f t="shared" si="7"/>
        <v>19200000</v>
      </c>
      <c r="U54" s="42">
        <v>300</v>
      </c>
    </row>
    <row r="55" spans="1:23" s="36" customFormat="1" ht="15.45" hidden="1" x14ac:dyDescent="0.35">
      <c r="A55" s="19" t="s">
        <v>102</v>
      </c>
      <c r="B55" s="9">
        <v>45761</v>
      </c>
      <c r="C55" s="14" t="s">
        <v>1355</v>
      </c>
      <c r="D55" s="10" t="s">
        <v>1356</v>
      </c>
      <c r="E55" s="9">
        <v>45759</v>
      </c>
      <c r="F55" s="10" t="s">
        <v>65</v>
      </c>
      <c r="G55" s="10" t="s">
        <v>48</v>
      </c>
      <c r="H55" s="10" t="s">
        <v>934</v>
      </c>
      <c r="I55" s="10" t="s">
        <v>61</v>
      </c>
      <c r="J55" s="50" t="s">
        <v>1619</v>
      </c>
      <c r="K55" s="10" t="s">
        <v>15</v>
      </c>
      <c r="L55" s="12">
        <f t="shared" si="6"/>
        <v>288</v>
      </c>
      <c r="M55" s="12">
        <v>8200</v>
      </c>
      <c r="N55" s="12">
        <v>0</v>
      </c>
      <c r="O55" s="11">
        <v>2361600</v>
      </c>
      <c r="P55" s="11">
        <f t="shared" si="8"/>
        <v>2361600</v>
      </c>
      <c r="Q55" s="11">
        <v>259776</v>
      </c>
      <c r="R55" s="11"/>
      <c r="S55" s="11">
        <v>0</v>
      </c>
      <c r="T55" s="11">
        <f t="shared" si="7"/>
        <v>2621376</v>
      </c>
      <c r="U55" s="42">
        <v>288</v>
      </c>
    </row>
    <row r="56" spans="1:23" s="36" customFormat="1" ht="15.45" hidden="1" x14ac:dyDescent="0.35">
      <c r="A56" s="19" t="s">
        <v>102</v>
      </c>
      <c r="B56" s="9">
        <v>45769</v>
      </c>
      <c r="C56" s="14" t="s">
        <v>1446</v>
      </c>
      <c r="D56" s="10" t="s">
        <v>1356</v>
      </c>
      <c r="E56" s="9">
        <v>45759</v>
      </c>
      <c r="F56" s="10" t="s">
        <v>65</v>
      </c>
      <c r="G56" s="10" t="s">
        <v>48</v>
      </c>
      <c r="H56" s="10" t="s">
        <v>934</v>
      </c>
      <c r="I56" s="10" t="s">
        <v>61</v>
      </c>
      <c r="J56" s="50" t="s">
        <v>1620</v>
      </c>
      <c r="K56" s="10" t="s">
        <v>15</v>
      </c>
      <c r="L56" s="12">
        <f t="shared" si="6"/>
        <v>72</v>
      </c>
      <c r="M56" s="12">
        <v>8200</v>
      </c>
      <c r="N56" s="12">
        <v>0</v>
      </c>
      <c r="O56" s="11">
        <v>590400</v>
      </c>
      <c r="P56" s="11">
        <f t="shared" si="8"/>
        <v>590400</v>
      </c>
      <c r="Q56" s="11">
        <v>64944</v>
      </c>
      <c r="R56" s="11"/>
      <c r="S56" s="11">
        <v>0</v>
      </c>
      <c r="T56" s="11">
        <f t="shared" si="7"/>
        <v>655344</v>
      </c>
      <c r="U56" s="42">
        <v>72</v>
      </c>
    </row>
    <row r="57" spans="1:23" s="36" customFormat="1" ht="15.45" hidden="1" x14ac:dyDescent="0.35">
      <c r="A57" s="19" t="s">
        <v>102</v>
      </c>
      <c r="B57" s="9">
        <v>45771</v>
      </c>
      <c r="C57" s="14" t="s">
        <v>1558</v>
      </c>
      <c r="D57" s="10" t="s">
        <v>1356</v>
      </c>
      <c r="E57" s="9">
        <v>45759</v>
      </c>
      <c r="F57" s="10" t="s">
        <v>65</v>
      </c>
      <c r="G57" s="10" t="s">
        <v>48</v>
      </c>
      <c r="H57" s="10" t="s">
        <v>934</v>
      </c>
      <c r="I57" s="10" t="s">
        <v>61</v>
      </c>
      <c r="J57" s="50" t="s">
        <v>1621</v>
      </c>
      <c r="K57" s="10" t="s">
        <v>15</v>
      </c>
      <c r="L57" s="12">
        <f t="shared" si="6"/>
        <v>360</v>
      </c>
      <c r="M57" s="12">
        <v>8200</v>
      </c>
      <c r="N57" s="12">
        <v>0</v>
      </c>
      <c r="O57" s="11">
        <v>2952000</v>
      </c>
      <c r="P57" s="11">
        <f t="shared" si="8"/>
        <v>2952000</v>
      </c>
      <c r="Q57" s="11">
        <v>324720</v>
      </c>
      <c r="R57" s="11"/>
      <c r="S57" s="11">
        <v>0</v>
      </c>
      <c r="T57" s="11">
        <f t="shared" si="7"/>
        <v>3276720</v>
      </c>
      <c r="U57" s="42">
        <v>360</v>
      </c>
    </row>
    <row r="58" spans="1:23" s="36" customFormat="1" ht="15.45" hidden="1" x14ac:dyDescent="0.35">
      <c r="A58" s="19" t="s">
        <v>103</v>
      </c>
      <c r="B58" s="9">
        <v>45772</v>
      </c>
      <c r="C58" s="14" t="s">
        <v>1565</v>
      </c>
      <c r="D58" s="10" t="s">
        <v>1566</v>
      </c>
      <c r="E58" s="9">
        <v>45769</v>
      </c>
      <c r="F58" s="10" t="s">
        <v>70</v>
      </c>
      <c r="G58" s="10" t="s">
        <v>47</v>
      </c>
      <c r="H58" s="10" t="s">
        <v>23</v>
      </c>
      <c r="I58" s="10" t="s">
        <v>889</v>
      </c>
      <c r="J58" s="50" t="s">
        <v>1634</v>
      </c>
      <c r="K58" s="10" t="s">
        <v>1</v>
      </c>
      <c r="L58" s="12">
        <f t="shared" si="6"/>
        <v>240</v>
      </c>
      <c r="M58" s="12">
        <v>23000</v>
      </c>
      <c r="N58" s="12">
        <v>0</v>
      </c>
      <c r="O58" s="11">
        <v>5520000</v>
      </c>
      <c r="P58" s="11">
        <f t="shared" si="8"/>
        <v>5520000</v>
      </c>
      <c r="Q58" s="11">
        <v>607200</v>
      </c>
      <c r="R58" s="11"/>
      <c r="S58" s="11">
        <v>0</v>
      </c>
      <c r="T58" s="11">
        <f t="shared" si="7"/>
        <v>6127200</v>
      </c>
      <c r="U58" s="42">
        <v>240</v>
      </c>
    </row>
    <row r="59" spans="1:23" s="36" customFormat="1" ht="15.45" hidden="1" x14ac:dyDescent="0.35">
      <c r="A59" s="19" t="s">
        <v>103</v>
      </c>
      <c r="B59" s="9">
        <v>45772</v>
      </c>
      <c r="C59" s="14" t="s">
        <v>1565</v>
      </c>
      <c r="D59" s="10" t="s">
        <v>1566</v>
      </c>
      <c r="E59" s="9">
        <v>45769</v>
      </c>
      <c r="F59" s="10" t="s">
        <v>70</v>
      </c>
      <c r="G59" s="10" t="s">
        <v>46</v>
      </c>
      <c r="H59" s="10" t="s">
        <v>23</v>
      </c>
      <c r="I59" s="10" t="s">
        <v>889</v>
      </c>
      <c r="J59" s="50" t="s">
        <v>1634</v>
      </c>
      <c r="K59" s="10" t="s">
        <v>1</v>
      </c>
      <c r="L59" s="12">
        <f t="shared" si="6"/>
        <v>240</v>
      </c>
      <c r="M59" s="12">
        <v>24000</v>
      </c>
      <c r="N59" s="12">
        <v>0</v>
      </c>
      <c r="O59" s="11">
        <v>5760000</v>
      </c>
      <c r="P59" s="11">
        <f t="shared" si="8"/>
        <v>5760000</v>
      </c>
      <c r="Q59" s="11">
        <v>633600</v>
      </c>
      <c r="R59" s="11"/>
      <c r="S59" s="11">
        <v>0</v>
      </c>
      <c r="T59" s="11">
        <f t="shared" si="7"/>
        <v>6393600</v>
      </c>
      <c r="U59" s="42">
        <v>240</v>
      </c>
    </row>
    <row r="60" spans="1:23" s="36" customFormat="1" ht="15.45" hidden="1" x14ac:dyDescent="0.4">
      <c r="A60" s="19" t="s">
        <v>133</v>
      </c>
      <c r="B60" s="9">
        <v>45758</v>
      </c>
      <c r="C60" s="14" t="s">
        <v>1319</v>
      </c>
      <c r="D60" s="10" t="s">
        <v>1320</v>
      </c>
      <c r="E60" s="9">
        <v>45757</v>
      </c>
      <c r="F60" s="10" t="s">
        <v>121</v>
      </c>
      <c r="G60" s="10" t="s">
        <v>122</v>
      </c>
      <c r="H60" s="10" t="s">
        <v>24</v>
      </c>
      <c r="I60" s="10" t="s">
        <v>61</v>
      </c>
      <c r="J60" s="10"/>
      <c r="K60" s="10" t="s">
        <v>123</v>
      </c>
      <c r="L60" s="12">
        <f t="shared" si="6"/>
        <v>72</v>
      </c>
      <c r="M60" s="12">
        <v>19584</v>
      </c>
      <c r="N60" s="12">
        <v>0</v>
      </c>
      <c r="O60" s="11">
        <v>1410048</v>
      </c>
      <c r="P60" s="11">
        <f t="shared" si="8"/>
        <v>1410048</v>
      </c>
      <c r="Q60" s="11">
        <v>0</v>
      </c>
      <c r="R60" s="11"/>
      <c r="S60" s="11">
        <v>0</v>
      </c>
      <c r="T60" s="11">
        <f t="shared" si="7"/>
        <v>1410048</v>
      </c>
      <c r="U60" s="42">
        <v>72</v>
      </c>
      <c r="V60"/>
      <c r="W60"/>
    </row>
    <row r="61" spans="1:23" s="36" customFormat="1" ht="15.45" hidden="1" x14ac:dyDescent="0.35">
      <c r="A61" s="19" t="s">
        <v>1112</v>
      </c>
      <c r="B61" s="9">
        <v>45769</v>
      </c>
      <c r="C61" s="14" t="s">
        <v>1468</v>
      </c>
      <c r="D61" s="10" t="s">
        <v>1469</v>
      </c>
      <c r="E61" s="9">
        <v>45764</v>
      </c>
      <c r="F61" s="10" t="s">
        <v>1098</v>
      </c>
      <c r="G61" s="10" t="s">
        <v>1470</v>
      </c>
      <c r="H61" s="10" t="s">
        <v>23</v>
      </c>
      <c r="I61" s="10" t="s">
        <v>888</v>
      </c>
      <c r="J61" s="50" t="s">
        <v>1617</v>
      </c>
      <c r="K61" s="10" t="s">
        <v>1</v>
      </c>
      <c r="L61" s="12">
        <f t="shared" si="6"/>
        <v>70</v>
      </c>
      <c r="M61" s="12">
        <v>35000</v>
      </c>
      <c r="N61" s="12">
        <v>0</v>
      </c>
      <c r="O61" s="11">
        <v>2450000</v>
      </c>
      <c r="P61" s="11">
        <f t="shared" si="8"/>
        <v>2450000</v>
      </c>
      <c r="Q61" s="11">
        <v>269500</v>
      </c>
      <c r="R61" s="11"/>
      <c r="S61" s="11">
        <v>0</v>
      </c>
      <c r="T61" s="11">
        <f t="shared" si="7"/>
        <v>2719500</v>
      </c>
      <c r="U61" s="42">
        <v>70</v>
      </c>
    </row>
    <row r="62" spans="1:23" s="36" customFormat="1" ht="15.45" hidden="1" x14ac:dyDescent="0.35">
      <c r="A62" s="20" t="s">
        <v>138</v>
      </c>
      <c r="B62" s="9">
        <v>45759</v>
      </c>
      <c r="C62" s="14" t="s">
        <v>1332</v>
      </c>
      <c r="D62" s="10" t="s">
        <v>1333</v>
      </c>
      <c r="E62" s="9">
        <v>45758</v>
      </c>
      <c r="F62" s="10" t="s">
        <v>137</v>
      </c>
      <c r="G62" s="10" t="s">
        <v>578</v>
      </c>
      <c r="H62" s="10" t="s">
        <v>23</v>
      </c>
      <c r="I62" s="10" t="s">
        <v>890</v>
      </c>
      <c r="J62" s="50" t="s">
        <v>1611</v>
      </c>
      <c r="K62" s="10" t="s">
        <v>1</v>
      </c>
      <c r="L62" s="12">
        <f t="shared" si="6"/>
        <v>1000</v>
      </c>
      <c r="M62" s="12">
        <v>12500</v>
      </c>
      <c r="N62" s="12">
        <v>0</v>
      </c>
      <c r="O62" s="11">
        <v>12500000</v>
      </c>
      <c r="P62" s="11">
        <f t="shared" si="8"/>
        <v>12500000</v>
      </c>
      <c r="Q62" s="11">
        <v>1375000</v>
      </c>
      <c r="R62" s="11"/>
      <c r="S62" s="11">
        <v>0</v>
      </c>
      <c r="T62" s="11">
        <f t="shared" si="7"/>
        <v>13875000</v>
      </c>
      <c r="U62" s="42">
        <v>1000</v>
      </c>
    </row>
    <row r="63" spans="1:23" s="36" customFormat="1" ht="15.45" hidden="1" x14ac:dyDescent="0.35">
      <c r="A63" s="19" t="s">
        <v>138</v>
      </c>
      <c r="B63" s="9">
        <v>45759</v>
      </c>
      <c r="C63" s="14" t="s">
        <v>1334</v>
      </c>
      <c r="D63" s="10" t="s">
        <v>1335</v>
      </c>
      <c r="E63" s="9">
        <v>45759</v>
      </c>
      <c r="F63" s="10" t="s">
        <v>137</v>
      </c>
      <c r="G63" s="10" t="s">
        <v>578</v>
      </c>
      <c r="H63" s="10" t="s">
        <v>23</v>
      </c>
      <c r="I63" s="10" t="s">
        <v>890</v>
      </c>
      <c r="J63" s="50" t="s">
        <v>1612</v>
      </c>
      <c r="K63" s="10" t="s">
        <v>1</v>
      </c>
      <c r="L63" s="12">
        <f t="shared" si="6"/>
        <v>200</v>
      </c>
      <c r="M63" s="12">
        <v>12000</v>
      </c>
      <c r="N63" s="12">
        <v>0</v>
      </c>
      <c r="O63" s="11">
        <v>2400000</v>
      </c>
      <c r="P63" s="11">
        <f t="shared" si="8"/>
        <v>2400000</v>
      </c>
      <c r="Q63" s="11">
        <v>264000</v>
      </c>
      <c r="R63" s="11"/>
      <c r="S63" s="11">
        <v>0</v>
      </c>
      <c r="T63" s="11">
        <f t="shared" si="7"/>
        <v>2664000</v>
      </c>
      <c r="U63" s="42">
        <v>200</v>
      </c>
    </row>
    <row r="64" spans="1:23" s="36" customFormat="1" ht="15.45" hidden="1" x14ac:dyDescent="0.35">
      <c r="A64" s="19" t="s">
        <v>138</v>
      </c>
      <c r="B64" s="9">
        <v>45763</v>
      </c>
      <c r="C64" s="14" t="s">
        <v>1372</v>
      </c>
      <c r="D64" s="10" t="s">
        <v>1373</v>
      </c>
      <c r="E64" s="9">
        <v>45761</v>
      </c>
      <c r="F64" s="10" t="s">
        <v>137</v>
      </c>
      <c r="G64" s="10" t="s">
        <v>53</v>
      </c>
      <c r="H64" s="10" t="s">
        <v>23</v>
      </c>
      <c r="I64" s="10" t="s">
        <v>978</v>
      </c>
      <c r="J64" s="50" t="s">
        <v>1613</v>
      </c>
      <c r="K64" s="10" t="s">
        <v>1</v>
      </c>
      <c r="L64" s="12">
        <f t="shared" si="6"/>
        <v>500</v>
      </c>
      <c r="M64" s="12">
        <v>11500</v>
      </c>
      <c r="N64" s="12">
        <v>0</v>
      </c>
      <c r="O64" s="11">
        <v>5750000</v>
      </c>
      <c r="P64" s="11">
        <f t="shared" si="8"/>
        <v>5750000</v>
      </c>
      <c r="Q64" s="11">
        <v>632500</v>
      </c>
      <c r="R64" s="11"/>
      <c r="S64" s="11">
        <v>0</v>
      </c>
      <c r="T64" s="11">
        <f t="shared" si="7"/>
        <v>6382500</v>
      </c>
      <c r="U64" s="42">
        <v>500</v>
      </c>
    </row>
    <row r="65" spans="1:23" s="36" customFormat="1" ht="15.45" hidden="1" x14ac:dyDescent="0.35">
      <c r="A65" s="19" t="s">
        <v>138</v>
      </c>
      <c r="B65" s="9">
        <v>45764</v>
      </c>
      <c r="C65" s="14" t="s">
        <v>1419</v>
      </c>
      <c r="D65" s="10" t="s">
        <v>1373</v>
      </c>
      <c r="E65" s="9">
        <v>45761</v>
      </c>
      <c r="F65" s="10" t="s">
        <v>137</v>
      </c>
      <c r="G65" s="10" t="s">
        <v>53</v>
      </c>
      <c r="H65" s="10" t="s">
        <v>23</v>
      </c>
      <c r="I65" s="10" t="s">
        <v>978</v>
      </c>
      <c r="J65" s="50" t="s">
        <v>1614</v>
      </c>
      <c r="K65" s="10" t="s">
        <v>1</v>
      </c>
      <c r="L65" s="12">
        <f t="shared" si="6"/>
        <v>1000</v>
      </c>
      <c r="M65" s="12">
        <v>11500</v>
      </c>
      <c r="N65" s="12">
        <v>0</v>
      </c>
      <c r="O65" s="11">
        <v>11500000</v>
      </c>
      <c r="P65" s="11">
        <f t="shared" si="8"/>
        <v>11500000</v>
      </c>
      <c r="Q65" s="11">
        <v>1265000</v>
      </c>
      <c r="R65" s="11"/>
      <c r="S65" s="11">
        <v>0</v>
      </c>
      <c r="T65" s="11">
        <f t="shared" si="7"/>
        <v>12765000</v>
      </c>
      <c r="U65" s="42">
        <v>1000</v>
      </c>
    </row>
    <row r="66" spans="1:23" s="36" customFormat="1" ht="15.45" hidden="1" x14ac:dyDescent="0.35">
      <c r="A66" s="19" t="s">
        <v>138</v>
      </c>
      <c r="B66" s="9">
        <v>45768</v>
      </c>
      <c r="C66" s="14" t="s">
        <v>1436</v>
      </c>
      <c r="D66" s="10" t="s">
        <v>1373</v>
      </c>
      <c r="E66" s="9">
        <v>45761</v>
      </c>
      <c r="F66" s="10" t="s">
        <v>137</v>
      </c>
      <c r="G66" s="10" t="s">
        <v>53</v>
      </c>
      <c r="H66" s="10" t="s">
        <v>23</v>
      </c>
      <c r="I66" s="10" t="s">
        <v>978</v>
      </c>
      <c r="J66" s="50" t="s">
        <v>1623</v>
      </c>
      <c r="K66" s="10" t="s">
        <v>1</v>
      </c>
      <c r="L66" s="12">
        <f t="shared" si="6"/>
        <v>500</v>
      </c>
      <c r="M66" s="12">
        <v>11500</v>
      </c>
      <c r="N66" s="12">
        <v>0</v>
      </c>
      <c r="O66" s="11">
        <v>5750000</v>
      </c>
      <c r="P66" s="11">
        <f t="shared" si="8"/>
        <v>5750000</v>
      </c>
      <c r="Q66" s="11">
        <v>632500</v>
      </c>
      <c r="R66" s="11"/>
      <c r="S66" s="11">
        <v>0</v>
      </c>
      <c r="T66" s="11">
        <f t="shared" si="7"/>
        <v>6382500</v>
      </c>
      <c r="U66" s="42">
        <v>500</v>
      </c>
    </row>
    <row r="67" spans="1:23" s="36" customFormat="1" ht="15.45" hidden="1" x14ac:dyDescent="0.35">
      <c r="A67" s="19" t="s">
        <v>138</v>
      </c>
      <c r="B67" s="9">
        <v>45772</v>
      </c>
      <c r="C67" s="14" t="s">
        <v>1562</v>
      </c>
      <c r="D67" s="10" t="s">
        <v>1563</v>
      </c>
      <c r="E67" s="9">
        <v>45769</v>
      </c>
      <c r="F67" s="10" t="s">
        <v>137</v>
      </c>
      <c r="G67" s="10" t="s">
        <v>188</v>
      </c>
      <c r="H67" s="10" t="s">
        <v>23</v>
      </c>
      <c r="I67" s="10" t="s">
        <v>890</v>
      </c>
      <c r="J67" s="50" t="s">
        <v>1624</v>
      </c>
      <c r="K67" s="10" t="s">
        <v>1</v>
      </c>
      <c r="L67" s="12">
        <f t="shared" si="6"/>
        <v>500</v>
      </c>
      <c r="M67" s="12">
        <v>15500</v>
      </c>
      <c r="N67" s="12">
        <v>0</v>
      </c>
      <c r="O67" s="11">
        <v>7750000</v>
      </c>
      <c r="P67" s="11">
        <f t="shared" si="8"/>
        <v>7750000</v>
      </c>
      <c r="Q67" s="11">
        <v>852500</v>
      </c>
      <c r="R67" s="11"/>
      <c r="S67" s="11">
        <v>0</v>
      </c>
      <c r="T67" s="11">
        <f t="shared" si="7"/>
        <v>8602500</v>
      </c>
      <c r="U67" s="42">
        <v>500</v>
      </c>
    </row>
    <row r="68" spans="1:23" s="36" customFormat="1" ht="15.45" hidden="1" x14ac:dyDescent="0.35">
      <c r="A68" s="19" t="s">
        <v>138</v>
      </c>
      <c r="B68" s="9">
        <v>45772</v>
      </c>
      <c r="C68" s="14" t="s">
        <v>1562</v>
      </c>
      <c r="D68" s="10" t="s">
        <v>1563</v>
      </c>
      <c r="E68" s="9">
        <v>45769</v>
      </c>
      <c r="F68" s="10" t="s">
        <v>137</v>
      </c>
      <c r="G68" s="10" t="s">
        <v>1564</v>
      </c>
      <c r="H68" s="10" t="s">
        <v>23</v>
      </c>
      <c r="I68" s="10" t="s">
        <v>890</v>
      </c>
      <c r="J68" s="50" t="s">
        <v>1624</v>
      </c>
      <c r="K68" s="10" t="s">
        <v>1</v>
      </c>
      <c r="L68" s="12">
        <f t="shared" si="6"/>
        <v>200</v>
      </c>
      <c r="M68" s="12">
        <v>115000</v>
      </c>
      <c r="N68" s="12">
        <v>0</v>
      </c>
      <c r="O68" s="11">
        <v>23000000</v>
      </c>
      <c r="P68" s="11">
        <f t="shared" si="8"/>
        <v>23000000</v>
      </c>
      <c r="Q68" s="11">
        <v>2530000</v>
      </c>
      <c r="R68" s="11"/>
      <c r="S68" s="11">
        <v>0</v>
      </c>
      <c r="T68" s="11">
        <f t="shared" si="7"/>
        <v>25530000</v>
      </c>
      <c r="U68" s="42">
        <v>200</v>
      </c>
    </row>
    <row r="69" spans="1:23" s="36" customFormat="1" ht="15.45" hidden="1" x14ac:dyDescent="0.35">
      <c r="A69" s="19" t="s">
        <v>134</v>
      </c>
      <c r="B69" s="9">
        <v>45763</v>
      </c>
      <c r="C69" s="14" t="s">
        <v>1425</v>
      </c>
      <c r="D69" s="10" t="s">
        <v>1426</v>
      </c>
      <c r="E69" s="9">
        <v>45769</v>
      </c>
      <c r="F69" s="10" t="s">
        <v>127</v>
      </c>
      <c r="G69" s="10" t="s">
        <v>1427</v>
      </c>
      <c r="H69" s="10" t="s">
        <v>23</v>
      </c>
      <c r="I69" s="10" t="s">
        <v>885</v>
      </c>
      <c r="J69" s="50" t="s">
        <v>1636</v>
      </c>
      <c r="K69" s="10" t="s">
        <v>1</v>
      </c>
      <c r="L69" s="12">
        <f t="shared" ref="L69:L91" si="9">IF(LEFT(C69,2)="RP",U69*-1,U69)</f>
        <v>200</v>
      </c>
      <c r="M69" s="12">
        <v>7577.1</v>
      </c>
      <c r="N69" s="12">
        <v>16838</v>
      </c>
      <c r="O69" s="11">
        <v>1515420</v>
      </c>
      <c r="P69" s="11">
        <f t="shared" si="8"/>
        <v>1515420</v>
      </c>
      <c r="Q69" s="11">
        <v>166696.20000000001</v>
      </c>
      <c r="R69" s="11"/>
      <c r="S69" s="11">
        <v>0</v>
      </c>
      <c r="T69" s="11">
        <f t="shared" ref="T69:T91" si="10">P69+Q69-S69</f>
        <v>1682116.2</v>
      </c>
      <c r="U69" s="42">
        <v>200</v>
      </c>
    </row>
    <row r="70" spans="1:23" s="36" customFormat="1" ht="15.45" hidden="1" x14ac:dyDescent="0.35">
      <c r="A70" s="19" t="s">
        <v>104</v>
      </c>
      <c r="B70" s="9">
        <v>45769</v>
      </c>
      <c r="C70" s="14" t="s">
        <v>1451</v>
      </c>
      <c r="D70" s="10" t="s">
        <v>1452</v>
      </c>
      <c r="E70" s="9">
        <v>45764</v>
      </c>
      <c r="F70" s="10" t="s">
        <v>73</v>
      </c>
      <c r="G70" s="10" t="s">
        <v>1453</v>
      </c>
      <c r="H70" s="10" t="s">
        <v>24</v>
      </c>
      <c r="I70" s="10" t="s">
        <v>61</v>
      </c>
      <c r="J70" s="50" t="s">
        <v>1637</v>
      </c>
      <c r="K70" s="10" t="s">
        <v>6</v>
      </c>
      <c r="L70" s="12">
        <f t="shared" si="9"/>
        <v>1</v>
      </c>
      <c r="M70" s="12">
        <v>1600000</v>
      </c>
      <c r="N70" s="12">
        <v>0</v>
      </c>
      <c r="O70" s="11">
        <v>1600000</v>
      </c>
      <c r="P70" s="11">
        <f t="shared" si="8"/>
        <v>1600000</v>
      </c>
      <c r="Q70" s="11">
        <v>176000</v>
      </c>
      <c r="R70" s="11"/>
      <c r="S70" s="11">
        <v>0</v>
      </c>
      <c r="T70" s="11">
        <f t="shared" si="10"/>
        <v>1776000</v>
      </c>
      <c r="U70" s="42">
        <v>1</v>
      </c>
    </row>
    <row r="71" spans="1:23" s="36" customFormat="1" ht="15.45" hidden="1" x14ac:dyDescent="0.35">
      <c r="A71" s="19" t="s">
        <v>105</v>
      </c>
      <c r="B71" s="9">
        <v>45766</v>
      </c>
      <c r="C71" s="14" t="s">
        <v>1428</v>
      </c>
      <c r="D71" s="10" t="s">
        <v>1429</v>
      </c>
      <c r="E71" s="9">
        <v>45768</v>
      </c>
      <c r="F71" s="10" t="s">
        <v>85</v>
      </c>
      <c r="G71" s="10" t="s">
        <v>725</v>
      </c>
      <c r="H71" s="10" t="s">
        <v>23</v>
      </c>
      <c r="I71" s="10" t="s">
        <v>886</v>
      </c>
      <c r="J71" s="50" t="s">
        <v>1625</v>
      </c>
      <c r="K71" s="10" t="s">
        <v>1</v>
      </c>
      <c r="L71" s="12">
        <f t="shared" si="9"/>
        <v>25</v>
      </c>
      <c r="M71" s="12">
        <v>62981.25</v>
      </c>
      <c r="N71" s="12">
        <v>16795</v>
      </c>
      <c r="O71" s="11">
        <v>1574531.25</v>
      </c>
      <c r="P71" s="11">
        <f t="shared" si="8"/>
        <v>1574531.25</v>
      </c>
      <c r="Q71" s="11">
        <v>173198.4375</v>
      </c>
      <c r="R71" s="11"/>
      <c r="S71" s="11">
        <v>0</v>
      </c>
      <c r="T71" s="11">
        <f t="shared" si="10"/>
        <v>1747729.6875</v>
      </c>
      <c r="U71" s="42">
        <v>25</v>
      </c>
    </row>
    <row r="72" spans="1:23" s="36" customFormat="1" ht="15.45" hidden="1" x14ac:dyDescent="0.35">
      <c r="A72" s="19" t="s">
        <v>105</v>
      </c>
      <c r="B72" s="9">
        <v>45766</v>
      </c>
      <c r="C72" s="14" t="s">
        <v>1430</v>
      </c>
      <c r="D72" s="10" t="s">
        <v>1429</v>
      </c>
      <c r="E72" s="9">
        <v>45768</v>
      </c>
      <c r="F72" s="10" t="s">
        <v>85</v>
      </c>
      <c r="G72" s="10" t="s">
        <v>725</v>
      </c>
      <c r="H72" s="10" t="s">
        <v>23</v>
      </c>
      <c r="I72" s="10" t="s">
        <v>886</v>
      </c>
      <c r="J72" s="50" t="s">
        <v>1626</v>
      </c>
      <c r="K72" s="10" t="s">
        <v>1</v>
      </c>
      <c r="L72" s="12">
        <f t="shared" si="9"/>
        <v>400</v>
      </c>
      <c r="M72" s="12">
        <v>62981.25</v>
      </c>
      <c r="N72" s="12">
        <v>16795</v>
      </c>
      <c r="O72" s="11">
        <v>25192500</v>
      </c>
      <c r="P72" s="11">
        <f t="shared" ref="P72:P103" si="11">O72</f>
        <v>25192500</v>
      </c>
      <c r="Q72" s="11">
        <v>2771175</v>
      </c>
      <c r="R72" s="11"/>
      <c r="S72" s="11">
        <v>0</v>
      </c>
      <c r="T72" s="11">
        <f t="shared" si="10"/>
        <v>27963675</v>
      </c>
      <c r="U72" s="42">
        <v>400</v>
      </c>
    </row>
    <row r="73" spans="1:23" s="36" customFormat="1" ht="15.45" hidden="1" x14ac:dyDescent="0.35">
      <c r="A73" s="19" t="s">
        <v>105</v>
      </c>
      <c r="B73" s="9">
        <v>45776</v>
      </c>
      <c r="C73" s="14" t="s">
        <v>1584</v>
      </c>
      <c r="D73" s="10" t="s">
        <v>1585</v>
      </c>
      <c r="E73" s="9">
        <v>45763</v>
      </c>
      <c r="F73" s="10" t="s">
        <v>85</v>
      </c>
      <c r="G73" s="10" t="s">
        <v>1586</v>
      </c>
      <c r="H73" s="10" t="s">
        <v>23</v>
      </c>
      <c r="I73" s="10" t="s">
        <v>886</v>
      </c>
      <c r="J73" s="50" t="s">
        <v>1714</v>
      </c>
      <c r="K73" s="10" t="s">
        <v>1</v>
      </c>
      <c r="L73" s="12">
        <f t="shared" si="9"/>
        <v>400</v>
      </c>
      <c r="M73" s="12">
        <v>52992.45</v>
      </c>
      <c r="N73" s="12">
        <v>16823</v>
      </c>
      <c r="O73" s="11">
        <v>21196980</v>
      </c>
      <c r="P73" s="11">
        <f t="shared" si="11"/>
        <v>21196980</v>
      </c>
      <c r="Q73" s="11">
        <v>2331667.7999999998</v>
      </c>
      <c r="R73" s="11"/>
      <c r="S73" s="11">
        <v>0</v>
      </c>
      <c r="T73" s="11">
        <f t="shared" si="10"/>
        <v>23528647.800000001</v>
      </c>
      <c r="U73" s="42">
        <v>400</v>
      </c>
    </row>
    <row r="74" spans="1:23" s="36" customFormat="1" ht="15.45" hidden="1" x14ac:dyDescent="0.35">
      <c r="A74" s="19" t="s">
        <v>1492</v>
      </c>
      <c r="B74" s="9">
        <v>45770</v>
      </c>
      <c r="C74" s="14" t="s">
        <v>1481</v>
      </c>
      <c r="D74" s="10" t="s">
        <v>1482</v>
      </c>
      <c r="E74" s="9">
        <v>45764</v>
      </c>
      <c r="F74" s="10" t="s">
        <v>1483</v>
      </c>
      <c r="G74" s="10" t="s">
        <v>1484</v>
      </c>
      <c r="H74" s="10" t="s">
        <v>24</v>
      </c>
      <c r="I74" s="10" t="s">
        <v>61</v>
      </c>
      <c r="J74" s="50" t="s">
        <v>1638</v>
      </c>
      <c r="K74" s="10" t="s">
        <v>6</v>
      </c>
      <c r="L74" s="12">
        <f t="shared" si="9"/>
        <v>1</v>
      </c>
      <c r="M74" s="12">
        <v>2423423.4</v>
      </c>
      <c r="N74" s="12">
        <v>0</v>
      </c>
      <c r="O74" s="11">
        <v>2423423.4</v>
      </c>
      <c r="P74" s="11">
        <f t="shared" si="11"/>
        <v>2423423.4</v>
      </c>
      <c r="Q74" s="11">
        <v>266576.57400000002</v>
      </c>
      <c r="R74" s="11"/>
      <c r="S74" s="11">
        <v>0</v>
      </c>
      <c r="T74" s="11">
        <f t="shared" si="10"/>
        <v>2689999.9739999999</v>
      </c>
      <c r="U74" s="42">
        <v>1</v>
      </c>
    </row>
    <row r="75" spans="1:23" s="36" customFormat="1" ht="15.45" hidden="1" x14ac:dyDescent="0.35">
      <c r="A75" s="19" t="s">
        <v>1492</v>
      </c>
      <c r="B75" s="9">
        <v>45770</v>
      </c>
      <c r="C75" s="14" t="s">
        <v>1481</v>
      </c>
      <c r="D75" s="10" t="s">
        <v>1482</v>
      </c>
      <c r="E75" s="9">
        <v>45764</v>
      </c>
      <c r="F75" s="10" t="s">
        <v>1483</v>
      </c>
      <c r="G75" s="10" t="s">
        <v>1485</v>
      </c>
      <c r="H75" s="10" t="s">
        <v>24</v>
      </c>
      <c r="I75" s="10" t="s">
        <v>61</v>
      </c>
      <c r="J75" s="50" t="s">
        <v>1638</v>
      </c>
      <c r="K75" s="10" t="s">
        <v>6</v>
      </c>
      <c r="L75" s="12">
        <f t="shared" si="9"/>
        <v>1</v>
      </c>
      <c r="M75" s="12">
        <v>891892</v>
      </c>
      <c r="N75" s="12">
        <v>0</v>
      </c>
      <c r="O75" s="11">
        <v>891892</v>
      </c>
      <c r="P75" s="11">
        <f t="shared" si="11"/>
        <v>891892</v>
      </c>
      <c r="Q75" s="11">
        <v>98108.12</v>
      </c>
      <c r="R75" s="11"/>
      <c r="S75" s="11">
        <v>0</v>
      </c>
      <c r="T75" s="11">
        <f t="shared" si="10"/>
        <v>990000.12</v>
      </c>
      <c r="U75" s="42">
        <v>1</v>
      </c>
    </row>
    <row r="76" spans="1:23" s="36" customFormat="1" ht="15.45" hidden="1" x14ac:dyDescent="0.35">
      <c r="A76" s="19" t="s">
        <v>1492</v>
      </c>
      <c r="B76" s="9">
        <v>45770</v>
      </c>
      <c r="C76" s="14" t="s">
        <v>1486</v>
      </c>
      <c r="D76" s="10" t="s">
        <v>1487</v>
      </c>
      <c r="E76" s="9">
        <v>45764</v>
      </c>
      <c r="F76" s="10" t="s">
        <v>1483</v>
      </c>
      <c r="G76" s="10" t="s">
        <v>1488</v>
      </c>
      <c r="H76" s="10" t="s">
        <v>24</v>
      </c>
      <c r="I76" s="10" t="s">
        <v>61</v>
      </c>
      <c r="J76" s="50" t="s">
        <v>1639</v>
      </c>
      <c r="K76" s="10" t="s">
        <v>6</v>
      </c>
      <c r="L76" s="12">
        <f t="shared" si="9"/>
        <v>1</v>
      </c>
      <c r="M76" s="12">
        <v>1981982</v>
      </c>
      <c r="N76" s="12">
        <v>0</v>
      </c>
      <c r="O76" s="11">
        <v>1981982</v>
      </c>
      <c r="P76" s="11">
        <f t="shared" si="11"/>
        <v>1981982</v>
      </c>
      <c r="Q76" s="11">
        <v>218018.02</v>
      </c>
      <c r="R76" s="11"/>
      <c r="S76" s="11">
        <v>0</v>
      </c>
      <c r="T76" s="11">
        <f t="shared" si="10"/>
        <v>2200000.02</v>
      </c>
      <c r="U76" s="42">
        <v>1</v>
      </c>
    </row>
    <row r="77" spans="1:23" s="36" customFormat="1" ht="15.45" hidden="1" x14ac:dyDescent="0.35">
      <c r="A77" s="19" t="s">
        <v>1492</v>
      </c>
      <c r="B77" s="9">
        <v>45770</v>
      </c>
      <c r="C77" s="14" t="s">
        <v>1486</v>
      </c>
      <c r="D77" s="10" t="s">
        <v>1487</v>
      </c>
      <c r="E77" s="9">
        <v>45764</v>
      </c>
      <c r="F77" s="10" t="s">
        <v>1483</v>
      </c>
      <c r="G77" s="10" t="s">
        <v>1489</v>
      </c>
      <c r="H77" s="10" t="s">
        <v>24</v>
      </c>
      <c r="I77" s="10" t="s">
        <v>61</v>
      </c>
      <c r="J77" s="50" t="s">
        <v>1639</v>
      </c>
      <c r="K77" s="10" t="s">
        <v>6</v>
      </c>
      <c r="L77" s="12">
        <f t="shared" si="9"/>
        <v>1</v>
      </c>
      <c r="M77" s="12">
        <v>644144.14</v>
      </c>
      <c r="N77" s="12">
        <v>0</v>
      </c>
      <c r="O77" s="11">
        <v>644144.14</v>
      </c>
      <c r="P77" s="11">
        <f t="shared" si="11"/>
        <v>644144.14</v>
      </c>
      <c r="Q77" s="11">
        <v>70855.8554</v>
      </c>
      <c r="R77" s="11"/>
      <c r="S77" s="11">
        <v>0</v>
      </c>
      <c r="T77" s="11">
        <f t="shared" si="10"/>
        <v>714999.99540000001</v>
      </c>
      <c r="U77" s="42">
        <v>1</v>
      </c>
    </row>
    <row r="78" spans="1:23" s="36" customFormat="1" ht="15.45" hidden="1" x14ac:dyDescent="0.35">
      <c r="A78" s="19" t="s">
        <v>1492</v>
      </c>
      <c r="B78" s="9">
        <v>45770</v>
      </c>
      <c r="C78" s="14" t="s">
        <v>1486</v>
      </c>
      <c r="D78" s="10" t="s">
        <v>1487</v>
      </c>
      <c r="E78" s="9">
        <v>45764</v>
      </c>
      <c r="F78" s="10" t="s">
        <v>1483</v>
      </c>
      <c r="G78" s="10" t="s">
        <v>1490</v>
      </c>
      <c r="H78" s="10" t="s">
        <v>24</v>
      </c>
      <c r="I78" s="10" t="s">
        <v>61</v>
      </c>
      <c r="J78" s="50" t="s">
        <v>1639</v>
      </c>
      <c r="K78" s="10" t="s">
        <v>6</v>
      </c>
      <c r="L78" s="12">
        <f t="shared" si="9"/>
        <v>1</v>
      </c>
      <c r="M78" s="12">
        <v>1090090.1000000001</v>
      </c>
      <c r="N78" s="12">
        <v>0</v>
      </c>
      <c r="O78" s="11">
        <v>1090090.1000000001</v>
      </c>
      <c r="P78" s="11">
        <f t="shared" si="11"/>
        <v>1090090.1000000001</v>
      </c>
      <c r="Q78" s="11">
        <v>119909.91099999999</v>
      </c>
      <c r="R78" s="11"/>
      <c r="S78" s="11">
        <v>0</v>
      </c>
      <c r="T78" s="11">
        <f t="shared" si="10"/>
        <v>1210000.0110000002</v>
      </c>
      <c r="U78" s="42">
        <v>1</v>
      </c>
    </row>
    <row r="79" spans="1:23" s="36" customFormat="1" ht="15.45" hidden="1" x14ac:dyDescent="0.4">
      <c r="A79" s="19" t="s">
        <v>106</v>
      </c>
      <c r="B79" s="9">
        <v>45758</v>
      </c>
      <c r="C79" s="14" t="s">
        <v>1313</v>
      </c>
      <c r="D79" s="10" t="s">
        <v>1314</v>
      </c>
      <c r="E79" s="9">
        <v>45755</v>
      </c>
      <c r="F79" s="10" t="s">
        <v>66</v>
      </c>
      <c r="G79" s="10" t="s">
        <v>19</v>
      </c>
      <c r="H79" s="10" t="s">
        <v>23</v>
      </c>
      <c r="I79" s="10" t="s">
        <v>888</v>
      </c>
      <c r="J79" s="50" t="s">
        <v>1980</v>
      </c>
      <c r="K79" s="10" t="s">
        <v>4</v>
      </c>
      <c r="L79" s="12">
        <f t="shared" si="9"/>
        <v>400</v>
      </c>
      <c r="M79" s="12">
        <v>18500</v>
      </c>
      <c r="N79" s="12">
        <v>0</v>
      </c>
      <c r="O79" s="11">
        <v>7400000</v>
      </c>
      <c r="P79" s="11">
        <f t="shared" si="11"/>
        <v>7400000</v>
      </c>
      <c r="Q79" s="11">
        <v>814000</v>
      </c>
      <c r="R79" s="11"/>
      <c r="S79" s="11">
        <v>0</v>
      </c>
      <c r="T79" s="11">
        <f t="shared" si="10"/>
        <v>8214000</v>
      </c>
      <c r="U79" s="42">
        <v>400</v>
      </c>
      <c r="V79"/>
      <c r="W79"/>
    </row>
    <row r="80" spans="1:23" s="36" customFormat="1" ht="15.45" hidden="1" x14ac:dyDescent="0.35">
      <c r="A80" s="19" t="s">
        <v>106</v>
      </c>
      <c r="B80" s="9">
        <v>45762</v>
      </c>
      <c r="C80" s="14" t="s">
        <v>1382</v>
      </c>
      <c r="D80" s="10" t="s">
        <v>1383</v>
      </c>
      <c r="E80" s="9">
        <v>45763</v>
      </c>
      <c r="F80" s="10" t="s">
        <v>66</v>
      </c>
      <c r="G80" s="10" t="s">
        <v>53</v>
      </c>
      <c r="H80" s="10" t="s">
        <v>23</v>
      </c>
      <c r="I80" s="10" t="s">
        <v>978</v>
      </c>
      <c r="J80" s="50" t="s">
        <v>1981</v>
      </c>
      <c r="K80" s="10" t="s">
        <v>1</v>
      </c>
      <c r="L80" s="12">
        <f t="shared" si="9"/>
        <v>1000</v>
      </c>
      <c r="M80" s="12">
        <v>11500</v>
      </c>
      <c r="N80" s="12">
        <v>0</v>
      </c>
      <c r="O80" s="11">
        <v>11500000</v>
      </c>
      <c r="P80" s="11">
        <f t="shared" si="11"/>
        <v>11500000</v>
      </c>
      <c r="Q80" s="11">
        <v>1265000</v>
      </c>
      <c r="R80" s="11"/>
      <c r="S80" s="11">
        <v>0</v>
      </c>
      <c r="T80" s="11">
        <f t="shared" si="10"/>
        <v>12765000</v>
      </c>
      <c r="U80" s="42">
        <v>1000</v>
      </c>
    </row>
    <row r="81" spans="1:21" s="36" customFormat="1" ht="15.45" hidden="1" x14ac:dyDescent="0.35">
      <c r="A81" s="19" t="s">
        <v>692</v>
      </c>
      <c r="B81" s="9">
        <v>45761</v>
      </c>
      <c r="C81" s="14" t="s">
        <v>1352</v>
      </c>
      <c r="D81" s="10" t="s">
        <v>1353</v>
      </c>
      <c r="E81" s="9">
        <v>45757</v>
      </c>
      <c r="F81" s="10" t="s">
        <v>676</v>
      </c>
      <c r="G81" s="10" t="s">
        <v>680</v>
      </c>
      <c r="H81" s="10" t="s">
        <v>24</v>
      </c>
      <c r="I81" s="10" t="s">
        <v>61</v>
      </c>
      <c r="J81" s="50" t="s">
        <v>1495</v>
      </c>
      <c r="K81" s="10" t="s">
        <v>6</v>
      </c>
      <c r="L81" s="12">
        <f t="shared" si="9"/>
        <v>5</v>
      </c>
      <c r="M81" s="12">
        <v>80300</v>
      </c>
      <c r="N81" s="12">
        <v>0</v>
      </c>
      <c r="O81" s="11">
        <v>401500</v>
      </c>
      <c r="P81" s="11">
        <f t="shared" si="11"/>
        <v>401500</v>
      </c>
      <c r="Q81" s="11">
        <v>44165</v>
      </c>
      <c r="R81" s="11"/>
      <c r="S81" s="11">
        <v>0</v>
      </c>
      <c r="T81" s="11">
        <f t="shared" si="10"/>
        <v>445665</v>
      </c>
      <c r="U81" s="42">
        <v>5</v>
      </c>
    </row>
    <row r="82" spans="1:21" s="36" customFormat="1" ht="15.45" hidden="1" x14ac:dyDescent="0.35">
      <c r="A82" s="19" t="s">
        <v>692</v>
      </c>
      <c r="B82" s="9">
        <v>45761</v>
      </c>
      <c r="C82" s="14" t="s">
        <v>1352</v>
      </c>
      <c r="D82" s="10" t="s">
        <v>1353</v>
      </c>
      <c r="E82" s="9">
        <v>45757</v>
      </c>
      <c r="F82" s="10" t="s">
        <v>676</v>
      </c>
      <c r="G82" s="10" t="s">
        <v>1354</v>
      </c>
      <c r="H82" s="10" t="s">
        <v>24</v>
      </c>
      <c r="I82" s="10" t="s">
        <v>61</v>
      </c>
      <c r="J82" s="50" t="s">
        <v>1495</v>
      </c>
      <c r="K82" s="10" t="s">
        <v>3</v>
      </c>
      <c r="L82" s="12">
        <f t="shared" si="9"/>
        <v>24</v>
      </c>
      <c r="M82" s="12">
        <v>57500</v>
      </c>
      <c r="N82" s="12">
        <v>0</v>
      </c>
      <c r="O82" s="11">
        <v>1380000</v>
      </c>
      <c r="P82" s="11">
        <f t="shared" si="11"/>
        <v>1380000</v>
      </c>
      <c r="Q82" s="11">
        <v>151800</v>
      </c>
      <c r="R82" s="11"/>
      <c r="S82" s="11">
        <v>0</v>
      </c>
      <c r="T82" s="11">
        <f t="shared" si="10"/>
        <v>1531800</v>
      </c>
      <c r="U82" s="42">
        <v>24</v>
      </c>
    </row>
    <row r="83" spans="1:21" s="36" customFormat="1" ht="15.45" hidden="1" x14ac:dyDescent="0.35">
      <c r="A83" s="19" t="s">
        <v>692</v>
      </c>
      <c r="B83" s="9">
        <v>45761</v>
      </c>
      <c r="C83" s="14" t="s">
        <v>1352</v>
      </c>
      <c r="D83" s="10" t="s">
        <v>1353</v>
      </c>
      <c r="E83" s="9">
        <v>45757</v>
      </c>
      <c r="F83" s="10" t="s">
        <v>676</v>
      </c>
      <c r="G83" s="10" t="s">
        <v>678</v>
      </c>
      <c r="H83" s="10" t="s">
        <v>24</v>
      </c>
      <c r="I83" s="10" t="s">
        <v>61</v>
      </c>
      <c r="J83" s="50" t="s">
        <v>1495</v>
      </c>
      <c r="K83" s="10" t="s">
        <v>6</v>
      </c>
      <c r="L83" s="12">
        <f t="shared" si="9"/>
        <v>5</v>
      </c>
      <c r="M83" s="12">
        <v>80300</v>
      </c>
      <c r="N83" s="12">
        <v>0</v>
      </c>
      <c r="O83" s="11">
        <v>401500</v>
      </c>
      <c r="P83" s="11">
        <f t="shared" si="11"/>
        <v>401500</v>
      </c>
      <c r="Q83" s="11">
        <v>44165</v>
      </c>
      <c r="R83" s="11"/>
      <c r="S83" s="11">
        <v>0</v>
      </c>
      <c r="T83" s="11">
        <f t="shared" si="10"/>
        <v>445665</v>
      </c>
      <c r="U83" s="42">
        <v>5</v>
      </c>
    </row>
    <row r="84" spans="1:21" s="36" customFormat="1" ht="15.45" hidden="1" x14ac:dyDescent="0.35">
      <c r="A84" s="19" t="s">
        <v>108</v>
      </c>
      <c r="B84" s="9">
        <v>45764</v>
      </c>
      <c r="C84" s="14" t="s">
        <v>1413</v>
      </c>
      <c r="D84" s="10" t="s">
        <v>1414</v>
      </c>
      <c r="E84" s="9">
        <v>45759</v>
      </c>
      <c r="F84" s="10" t="s">
        <v>51</v>
      </c>
      <c r="G84" s="10" t="s">
        <v>1415</v>
      </c>
      <c r="H84" s="10" t="s">
        <v>24</v>
      </c>
      <c r="I84" s="10" t="s">
        <v>61</v>
      </c>
      <c r="J84" s="50" t="s">
        <v>1615</v>
      </c>
      <c r="K84" s="10" t="s">
        <v>6</v>
      </c>
      <c r="L84" s="12">
        <f t="shared" si="9"/>
        <v>3</v>
      </c>
      <c r="M84" s="12">
        <v>70000</v>
      </c>
      <c r="N84" s="12">
        <v>0</v>
      </c>
      <c r="O84" s="11">
        <v>210000</v>
      </c>
      <c r="P84" s="11">
        <f t="shared" si="11"/>
        <v>210000</v>
      </c>
      <c r="Q84" s="11">
        <v>23100</v>
      </c>
      <c r="R84" s="11"/>
      <c r="S84" s="11">
        <v>0</v>
      </c>
      <c r="T84" s="11">
        <f t="shared" si="10"/>
        <v>233100</v>
      </c>
      <c r="U84" s="42">
        <v>3</v>
      </c>
    </row>
    <row r="85" spans="1:21" s="36" customFormat="1" ht="15.45" hidden="1" x14ac:dyDescent="0.35">
      <c r="A85" s="19" t="s">
        <v>108</v>
      </c>
      <c r="B85" s="9">
        <v>45770</v>
      </c>
      <c r="C85" s="14" t="s">
        <v>1471</v>
      </c>
      <c r="D85" s="10" t="s">
        <v>1472</v>
      </c>
      <c r="E85" s="9">
        <v>45764</v>
      </c>
      <c r="F85" s="10" t="s">
        <v>51</v>
      </c>
      <c r="G85" s="10" t="s">
        <v>1473</v>
      </c>
      <c r="H85" s="10" t="s">
        <v>24</v>
      </c>
      <c r="I85" s="10" t="s">
        <v>61</v>
      </c>
      <c r="J85" s="50" t="s">
        <v>1616</v>
      </c>
      <c r="K85" s="10" t="s">
        <v>140</v>
      </c>
      <c r="L85" s="12">
        <f t="shared" si="9"/>
        <v>30</v>
      </c>
      <c r="M85" s="12">
        <v>8000</v>
      </c>
      <c r="N85" s="12">
        <v>0</v>
      </c>
      <c r="O85" s="11">
        <v>240000</v>
      </c>
      <c r="P85" s="11">
        <f t="shared" si="11"/>
        <v>240000</v>
      </c>
      <c r="Q85" s="11">
        <v>26400</v>
      </c>
      <c r="R85" s="11"/>
      <c r="S85" s="11">
        <v>0</v>
      </c>
      <c r="T85" s="11">
        <f t="shared" si="10"/>
        <v>266400</v>
      </c>
      <c r="U85" s="42">
        <v>30</v>
      </c>
    </row>
    <row r="86" spans="1:21" s="36" customFormat="1" ht="15.45" hidden="1" x14ac:dyDescent="0.35">
      <c r="A86" s="19" t="s">
        <v>108</v>
      </c>
      <c r="B86" s="9">
        <v>45770</v>
      </c>
      <c r="C86" s="14" t="s">
        <v>1471</v>
      </c>
      <c r="D86" s="10" t="s">
        <v>1472</v>
      </c>
      <c r="E86" s="9">
        <v>45764</v>
      </c>
      <c r="F86" s="10" t="s">
        <v>51</v>
      </c>
      <c r="G86" s="10" t="s">
        <v>1474</v>
      </c>
      <c r="H86" s="10" t="s">
        <v>24</v>
      </c>
      <c r="I86" s="10" t="s">
        <v>61</v>
      </c>
      <c r="J86" s="50" t="s">
        <v>1616</v>
      </c>
      <c r="K86" s="10" t="s">
        <v>5</v>
      </c>
      <c r="L86" s="12">
        <f t="shared" si="9"/>
        <v>50</v>
      </c>
      <c r="M86" s="12">
        <v>6500</v>
      </c>
      <c r="N86" s="12">
        <v>0</v>
      </c>
      <c r="O86" s="11">
        <v>325000</v>
      </c>
      <c r="P86" s="11">
        <f t="shared" si="11"/>
        <v>325000</v>
      </c>
      <c r="Q86" s="11">
        <v>35750</v>
      </c>
      <c r="R86" s="11"/>
      <c r="S86" s="11">
        <v>0</v>
      </c>
      <c r="T86" s="11">
        <f t="shared" si="10"/>
        <v>360750</v>
      </c>
      <c r="U86" s="42">
        <v>50</v>
      </c>
    </row>
    <row r="87" spans="1:21" s="36" customFormat="1" ht="15.45" hidden="1" x14ac:dyDescent="0.35">
      <c r="A87" s="19" t="s">
        <v>109</v>
      </c>
      <c r="B87" s="9">
        <v>45761</v>
      </c>
      <c r="C87" s="14" t="s">
        <v>1357</v>
      </c>
      <c r="D87" s="10" t="s">
        <v>1358</v>
      </c>
      <c r="E87" s="9">
        <v>45759</v>
      </c>
      <c r="F87" s="10" t="s">
        <v>54</v>
      </c>
      <c r="G87" s="10" t="s">
        <v>49</v>
      </c>
      <c r="H87" s="10" t="s">
        <v>934</v>
      </c>
      <c r="I87" s="10" t="s">
        <v>61</v>
      </c>
      <c r="J87" s="50" t="s">
        <v>1517</v>
      </c>
      <c r="K87" s="10" t="s">
        <v>15</v>
      </c>
      <c r="L87" s="12">
        <f t="shared" si="9"/>
        <v>144</v>
      </c>
      <c r="M87" s="12">
        <v>6454</v>
      </c>
      <c r="N87" s="12">
        <v>0</v>
      </c>
      <c r="O87" s="11">
        <v>929376</v>
      </c>
      <c r="P87" s="11">
        <f t="shared" si="11"/>
        <v>929376</v>
      </c>
      <c r="Q87" s="11">
        <v>102231.36</v>
      </c>
      <c r="R87" s="11"/>
      <c r="S87" s="11">
        <v>0</v>
      </c>
      <c r="T87" s="11">
        <f t="shared" si="10"/>
        <v>1031607.36</v>
      </c>
      <c r="U87" s="42">
        <v>144</v>
      </c>
    </row>
    <row r="88" spans="1:21" s="36" customFormat="1" ht="15.45" hidden="1" x14ac:dyDescent="0.35">
      <c r="A88" s="19" t="s">
        <v>109</v>
      </c>
      <c r="B88" s="9">
        <v>45764</v>
      </c>
      <c r="C88" s="14" t="s">
        <v>1393</v>
      </c>
      <c r="D88" s="10" t="s">
        <v>1358</v>
      </c>
      <c r="E88" s="9">
        <v>45759</v>
      </c>
      <c r="F88" s="10" t="s">
        <v>54</v>
      </c>
      <c r="G88" s="10" t="s">
        <v>49</v>
      </c>
      <c r="H88" s="10" t="s">
        <v>934</v>
      </c>
      <c r="I88" s="10" t="s">
        <v>61</v>
      </c>
      <c r="J88" s="50" t="s">
        <v>1629</v>
      </c>
      <c r="K88" s="10" t="s">
        <v>15</v>
      </c>
      <c r="L88" s="12">
        <f t="shared" si="9"/>
        <v>144</v>
      </c>
      <c r="M88" s="12">
        <v>6454</v>
      </c>
      <c r="N88" s="12">
        <v>0</v>
      </c>
      <c r="O88" s="11">
        <v>929376</v>
      </c>
      <c r="P88" s="11">
        <f t="shared" si="11"/>
        <v>929376</v>
      </c>
      <c r="Q88" s="11">
        <v>102231.36</v>
      </c>
      <c r="R88" s="11"/>
      <c r="S88" s="11">
        <v>0</v>
      </c>
      <c r="T88" s="11">
        <f t="shared" si="10"/>
        <v>1031607.36</v>
      </c>
      <c r="U88" s="42">
        <v>144</v>
      </c>
    </row>
    <row r="89" spans="1:21" s="36" customFormat="1" ht="15.45" hidden="1" x14ac:dyDescent="0.35">
      <c r="A89" s="19" t="s">
        <v>109</v>
      </c>
      <c r="B89" s="9">
        <v>45771</v>
      </c>
      <c r="C89" s="14" t="s">
        <v>1557</v>
      </c>
      <c r="D89" s="10" t="s">
        <v>1358</v>
      </c>
      <c r="E89" s="9">
        <v>45759</v>
      </c>
      <c r="F89" s="10" t="s">
        <v>54</v>
      </c>
      <c r="G89" s="10" t="s">
        <v>49</v>
      </c>
      <c r="H89" s="10" t="s">
        <v>934</v>
      </c>
      <c r="I89" s="10" t="s">
        <v>61</v>
      </c>
      <c r="J89" s="50" t="s">
        <v>1630</v>
      </c>
      <c r="K89" s="10" t="s">
        <v>15</v>
      </c>
      <c r="L89" s="12">
        <f t="shared" si="9"/>
        <v>144</v>
      </c>
      <c r="M89" s="12">
        <v>6454</v>
      </c>
      <c r="N89" s="12">
        <v>0</v>
      </c>
      <c r="O89" s="11">
        <v>929376</v>
      </c>
      <c r="P89" s="11">
        <f t="shared" si="11"/>
        <v>929376</v>
      </c>
      <c r="Q89" s="11">
        <v>102231.36</v>
      </c>
      <c r="R89" s="11"/>
      <c r="S89" s="11">
        <v>0</v>
      </c>
      <c r="T89" s="11">
        <f t="shared" si="10"/>
        <v>1031607.36</v>
      </c>
      <c r="U89" s="42">
        <v>144</v>
      </c>
    </row>
    <row r="90" spans="1:21" s="36" customFormat="1" ht="15.45" hidden="1" x14ac:dyDescent="0.35">
      <c r="A90" s="19" t="s">
        <v>109</v>
      </c>
      <c r="B90" s="9">
        <v>45775</v>
      </c>
      <c r="C90" s="14" t="s">
        <v>1578</v>
      </c>
      <c r="D90" s="10" t="s">
        <v>1358</v>
      </c>
      <c r="E90" s="9">
        <v>45759</v>
      </c>
      <c r="F90" s="10" t="s">
        <v>54</v>
      </c>
      <c r="G90" s="10" t="s">
        <v>49</v>
      </c>
      <c r="H90" s="10" t="s">
        <v>934</v>
      </c>
      <c r="I90" s="10" t="s">
        <v>61</v>
      </c>
      <c r="J90" s="50" t="s">
        <v>1631</v>
      </c>
      <c r="K90" s="10" t="s">
        <v>15</v>
      </c>
      <c r="L90" s="12">
        <f t="shared" si="9"/>
        <v>144</v>
      </c>
      <c r="M90" s="12">
        <v>6454</v>
      </c>
      <c r="N90" s="12">
        <v>0</v>
      </c>
      <c r="O90" s="11">
        <v>929376</v>
      </c>
      <c r="P90" s="11">
        <f t="shared" si="11"/>
        <v>929376</v>
      </c>
      <c r="Q90" s="11">
        <v>102231.36</v>
      </c>
      <c r="R90" s="11"/>
      <c r="S90" s="11">
        <v>0</v>
      </c>
      <c r="T90" s="11">
        <f t="shared" si="10"/>
        <v>1031607.36</v>
      </c>
      <c r="U90" s="42">
        <v>144</v>
      </c>
    </row>
    <row r="91" spans="1:21" s="36" customFormat="1" ht="15.45" hidden="1" x14ac:dyDescent="0.35">
      <c r="A91" s="19" t="s">
        <v>224</v>
      </c>
      <c r="B91" s="9">
        <v>45770</v>
      </c>
      <c r="C91" s="14" t="s">
        <v>1477</v>
      </c>
      <c r="D91" s="10" t="s">
        <v>1478</v>
      </c>
      <c r="E91" s="9">
        <v>45769</v>
      </c>
      <c r="F91" s="10" t="s">
        <v>223</v>
      </c>
      <c r="G91" s="10" t="s">
        <v>1479</v>
      </c>
      <c r="H91" s="10" t="s">
        <v>24</v>
      </c>
      <c r="I91" s="10" t="s">
        <v>61</v>
      </c>
      <c r="J91" s="50" t="s">
        <v>1724</v>
      </c>
      <c r="K91" s="10" t="s">
        <v>16</v>
      </c>
      <c r="L91" s="12">
        <f t="shared" si="9"/>
        <v>1</v>
      </c>
      <c r="M91" s="12">
        <v>13750000</v>
      </c>
      <c r="N91" s="12">
        <v>0</v>
      </c>
      <c r="O91" s="11">
        <v>13750000</v>
      </c>
      <c r="P91" s="11">
        <f t="shared" si="11"/>
        <v>13750000</v>
      </c>
      <c r="Q91" s="11">
        <v>1512500</v>
      </c>
      <c r="R91" s="11"/>
      <c r="S91" s="11">
        <v>0</v>
      </c>
      <c r="T91" s="11">
        <f t="shared" si="10"/>
        <v>15262500</v>
      </c>
      <c r="U91" s="42">
        <v>1</v>
      </c>
    </row>
    <row r="92" spans="1:21" s="36" customFormat="1" ht="15.45" hidden="1" x14ac:dyDescent="0.35">
      <c r="A92" s="19" t="s">
        <v>166</v>
      </c>
      <c r="B92" s="9">
        <v>45757</v>
      </c>
      <c r="C92" s="14" t="s">
        <v>1598</v>
      </c>
      <c r="D92" s="10"/>
      <c r="E92" s="9"/>
      <c r="F92" s="23" t="s">
        <v>210</v>
      </c>
      <c r="G92" s="23" t="s">
        <v>168</v>
      </c>
      <c r="H92" s="23" t="s">
        <v>169</v>
      </c>
      <c r="I92" s="23" t="s">
        <v>192</v>
      </c>
      <c r="J92" s="50" t="s">
        <v>1731</v>
      </c>
      <c r="K92" s="10" t="s">
        <v>0</v>
      </c>
      <c r="L92" s="12">
        <v>6090</v>
      </c>
      <c r="M92" s="12">
        <v>225.23</v>
      </c>
      <c r="N92" s="12">
        <v>0</v>
      </c>
      <c r="O92" s="11">
        <f t="shared" ref="O92:O103" si="12">L92*M92</f>
        <v>1371650.7</v>
      </c>
      <c r="P92" s="11">
        <f t="shared" si="11"/>
        <v>1371650.7</v>
      </c>
      <c r="Q92" s="11">
        <f t="shared" ref="Q92:Q103" si="13">P92*0.11</f>
        <v>150881.57699999999</v>
      </c>
      <c r="R92" s="11">
        <f t="shared" ref="R92:R103" si="14">P92*2%</f>
        <v>27433.013999999999</v>
      </c>
      <c r="S92" s="11">
        <v>0</v>
      </c>
      <c r="T92" s="11">
        <f t="shared" ref="T92:T103" si="15">P92+Q92-S92-R92</f>
        <v>1495099.263</v>
      </c>
      <c r="U92" s="42">
        <v>36</v>
      </c>
    </row>
    <row r="93" spans="1:21" s="36" customFormat="1" ht="15.45" hidden="1" x14ac:dyDescent="0.35">
      <c r="A93" s="19" t="s">
        <v>166</v>
      </c>
      <c r="B93" s="9">
        <v>45758</v>
      </c>
      <c r="C93" s="14" t="s">
        <v>1599</v>
      </c>
      <c r="D93" s="10"/>
      <c r="E93" s="9"/>
      <c r="F93" s="23" t="s">
        <v>210</v>
      </c>
      <c r="G93" s="23" t="s">
        <v>168</v>
      </c>
      <c r="H93" s="23" t="s">
        <v>169</v>
      </c>
      <c r="I93" s="23" t="s">
        <v>192</v>
      </c>
      <c r="J93" s="50" t="s">
        <v>1732</v>
      </c>
      <c r="K93" s="10" t="s">
        <v>0</v>
      </c>
      <c r="L93" s="12">
        <v>5880</v>
      </c>
      <c r="M93" s="12">
        <v>225.23</v>
      </c>
      <c r="N93" s="12">
        <v>0</v>
      </c>
      <c r="O93" s="11">
        <f t="shared" si="12"/>
        <v>1324352.3999999999</v>
      </c>
      <c r="P93" s="11">
        <f t="shared" si="11"/>
        <v>1324352.3999999999</v>
      </c>
      <c r="Q93" s="11">
        <f t="shared" si="13"/>
        <v>145678.764</v>
      </c>
      <c r="R93" s="11">
        <f t="shared" si="14"/>
        <v>26487.047999999999</v>
      </c>
      <c r="S93" s="11">
        <v>0</v>
      </c>
      <c r="T93" s="11">
        <f t="shared" si="15"/>
        <v>1443544.1159999999</v>
      </c>
      <c r="U93" s="42"/>
    </row>
    <row r="94" spans="1:21" s="36" customFormat="1" ht="15.45" hidden="1" x14ac:dyDescent="0.35">
      <c r="A94" s="19" t="s">
        <v>166</v>
      </c>
      <c r="B94" s="9">
        <v>45761</v>
      </c>
      <c r="C94" s="14" t="s">
        <v>1600</v>
      </c>
      <c r="D94" s="10"/>
      <c r="E94" s="9"/>
      <c r="F94" s="23" t="s">
        <v>210</v>
      </c>
      <c r="G94" s="23" t="s">
        <v>168</v>
      </c>
      <c r="H94" s="23" t="s">
        <v>169</v>
      </c>
      <c r="I94" s="23" t="s">
        <v>192</v>
      </c>
      <c r="J94" s="50" t="s">
        <v>1733</v>
      </c>
      <c r="K94" s="10" t="s">
        <v>0</v>
      </c>
      <c r="L94" s="12">
        <v>5710</v>
      </c>
      <c r="M94" s="12">
        <v>225.23</v>
      </c>
      <c r="N94" s="12">
        <v>0</v>
      </c>
      <c r="O94" s="11">
        <f t="shared" si="12"/>
        <v>1286063.3</v>
      </c>
      <c r="P94" s="11">
        <f t="shared" si="11"/>
        <v>1286063.3</v>
      </c>
      <c r="Q94" s="11">
        <f t="shared" si="13"/>
        <v>141466.96300000002</v>
      </c>
      <c r="R94" s="11">
        <f t="shared" si="14"/>
        <v>25721.266000000003</v>
      </c>
      <c r="S94" s="11">
        <v>0</v>
      </c>
      <c r="T94" s="11">
        <f t="shared" si="15"/>
        <v>1401808.997</v>
      </c>
      <c r="U94" s="42"/>
    </row>
    <row r="95" spans="1:21" s="36" customFormat="1" ht="15.45" hidden="1" x14ac:dyDescent="0.35">
      <c r="A95" s="19" t="s">
        <v>166</v>
      </c>
      <c r="B95" s="9">
        <v>45763</v>
      </c>
      <c r="C95" s="14" t="s">
        <v>1601</v>
      </c>
      <c r="D95" s="10"/>
      <c r="E95" s="9"/>
      <c r="F95" s="23" t="s">
        <v>210</v>
      </c>
      <c r="G95" s="23" t="s">
        <v>168</v>
      </c>
      <c r="H95" s="23" t="s">
        <v>169</v>
      </c>
      <c r="I95" s="23" t="s">
        <v>192</v>
      </c>
      <c r="J95" s="50" t="s">
        <v>1734</v>
      </c>
      <c r="K95" s="10" t="s">
        <v>0</v>
      </c>
      <c r="L95" s="12">
        <v>6600</v>
      </c>
      <c r="M95" s="12">
        <v>225.23</v>
      </c>
      <c r="N95" s="12">
        <v>0</v>
      </c>
      <c r="O95" s="11">
        <f t="shared" si="12"/>
        <v>1486518</v>
      </c>
      <c r="P95" s="11">
        <f t="shared" si="11"/>
        <v>1486518</v>
      </c>
      <c r="Q95" s="11">
        <f t="shared" si="13"/>
        <v>163516.98000000001</v>
      </c>
      <c r="R95" s="11">
        <f t="shared" si="14"/>
        <v>29730.36</v>
      </c>
      <c r="S95" s="11">
        <v>0</v>
      </c>
      <c r="T95" s="11">
        <f t="shared" si="15"/>
        <v>1620304.6199999999</v>
      </c>
      <c r="U95" s="42"/>
    </row>
    <row r="96" spans="1:21" s="36" customFormat="1" ht="15.45" hidden="1" x14ac:dyDescent="0.35">
      <c r="A96" s="19" t="s">
        <v>166</v>
      </c>
      <c r="B96" s="9">
        <v>45764</v>
      </c>
      <c r="C96" s="14" t="s">
        <v>1602</v>
      </c>
      <c r="D96" s="10"/>
      <c r="E96" s="9"/>
      <c r="F96" s="23" t="s">
        <v>210</v>
      </c>
      <c r="G96" s="23" t="s">
        <v>168</v>
      </c>
      <c r="H96" s="23" t="s">
        <v>169</v>
      </c>
      <c r="I96" s="23" t="s">
        <v>192</v>
      </c>
      <c r="J96" s="50" t="s">
        <v>1735</v>
      </c>
      <c r="K96" s="10" t="s">
        <v>0</v>
      </c>
      <c r="L96" s="12">
        <v>6210</v>
      </c>
      <c r="M96" s="12">
        <v>225.23</v>
      </c>
      <c r="N96" s="12">
        <v>0</v>
      </c>
      <c r="O96" s="11">
        <f t="shared" si="12"/>
        <v>1398678.3</v>
      </c>
      <c r="P96" s="11">
        <f t="shared" si="11"/>
        <v>1398678.3</v>
      </c>
      <c r="Q96" s="11">
        <f t="shared" si="13"/>
        <v>153854.61300000001</v>
      </c>
      <c r="R96" s="11">
        <f t="shared" si="14"/>
        <v>27973.566000000003</v>
      </c>
      <c r="S96" s="11">
        <v>0</v>
      </c>
      <c r="T96" s="11">
        <f t="shared" si="15"/>
        <v>1524559.3470000001</v>
      </c>
      <c r="U96" s="42"/>
    </row>
    <row r="97" spans="1:21" s="36" customFormat="1" ht="15.45" hidden="1" x14ac:dyDescent="0.35">
      <c r="A97" s="19" t="s">
        <v>166</v>
      </c>
      <c r="B97" s="9">
        <v>45768</v>
      </c>
      <c r="C97" s="14" t="s">
        <v>1603</v>
      </c>
      <c r="D97" s="10"/>
      <c r="E97" s="9"/>
      <c r="F97" s="23" t="s">
        <v>210</v>
      </c>
      <c r="G97" s="23" t="s">
        <v>168</v>
      </c>
      <c r="H97" s="23" t="s">
        <v>169</v>
      </c>
      <c r="I97" s="23" t="s">
        <v>192</v>
      </c>
      <c r="J97" s="50" t="s">
        <v>1736</v>
      </c>
      <c r="K97" s="10" t="s">
        <v>0</v>
      </c>
      <c r="L97" s="12">
        <v>6560</v>
      </c>
      <c r="M97" s="12">
        <v>225.23</v>
      </c>
      <c r="N97" s="12">
        <v>0</v>
      </c>
      <c r="O97" s="11">
        <f t="shared" si="12"/>
        <v>1477508.8</v>
      </c>
      <c r="P97" s="11">
        <f t="shared" si="11"/>
        <v>1477508.8</v>
      </c>
      <c r="Q97" s="11">
        <f t="shared" si="13"/>
        <v>162525.96799999999</v>
      </c>
      <c r="R97" s="11">
        <f t="shared" si="14"/>
        <v>29550.176000000003</v>
      </c>
      <c r="S97" s="11">
        <v>0</v>
      </c>
      <c r="T97" s="11">
        <f t="shared" si="15"/>
        <v>1610484.5920000002</v>
      </c>
      <c r="U97" s="42"/>
    </row>
    <row r="98" spans="1:21" s="36" customFormat="1" ht="15.45" hidden="1" x14ac:dyDescent="0.35">
      <c r="A98" s="19" t="s">
        <v>166</v>
      </c>
      <c r="B98" s="9">
        <v>45770</v>
      </c>
      <c r="C98" s="14" t="s">
        <v>1604</v>
      </c>
      <c r="D98" s="10"/>
      <c r="E98" s="9"/>
      <c r="F98" s="23" t="s">
        <v>210</v>
      </c>
      <c r="G98" s="23" t="s">
        <v>168</v>
      </c>
      <c r="H98" s="23" t="s">
        <v>169</v>
      </c>
      <c r="I98" s="23" t="s">
        <v>192</v>
      </c>
      <c r="J98" s="50" t="s">
        <v>1737</v>
      </c>
      <c r="K98" s="10" t="s">
        <v>0</v>
      </c>
      <c r="L98" s="12">
        <v>6650</v>
      </c>
      <c r="M98" s="12">
        <v>225.23</v>
      </c>
      <c r="N98" s="12">
        <v>0</v>
      </c>
      <c r="O98" s="11">
        <f t="shared" si="12"/>
        <v>1497779.5</v>
      </c>
      <c r="P98" s="11">
        <f t="shared" si="11"/>
        <v>1497779.5</v>
      </c>
      <c r="Q98" s="11">
        <f t="shared" si="13"/>
        <v>164755.745</v>
      </c>
      <c r="R98" s="11">
        <f t="shared" si="14"/>
        <v>29955.59</v>
      </c>
      <c r="S98" s="11">
        <v>0</v>
      </c>
      <c r="T98" s="11">
        <f t="shared" si="15"/>
        <v>1632579.655</v>
      </c>
      <c r="U98" s="42"/>
    </row>
    <row r="99" spans="1:21" s="36" customFormat="1" ht="15.45" hidden="1" x14ac:dyDescent="0.35">
      <c r="A99" s="19" t="s">
        <v>166</v>
      </c>
      <c r="B99" s="9">
        <v>45771</v>
      </c>
      <c r="C99" s="14" t="s">
        <v>1605</v>
      </c>
      <c r="D99" s="10"/>
      <c r="E99" s="9"/>
      <c r="F99" s="23" t="s">
        <v>210</v>
      </c>
      <c r="G99" s="23" t="s">
        <v>168</v>
      </c>
      <c r="H99" s="23" t="s">
        <v>169</v>
      </c>
      <c r="I99" s="23" t="s">
        <v>192</v>
      </c>
      <c r="J99" s="50" t="s">
        <v>1738</v>
      </c>
      <c r="K99" s="10" t="s">
        <v>0</v>
      </c>
      <c r="L99" s="12">
        <v>5400</v>
      </c>
      <c r="M99" s="12">
        <v>225.23</v>
      </c>
      <c r="N99" s="12">
        <v>0</v>
      </c>
      <c r="O99" s="11">
        <f t="shared" si="12"/>
        <v>1216242</v>
      </c>
      <c r="P99" s="11">
        <f t="shared" si="11"/>
        <v>1216242</v>
      </c>
      <c r="Q99" s="11">
        <f t="shared" si="13"/>
        <v>133786.62</v>
      </c>
      <c r="R99" s="11">
        <f t="shared" si="14"/>
        <v>24324.84</v>
      </c>
      <c r="S99" s="11">
        <v>0</v>
      </c>
      <c r="T99" s="11">
        <f t="shared" si="15"/>
        <v>1325703.78</v>
      </c>
      <c r="U99" s="42"/>
    </row>
    <row r="100" spans="1:21" s="36" customFormat="1" ht="15.45" hidden="1" x14ac:dyDescent="0.35">
      <c r="A100" s="19" t="s">
        <v>166</v>
      </c>
      <c r="B100" s="9">
        <v>45771</v>
      </c>
      <c r="C100" s="14" t="s">
        <v>1606</v>
      </c>
      <c r="D100" s="10"/>
      <c r="E100" s="9"/>
      <c r="F100" s="23" t="s">
        <v>210</v>
      </c>
      <c r="G100" s="23" t="s">
        <v>168</v>
      </c>
      <c r="H100" s="23" t="s">
        <v>169</v>
      </c>
      <c r="I100" s="23" t="s">
        <v>192</v>
      </c>
      <c r="J100" s="50" t="s">
        <v>1738</v>
      </c>
      <c r="K100" s="10" t="s">
        <v>0</v>
      </c>
      <c r="L100" s="12">
        <v>6340</v>
      </c>
      <c r="M100" s="12">
        <v>225.23</v>
      </c>
      <c r="N100" s="12">
        <v>0</v>
      </c>
      <c r="O100" s="11">
        <f t="shared" si="12"/>
        <v>1427958.2</v>
      </c>
      <c r="P100" s="11">
        <f t="shared" si="11"/>
        <v>1427958.2</v>
      </c>
      <c r="Q100" s="11">
        <f t="shared" si="13"/>
        <v>157075.402</v>
      </c>
      <c r="R100" s="11">
        <f t="shared" si="14"/>
        <v>28559.164000000001</v>
      </c>
      <c r="S100" s="11">
        <v>0</v>
      </c>
      <c r="T100" s="11">
        <f t="shared" si="15"/>
        <v>1556474.4379999998</v>
      </c>
      <c r="U100" s="42"/>
    </row>
    <row r="101" spans="1:21" s="36" customFormat="1" ht="15.45" hidden="1" x14ac:dyDescent="0.35">
      <c r="A101" s="19" t="s">
        <v>166</v>
      </c>
      <c r="B101" s="9">
        <v>45772</v>
      </c>
      <c r="C101" s="14" t="s">
        <v>1607</v>
      </c>
      <c r="D101" s="10"/>
      <c r="E101" s="9"/>
      <c r="F101" s="23" t="s">
        <v>210</v>
      </c>
      <c r="G101" s="23" t="s">
        <v>168</v>
      </c>
      <c r="H101" s="23" t="s">
        <v>169</v>
      </c>
      <c r="I101" s="23" t="s">
        <v>192</v>
      </c>
      <c r="J101" s="50" t="s">
        <v>1739</v>
      </c>
      <c r="K101" s="10" t="s">
        <v>0</v>
      </c>
      <c r="L101" s="12">
        <v>6610</v>
      </c>
      <c r="M101" s="12">
        <v>225.23</v>
      </c>
      <c r="N101" s="12">
        <v>0</v>
      </c>
      <c r="O101" s="11">
        <f t="shared" si="12"/>
        <v>1488770.3</v>
      </c>
      <c r="P101" s="11">
        <f t="shared" si="11"/>
        <v>1488770.3</v>
      </c>
      <c r="Q101" s="11">
        <f t="shared" si="13"/>
        <v>163764.73300000001</v>
      </c>
      <c r="R101" s="11">
        <f t="shared" si="14"/>
        <v>29775.406000000003</v>
      </c>
      <c r="S101" s="11">
        <v>0</v>
      </c>
      <c r="T101" s="11">
        <f t="shared" si="15"/>
        <v>1622759.6270000001</v>
      </c>
      <c r="U101" s="42"/>
    </row>
    <row r="102" spans="1:21" s="36" customFormat="1" ht="15.45" hidden="1" x14ac:dyDescent="0.35">
      <c r="A102" s="19" t="s">
        <v>166</v>
      </c>
      <c r="B102" s="9">
        <v>45775</v>
      </c>
      <c r="C102" s="14" t="s">
        <v>1608</v>
      </c>
      <c r="D102" s="10"/>
      <c r="E102" s="9"/>
      <c r="F102" s="23" t="s">
        <v>210</v>
      </c>
      <c r="G102" s="23" t="s">
        <v>168</v>
      </c>
      <c r="H102" s="23" t="s">
        <v>169</v>
      </c>
      <c r="I102" s="23" t="s">
        <v>192</v>
      </c>
      <c r="J102" s="50" t="s">
        <v>1740</v>
      </c>
      <c r="K102" s="10" t="s">
        <v>0</v>
      </c>
      <c r="L102" s="12">
        <v>6440</v>
      </c>
      <c r="M102" s="12">
        <v>225.23</v>
      </c>
      <c r="N102" s="12">
        <v>0</v>
      </c>
      <c r="O102" s="11">
        <f t="shared" si="12"/>
        <v>1450481.2</v>
      </c>
      <c r="P102" s="11">
        <f t="shared" si="11"/>
        <v>1450481.2</v>
      </c>
      <c r="Q102" s="11">
        <f t="shared" si="13"/>
        <v>159552.932</v>
      </c>
      <c r="R102" s="11">
        <f t="shared" si="14"/>
        <v>29009.624</v>
      </c>
      <c r="S102" s="11">
        <v>0</v>
      </c>
      <c r="T102" s="11">
        <f t="shared" si="15"/>
        <v>1581024.5079999999</v>
      </c>
      <c r="U102" s="42"/>
    </row>
    <row r="103" spans="1:21" s="36" customFormat="1" ht="15.45" hidden="1" x14ac:dyDescent="0.35">
      <c r="A103" s="19" t="s">
        <v>166</v>
      </c>
      <c r="B103" s="9">
        <v>45775</v>
      </c>
      <c r="C103" s="14" t="s">
        <v>1609</v>
      </c>
      <c r="D103" s="10"/>
      <c r="E103" s="9"/>
      <c r="F103" s="23" t="s">
        <v>210</v>
      </c>
      <c r="G103" s="23" t="s">
        <v>168</v>
      </c>
      <c r="H103" s="23" t="s">
        <v>169</v>
      </c>
      <c r="I103" s="23" t="s">
        <v>192</v>
      </c>
      <c r="J103" s="50" t="s">
        <v>1740</v>
      </c>
      <c r="K103" s="10" t="s">
        <v>0</v>
      </c>
      <c r="L103" s="12">
        <v>4410</v>
      </c>
      <c r="M103" s="12">
        <v>225.23</v>
      </c>
      <c r="N103" s="12">
        <v>0</v>
      </c>
      <c r="O103" s="11">
        <f t="shared" si="12"/>
        <v>993264.29999999993</v>
      </c>
      <c r="P103" s="11">
        <f t="shared" si="11"/>
        <v>993264.29999999993</v>
      </c>
      <c r="Q103" s="11">
        <f t="shared" si="13"/>
        <v>109259.07299999999</v>
      </c>
      <c r="R103" s="11">
        <f t="shared" si="14"/>
        <v>19865.286</v>
      </c>
      <c r="S103" s="11">
        <v>0</v>
      </c>
      <c r="T103" s="11">
        <f t="shared" si="15"/>
        <v>1082658.0869999998</v>
      </c>
      <c r="U103" s="42"/>
    </row>
    <row r="104" spans="1:21" s="36" customFormat="1" ht="15.45" hidden="1" x14ac:dyDescent="0.35">
      <c r="A104" s="19" t="s">
        <v>693</v>
      </c>
      <c r="B104" s="9">
        <v>45764</v>
      </c>
      <c r="C104" s="14" t="s">
        <v>1416</v>
      </c>
      <c r="D104" s="10" t="s">
        <v>1417</v>
      </c>
      <c r="E104" s="9">
        <v>45759</v>
      </c>
      <c r="F104" s="10" t="s">
        <v>667</v>
      </c>
      <c r="G104" s="10" t="s">
        <v>1418</v>
      </c>
      <c r="H104" s="10" t="s">
        <v>24</v>
      </c>
      <c r="I104" s="10" t="s">
        <v>61</v>
      </c>
      <c r="J104" s="10"/>
      <c r="K104" s="10" t="s">
        <v>151</v>
      </c>
      <c r="L104" s="12">
        <f t="shared" ref="L104:L145" si="16">IF(LEFT(C104,2)="RP",U104*-1,U104)</f>
        <v>3</v>
      </c>
      <c r="M104" s="12">
        <v>14000</v>
      </c>
      <c r="N104" s="12">
        <v>0</v>
      </c>
      <c r="O104" s="11">
        <v>42000</v>
      </c>
      <c r="P104" s="11">
        <f t="shared" ref="P104:P135" si="17">O104</f>
        <v>42000</v>
      </c>
      <c r="Q104" s="11">
        <v>0</v>
      </c>
      <c r="R104" s="11"/>
      <c r="S104" s="11">
        <v>0</v>
      </c>
      <c r="T104" s="11">
        <f>P104+Q104-S104</f>
        <v>42000</v>
      </c>
      <c r="U104" s="42">
        <v>3</v>
      </c>
    </row>
    <row r="105" spans="1:21" s="36" customFormat="1" ht="15.45" hidden="1" x14ac:dyDescent="0.35">
      <c r="A105" s="19" t="s">
        <v>693</v>
      </c>
      <c r="B105" s="9">
        <v>45764</v>
      </c>
      <c r="C105" s="14" t="s">
        <v>1416</v>
      </c>
      <c r="D105" s="10" t="s">
        <v>1417</v>
      </c>
      <c r="E105" s="9">
        <v>45759</v>
      </c>
      <c r="F105" s="10" t="s">
        <v>667</v>
      </c>
      <c r="G105" s="10" t="s">
        <v>193</v>
      </c>
      <c r="H105" s="10" t="s">
        <v>24</v>
      </c>
      <c r="I105" s="10" t="s">
        <v>61</v>
      </c>
      <c r="J105" s="10"/>
      <c r="K105" s="10" t="s">
        <v>151</v>
      </c>
      <c r="L105" s="12">
        <f t="shared" si="16"/>
        <v>2</v>
      </c>
      <c r="M105" s="12">
        <v>22000</v>
      </c>
      <c r="N105" s="12">
        <v>0</v>
      </c>
      <c r="O105" s="11">
        <v>44000</v>
      </c>
      <c r="P105" s="11">
        <f t="shared" si="17"/>
        <v>44000</v>
      </c>
      <c r="Q105" s="11">
        <v>0</v>
      </c>
      <c r="R105" s="11"/>
      <c r="S105" s="11">
        <v>0</v>
      </c>
      <c r="T105" s="11">
        <f>P105+Q105-S105</f>
        <v>44000</v>
      </c>
      <c r="U105" s="42">
        <v>2</v>
      </c>
    </row>
    <row r="106" spans="1:21" s="36" customFormat="1" ht="15.45" hidden="1" x14ac:dyDescent="0.35">
      <c r="A106" s="19" t="s">
        <v>1493</v>
      </c>
      <c r="B106" s="9">
        <v>45769</v>
      </c>
      <c r="C106" s="14" t="s">
        <v>1454</v>
      </c>
      <c r="D106" s="10" t="s">
        <v>1455</v>
      </c>
      <c r="E106" s="9">
        <v>45764</v>
      </c>
      <c r="F106" s="10" t="s">
        <v>1456</v>
      </c>
      <c r="G106" s="10" t="s">
        <v>1457</v>
      </c>
      <c r="H106" s="10" t="s">
        <v>26</v>
      </c>
      <c r="I106" s="10" t="s">
        <v>80</v>
      </c>
      <c r="J106" s="50" t="s">
        <v>1622</v>
      </c>
      <c r="K106" s="10" t="s">
        <v>16</v>
      </c>
      <c r="L106" s="12">
        <f t="shared" si="16"/>
        <v>1</v>
      </c>
      <c r="M106" s="12">
        <v>150000</v>
      </c>
      <c r="N106" s="12">
        <v>0</v>
      </c>
      <c r="O106" s="11">
        <v>150000</v>
      </c>
      <c r="P106" s="11">
        <f t="shared" si="17"/>
        <v>150000</v>
      </c>
      <c r="Q106" s="11">
        <v>16500</v>
      </c>
      <c r="R106" s="11">
        <f>P106*2%</f>
        <v>3000</v>
      </c>
      <c r="S106" s="11">
        <v>0</v>
      </c>
      <c r="T106" s="11">
        <f>P106+Q106-S106-R106</f>
        <v>163500</v>
      </c>
      <c r="U106" s="42">
        <v>1</v>
      </c>
    </row>
    <row r="107" spans="1:21" s="36" customFormat="1" ht="15.45" hidden="1" x14ac:dyDescent="0.35">
      <c r="A107" s="19" t="s">
        <v>1493</v>
      </c>
      <c r="B107" s="9">
        <v>45769</v>
      </c>
      <c r="C107" s="14" t="s">
        <v>1454</v>
      </c>
      <c r="D107" s="10" t="s">
        <v>1455</v>
      </c>
      <c r="E107" s="9">
        <v>45764</v>
      </c>
      <c r="F107" s="10" t="s">
        <v>1456</v>
      </c>
      <c r="G107" s="10" t="s">
        <v>1458</v>
      </c>
      <c r="H107" s="10" t="s">
        <v>24</v>
      </c>
      <c r="I107" s="10" t="s">
        <v>61</v>
      </c>
      <c r="J107" s="50" t="s">
        <v>1622</v>
      </c>
      <c r="K107" s="10" t="s">
        <v>6</v>
      </c>
      <c r="L107" s="12">
        <f t="shared" si="16"/>
        <v>1</v>
      </c>
      <c r="M107" s="12">
        <v>110000</v>
      </c>
      <c r="N107" s="12">
        <v>0</v>
      </c>
      <c r="O107" s="11">
        <v>110000</v>
      </c>
      <c r="P107" s="11">
        <f t="shared" si="17"/>
        <v>110000</v>
      </c>
      <c r="Q107" s="11">
        <v>12100</v>
      </c>
      <c r="R107" s="11"/>
      <c r="S107" s="11">
        <v>0</v>
      </c>
      <c r="T107" s="11">
        <f>P107+Q107-S107</f>
        <v>122100</v>
      </c>
      <c r="U107" s="42">
        <v>1</v>
      </c>
    </row>
    <row r="108" spans="1:21" s="36" customFormat="1" ht="15.45" hidden="1" x14ac:dyDescent="0.35">
      <c r="A108" s="19" t="s">
        <v>1493</v>
      </c>
      <c r="B108" s="9">
        <v>45769</v>
      </c>
      <c r="C108" s="14" t="s">
        <v>1454</v>
      </c>
      <c r="D108" s="10" t="s">
        <v>1455</v>
      </c>
      <c r="E108" s="9">
        <v>45764</v>
      </c>
      <c r="F108" s="10" t="s">
        <v>1456</v>
      </c>
      <c r="G108" s="10" t="s">
        <v>1459</v>
      </c>
      <c r="H108" s="10" t="s">
        <v>24</v>
      </c>
      <c r="I108" s="10" t="s">
        <v>61</v>
      </c>
      <c r="J108" s="50" t="s">
        <v>1622</v>
      </c>
      <c r="K108" s="10" t="s">
        <v>6</v>
      </c>
      <c r="L108" s="12">
        <f t="shared" si="16"/>
        <v>1</v>
      </c>
      <c r="M108" s="12">
        <v>80000</v>
      </c>
      <c r="N108" s="12">
        <v>0</v>
      </c>
      <c r="O108" s="11">
        <v>80000</v>
      </c>
      <c r="P108" s="11">
        <f t="shared" si="17"/>
        <v>80000</v>
      </c>
      <c r="Q108" s="11">
        <v>8800</v>
      </c>
      <c r="R108" s="11"/>
      <c r="S108" s="11">
        <v>0</v>
      </c>
      <c r="T108" s="11">
        <f>P108+Q108-S108</f>
        <v>88800</v>
      </c>
      <c r="U108" s="42">
        <v>1</v>
      </c>
    </row>
    <row r="109" spans="1:21" s="36" customFormat="1" ht="15.45" hidden="1" x14ac:dyDescent="0.35">
      <c r="A109" s="19" t="s">
        <v>1493</v>
      </c>
      <c r="B109" s="9">
        <v>45769</v>
      </c>
      <c r="C109" s="14" t="s">
        <v>1460</v>
      </c>
      <c r="D109" s="10" t="s">
        <v>1461</v>
      </c>
      <c r="E109" s="9">
        <v>45764</v>
      </c>
      <c r="F109" s="10" t="s">
        <v>1456</v>
      </c>
      <c r="G109" s="10" t="s">
        <v>1462</v>
      </c>
      <c r="H109" s="10" t="s">
        <v>26</v>
      </c>
      <c r="I109" s="10" t="s">
        <v>80</v>
      </c>
      <c r="J109" s="50" t="s">
        <v>1622</v>
      </c>
      <c r="K109" s="10" t="s">
        <v>16</v>
      </c>
      <c r="L109" s="12">
        <f t="shared" si="16"/>
        <v>1</v>
      </c>
      <c r="M109" s="12">
        <v>100000</v>
      </c>
      <c r="N109" s="12">
        <v>0</v>
      </c>
      <c r="O109" s="11">
        <v>100000</v>
      </c>
      <c r="P109" s="11">
        <f t="shared" si="17"/>
        <v>100000</v>
      </c>
      <c r="Q109" s="11">
        <v>11000</v>
      </c>
      <c r="R109" s="11">
        <f>P109*2%</f>
        <v>2000</v>
      </c>
      <c r="S109" s="11">
        <v>0</v>
      </c>
      <c r="T109" s="11">
        <f>P109+Q109-S109-R109</f>
        <v>109000</v>
      </c>
      <c r="U109" s="42">
        <v>1</v>
      </c>
    </row>
    <row r="110" spans="1:21" s="36" customFormat="1" ht="15.45" hidden="1" x14ac:dyDescent="0.35">
      <c r="A110" s="19" t="s">
        <v>1493</v>
      </c>
      <c r="B110" s="9">
        <v>45769</v>
      </c>
      <c r="C110" s="14" t="s">
        <v>1460</v>
      </c>
      <c r="D110" s="10" t="s">
        <v>1461</v>
      </c>
      <c r="E110" s="9">
        <v>45764</v>
      </c>
      <c r="F110" s="10" t="s">
        <v>1456</v>
      </c>
      <c r="G110" s="10" t="s">
        <v>1463</v>
      </c>
      <c r="H110" s="10" t="s">
        <v>24</v>
      </c>
      <c r="I110" s="10" t="s">
        <v>61</v>
      </c>
      <c r="J110" s="50" t="s">
        <v>1622</v>
      </c>
      <c r="K110" s="10" t="s">
        <v>6</v>
      </c>
      <c r="L110" s="12">
        <f t="shared" si="16"/>
        <v>1</v>
      </c>
      <c r="M110" s="12">
        <v>50000</v>
      </c>
      <c r="N110" s="12">
        <v>0</v>
      </c>
      <c r="O110" s="11">
        <v>50000</v>
      </c>
      <c r="P110" s="11">
        <f t="shared" si="17"/>
        <v>50000</v>
      </c>
      <c r="Q110" s="11">
        <v>5500</v>
      </c>
      <c r="R110" s="11"/>
      <c r="S110" s="11">
        <v>0</v>
      </c>
      <c r="T110" s="11">
        <f t="shared" ref="T110:T138" si="18">P110+Q110-S110</f>
        <v>55500</v>
      </c>
      <c r="U110" s="42">
        <v>1</v>
      </c>
    </row>
    <row r="111" spans="1:21" s="36" customFormat="1" ht="15.45" hidden="1" x14ac:dyDescent="0.35">
      <c r="A111" s="19" t="s">
        <v>1493</v>
      </c>
      <c r="B111" s="9">
        <v>45769</v>
      </c>
      <c r="C111" s="14" t="s">
        <v>1460</v>
      </c>
      <c r="D111" s="10" t="s">
        <v>1461</v>
      </c>
      <c r="E111" s="9">
        <v>45764</v>
      </c>
      <c r="F111" s="10" t="s">
        <v>1456</v>
      </c>
      <c r="G111" s="10" t="s">
        <v>1464</v>
      </c>
      <c r="H111" s="10" t="s">
        <v>24</v>
      </c>
      <c r="I111" s="10" t="s">
        <v>61</v>
      </c>
      <c r="J111" s="50" t="s">
        <v>1622</v>
      </c>
      <c r="K111" s="10" t="s">
        <v>6</v>
      </c>
      <c r="L111" s="12">
        <f t="shared" si="16"/>
        <v>1</v>
      </c>
      <c r="M111" s="12">
        <v>40000</v>
      </c>
      <c r="N111" s="12">
        <v>0</v>
      </c>
      <c r="O111" s="11">
        <v>40000</v>
      </c>
      <c r="P111" s="11">
        <f t="shared" si="17"/>
        <v>40000</v>
      </c>
      <c r="Q111" s="11">
        <v>4400</v>
      </c>
      <c r="R111" s="11"/>
      <c r="S111" s="11">
        <v>0</v>
      </c>
      <c r="T111" s="11">
        <f t="shared" si="18"/>
        <v>44400</v>
      </c>
      <c r="U111" s="42">
        <v>1</v>
      </c>
    </row>
    <row r="112" spans="1:21" s="36" customFormat="1" ht="15.45" hidden="1" x14ac:dyDescent="0.35">
      <c r="A112" s="19" t="s">
        <v>1493</v>
      </c>
      <c r="B112" s="9">
        <v>45769</v>
      </c>
      <c r="C112" s="14" t="s">
        <v>1460</v>
      </c>
      <c r="D112" s="10" t="s">
        <v>1461</v>
      </c>
      <c r="E112" s="9">
        <v>45764</v>
      </c>
      <c r="F112" s="10" t="s">
        <v>1456</v>
      </c>
      <c r="G112" s="10" t="s">
        <v>1465</v>
      </c>
      <c r="H112" s="10" t="s">
        <v>24</v>
      </c>
      <c r="I112" s="10" t="s">
        <v>61</v>
      </c>
      <c r="J112" s="50" t="s">
        <v>1622</v>
      </c>
      <c r="K112" s="10" t="s">
        <v>6</v>
      </c>
      <c r="L112" s="12">
        <f t="shared" si="16"/>
        <v>1</v>
      </c>
      <c r="M112" s="12">
        <v>70000</v>
      </c>
      <c r="N112" s="12">
        <v>0</v>
      </c>
      <c r="O112" s="11">
        <v>70000</v>
      </c>
      <c r="P112" s="11">
        <f t="shared" si="17"/>
        <v>70000</v>
      </c>
      <c r="Q112" s="11">
        <v>7700</v>
      </c>
      <c r="R112" s="11"/>
      <c r="S112" s="11">
        <v>0</v>
      </c>
      <c r="T112" s="11">
        <f t="shared" si="18"/>
        <v>77700</v>
      </c>
      <c r="U112" s="42">
        <v>1</v>
      </c>
    </row>
    <row r="113" spans="1:23" s="36" customFormat="1" ht="15.45" hidden="1" x14ac:dyDescent="0.35">
      <c r="A113" s="19" t="s">
        <v>110</v>
      </c>
      <c r="B113" s="9">
        <v>45764</v>
      </c>
      <c r="C113" s="14" t="s">
        <v>1422</v>
      </c>
      <c r="D113" s="10" t="s">
        <v>1088</v>
      </c>
      <c r="E113" s="9">
        <v>45724</v>
      </c>
      <c r="F113" s="10" t="s">
        <v>72</v>
      </c>
      <c r="G113" s="10" t="s">
        <v>29</v>
      </c>
      <c r="H113" s="10" t="s">
        <v>23</v>
      </c>
      <c r="I113" s="10" t="s">
        <v>887</v>
      </c>
      <c r="J113" s="50" t="s">
        <v>1627</v>
      </c>
      <c r="K113" s="10" t="s">
        <v>1</v>
      </c>
      <c r="L113" s="12">
        <f t="shared" si="16"/>
        <v>5000</v>
      </c>
      <c r="M113" s="12">
        <v>5500</v>
      </c>
      <c r="N113" s="12">
        <v>0</v>
      </c>
      <c r="O113" s="11">
        <v>27500000</v>
      </c>
      <c r="P113" s="11">
        <f t="shared" si="17"/>
        <v>27500000</v>
      </c>
      <c r="Q113" s="11">
        <v>3025000</v>
      </c>
      <c r="R113" s="11"/>
      <c r="S113" s="11">
        <v>0</v>
      </c>
      <c r="T113" s="11">
        <f t="shared" si="18"/>
        <v>30525000</v>
      </c>
      <c r="U113" s="42">
        <v>5000</v>
      </c>
    </row>
    <row r="114" spans="1:23" s="36" customFormat="1" ht="15.45" hidden="1" x14ac:dyDescent="0.35">
      <c r="A114" s="19" t="s">
        <v>110</v>
      </c>
      <c r="B114" s="9">
        <v>45772</v>
      </c>
      <c r="C114" s="14" t="s">
        <v>1567</v>
      </c>
      <c r="D114" s="10" t="s">
        <v>1568</v>
      </c>
      <c r="E114" s="9">
        <v>45771</v>
      </c>
      <c r="F114" s="10" t="s">
        <v>72</v>
      </c>
      <c r="G114" s="10" t="s">
        <v>77</v>
      </c>
      <c r="H114" s="10" t="s">
        <v>23</v>
      </c>
      <c r="I114" s="10" t="s">
        <v>887</v>
      </c>
      <c r="J114" s="50" t="s">
        <v>1635</v>
      </c>
      <c r="K114" s="10" t="s">
        <v>1</v>
      </c>
      <c r="L114" s="12">
        <f t="shared" si="16"/>
        <v>400</v>
      </c>
      <c r="M114" s="12">
        <v>30500</v>
      </c>
      <c r="N114" s="12">
        <v>0</v>
      </c>
      <c r="O114" s="11">
        <v>12200000</v>
      </c>
      <c r="P114" s="11">
        <f t="shared" si="17"/>
        <v>12200000</v>
      </c>
      <c r="Q114" s="11">
        <v>1342000</v>
      </c>
      <c r="R114" s="11"/>
      <c r="S114" s="11">
        <v>0</v>
      </c>
      <c r="T114" s="11">
        <f t="shared" si="18"/>
        <v>13542000</v>
      </c>
      <c r="U114" s="42">
        <v>400</v>
      </c>
    </row>
    <row r="115" spans="1:23" s="36" customFormat="1" ht="15.45" hidden="1" x14ac:dyDescent="0.35">
      <c r="A115" s="19" t="s">
        <v>218</v>
      </c>
      <c r="B115" s="9">
        <v>45769</v>
      </c>
      <c r="C115" s="14" t="s">
        <v>1466</v>
      </c>
      <c r="D115" s="10" t="s">
        <v>1467</v>
      </c>
      <c r="E115" s="9">
        <v>45764</v>
      </c>
      <c r="F115" s="10" t="s">
        <v>44</v>
      </c>
      <c r="G115" s="10" t="s">
        <v>41</v>
      </c>
      <c r="H115" s="10" t="s">
        <v>23</v>
      </c>
      <c r="I115" s="10" t="s">
        <v>890</v>
      </c>
      <c r="J115" s="50" t="s">
        <v>1628</v>
      </c>
      <c r="K115" s="10" t="s">
        <v>1</v>
      </c>
      <c r="L115" s="12">
        <f t="shared" si="16"/>
        <v>4000</v>
      </c>
      <c r="M115" s="12">
        <v>21870</v>
      </c>
      <c r="N115" s="12">
        <v>16823</v>
      </c>
      <c r="O115" s="11">
        <v>87480000</v>
      </c>
      <c r="P115" s="11">
        <f t="shared" si="17"/>
        <v>87480000</v>
      </c>
      <c r="Q115" s="11">
        <v>9622800</v>
      </c>
      <c r="R115" s="11"/>
      <c r="S115" s="11">
        <v>0</v>
      </c>
      <c r="T115" s="11">
        <f t="shared" si="18"/>
        <v>97102800</v>
      </c>
      <c r="U115" s="42">
        <v>4000</v>
      </c>
    </row>
    <row r="116" spans="1:23" s="36" customFormat="1" ht="15.45" hidden="1" x14ac:dyDescent="0.35">
      <c r="A116" s="19" t="s">
        <v>218</v>
      </c>
      <c r="B116" s="9">
        <v>45775</v>
      </c>
      <c r="C116" s="14" t="s">
        <v>1579</v>
      </c>
      <c r="D116" s="10" t="s">
        <v>1467</v>
      </c>
      <c r="E116" s="9">
        <v>45764</v>
      </c>
      <c r="F116" s="10" t="s">
        <v>44</v>
      </c>
      <c r="G116" s="10" t="s">
        <v>41</v>
      </c>
      <c r="H116" s="10" t="s">
        <v>23</v>
      </c>
      <c r="I116" s="10" t="s">
        <v>890</v>
      </c>
      <c r="J116" s="50" t="s">
        <v>1633</v>
      </c>
      <c r="K116" s="10" t="s">
        <v>1</v>
      </c>
      <c r="L116" s="12">
        <f t="shared" si="16"/>
        <v>1850</v>
      </c>
      <c r="M116" s="12">
        <v>21870</v>
      </c>
      <c r="N116" s="12">
        <v>16823</v>
      </c>
      <c r="O116" s="11">
        <v>40459500</v>
      </c>
      <c r="P116" s="11">
        <f t="shared" si="17"/>
        <v>40459500</v>
      </c>
      <c r="Q116" s="11">
        <v>4450545</v>
      </c>
      <c r="R116" s="11"/>
      <c r="S116" s="11">
        <v>0</v>
      </c>
      <c r="T116" s="11">
        <f t="shared" si="18"/>
        <v>44910045</v>
      </c>
      <c r="U116" s="42">
        <v>1850</v>
      </c>
    </row>
    <row r="117" spans="1:23" s="36" customFormat="1" ht="15.45" hidden="1" x14ac:dyDescent="0.4">
      <c r="A117" s="19" t="s">
        <v>111</v>
      </c>
      <c r="B117" s="9">
        <v>45757</v>
      </c>
      <c r="C117" s="14" t="s">
        <v>1309</v>
      </c>
      <c r="D117" s="10" t="s">
        <v>1310</v>
      </c>
      <c r="E117" s="9">
        <v>45757</v>
      </c>
      <c r="F117" s="10" t="s">
        <v>55</v>
      </c>
      <c r="G117" s="10" t="s">
        <v>1311</v>
      </c>
      <c r="H117" s="10" t="s">
        <v>24</v>
      </c>
      <c r="I117" s="10" t="s">
        <v>61</v>
      </c>
      <c r="J117" s="10"/>
      <c r="K117" s="10" t="s">
        <v>6</v>
      </c>
      <c r="L117" s="12">
        <f t="shared" si="16"/>
        <v>5</v>
      </c>
      <c r="M117" s="12">
        <v>100000</v>
      </c>
      <c r="N117" s="12">
        <v>0</v>
      </c>
      <c r="O117" s="11">
        <v>500000</v>
      </c>
      <c r="P117" s="11">
        <f t="shared" si="17"/>
        <v>500000</v>
      </c>
      <c r="Q117" s="11">
        <v>0</v>
      </c>
      <c r="R117" s="11"/>
      <c r="S117" s="11">
        <v>0</v>
      </c>
      <c r="T117" s="11">
        <f t="shared" si="18"/>
        <v>500000</v>
      </c>
      <c r="U117" s="42">
        <v>5</v>
      </c>
      <c r="V117"/>
      <c r="W117"/>
    </row>
    <row r="118" spans="1:23" s="36" customFormat="1" ht="15.45" hidden="1" x14ac:dyDescent="0.4">
      <c r="A118" s="19" t="s">
        <v>111</v>
      </c>
      <c r="B118" s="9">
        <v>45757</v>
      </c>
      <c r="C118" s="14" t="s">
        <v>1309</v>
      </c>
      <c r="D118" s="10" t="s">
        <v>1310</v>
      </c>
      <c r="E118" s="9">
        <v>45757</v>
      </c>
      <c r="F118" s="10" t="s">
        <v>55</v>
      </c>
      <c r="G118" s="10" t="s">
        <v>1312</v>
      </c>
      <c r="H118" s="10" t="s">
        <v>24</v>
      </c>
      <c r="I118" s="10" t="s">
        <v>61</v>
      </c>
      <c r="J118" s="10"/>
      <c r="K118" s="10" t="s">
        <v>6</v>
      </c>
      <c r="L118" s="12">
        <f t="shared" si="16"/>
        <v>5</v>
      </c>
      <c r="M118" s="12">
        <v>100000</v>
      </c>
      <c r="N118" s="12">
        <v>0</v>
      </c>
      <c r="O118" s="11">
        <v>500000</v>
      </c>
      <c r="P118" s="11">
        <f t="shared" si="17"/>
        <v>500000</v>
      </c>
      <c r="Q118" s="11">
        <v>0</v>
      </c>
      <c r="R118" s="11"/>
      <c r="S118" s="11">
        <v>0</v>
      </c>
      <c r="T118" s="11">
        <f t="shared" si="18"/>
        <v>500000</v>
      </c>
      <c r="U118" s="42">
        <v>5</v>
      </c>
      <c r="V118"/>
      <c r="W118"/>
    </row>
    <row r="119" spans="1:23" s="36" customFormat="1" ht="15.45" hidden="1" x14ac:dyDescent="0.35">
      <c r="A119" s="19" t="s">
        <v>111</v>
      </c>
      <c r="B119" s="9">
        <v>45764</v>
      </c>
      <c r="C119" s="14" t="s">
        <v>1408</v>
      </c>
      <c r="D119" s="10" t="s">
        <v>1409</v>
      </c>
      <c r="E119" s="9">
        <v>45764</v>
      </c>
      <c r="F119" s="10" t="s">
        <v>55</v>
      </c>
      <c r="G119" s="10" t="s">
        <v>1410</v>
      </c>
      <c r="H119" s="10" t="s">
        <v>24</v>
      </c>
      <c r="I119" s="10" t="s">
        <v>61</v>
      </c>
      <c r="J119" s="10"/>
      <c r="K119" s="10" t="s">
        <v>6</v>
      </c>
      <c r="L119" s="12">
        <f t="shared" si="16"/>
        <v>1</v>
      </c>
      <c r="M119" s="12">
        <v>500000</v>
      </c>
      <c r="N119" s="12">
        <v>0</v>
      </c>
      <c r="O119" s="11">
        <v>500000</v>
      </c>
      <c r="P119" s="11">
        <f t="shared" si="17"/>
        <v>500000</v>
      </c>
      <c r="Q119" s="11">
        <v>0</v>
      </c>
      <c r="R119" s="11"/>
      <c r="S119" s="11">
        <v>0</v>
      </c>
      <c r="T119" s="11">
        <f t="shared" si="18"/>
        <v>500000</v>
      </c>
      <c r="U119" s="42">
        <v>1</v>
      </c>
    </row>
    <row r="120" spans="1:23" s="36" customFormat="1" ht="15.45" hidden="1" x14ac:dyDescent="0.35">
      <c r="A120" s="19" t="s">
        <v>111</v>
      </c>
      <c r="B120" s="9">
        <v>45764</v>
      </c>
      <c r="C120" s="14" t="s">
        <v>1411</v>
      </c>
      <c r="D120" s="10" t="s">
        <v>1412</v>
      </c>
      <c r="E120" s="9">
        <v>45764</v>
      </c>
      <c r="F120" s="10" t="s">
        <v>55</v>
      </c>
      <c r="G120" s="10" t="s">
        <v>87</v>
      </c>
      <c r="H120" s="10" t="s">
        <v>26</v>
      </c>
      <c r="I120" s="10" t="s">
        <v>80</v>
      </c>
      <c r="J120" s="10"/>
      <c r="K120" s="10" t="s">
        <v>10</v>
      </c>
      <c r="L120" s="12">
        <f t="shared" si="16"/>
        <v>37</v>
      </c>
      <c r="M120" s="12">
        <v>12500</v>
      </c>
      <c r="N120" s="12">
        <v>0</v>
      </c>
      <c r="O120" s="11">
        <v>462500</v>
      </c>
      <c r="P120" s="11">
        <f t="shared" si="17"/>
        <v>462500</v>
      </c>
      <c r="Q120" s="11">
        <v>0</v>
      </c>
      <c r="R120" s="11"/>
      <c r="S120" s="11">
        <v>0</v>
      </c>
      <c r="T120" s="11">
        <f t="shared" si="18"/>
        <v>462500</v>
      </c>
      <c r="U120" s="42">
        <v>37</v>
      </c>
    </row>
    <row r="121" spans="1:23" s="36" customFormat="1" ht="15.45" hidden="1" x14ac:dyDescent="0.35">
      <c r="A121" s="19" t="s">
        <v>111</v>
      </c>
      <c r="B121" s="9">
        <v>45771</v>
      </c>
      <c r="C121" s="14" t="s">
        <v>1553</v>
      </c>
      <c r="D121" s="10" t="s">
        <v>1554</v>
      </c>
      <c r="E121" s="9">
        <v>45771</v>
      </c>
      <c r="F121" s="10" t="s">
        <v>55</v>
      </c>
      <c r="G121" s="10" t="s">
        <v>1555</v>
      </c>
      <c r="H121" s="10" t="s">
        <v>24</v>
      </c>
      <c r="I121" s="10" t="s">
        <v>61</v>
      </c>
      <c r="J121" s="10"/>
      <c r="K121" s="10" t="s">
        <v>6</v>
      </c>
      <c r="L121" s="12">
        <f t="shared" si="16"/>
        <v>3</v>
      </c>
      <c r="M121" s="12">
        <v>150000</v>
      </c>
      <c r="N121" s="12">
        <v>0</v>
      </c>
      <c r="O121" s="11">
        <v>450000</v>
      </c>
      <c r="P121" s="11">
        <f t="shared" si="17"/>
        <v>450000</v>
      </c>
      <c r="Q121" s="11">
        <v>0</v>
      </c>
      <c r="R121" s="11"/>
      <c r="S121" s="11">
        <v>0</v>
      </c>
      <c r="T121" s="11">
        <f t="shared" si="18"/>
        <v>450000</v>
      </c>
      <c r="U121" s="42">
        <v>3</v>
      </c>
    </row>
    <row r="122" spans="1:23" s="36" customFormat="1" ht="15.45" hidden="1" x14ac:dyDescent="0.35">
      <c r="A122" s="19" t="s">
        <v>111</v>
      </c>
      <c r="B122" s="9">
        <v>45771</v>
      </c>
      <c r="C122" s="14" t="s">
        <v>1553</v>
      </c>
      <c r="D122" s="10" t="s">
        <v>1554</v>
      </c>
      <c r="E122" s="9">
        <v>45771</v>
      </c>
      <c r="F122" s="10" t="s">
        <v>55</v>
      </c>
      <c r="G122" s="10" t="s">
        <v>1556</v>
      </c>
      <c r="H122" s="10" t="s">
        <v>24</v>
      </c>
      <c r="I122" s="10" t="s">
        <v>61</v>
      </c>
      <c r="J122" s="10"/>
      <c r="K122" s="10" t="s">
        <v>15</v>
      </c>
      <c r="L122" s="12">
        <f t="shared" si="16"/>
        <v>1</v>
      </c>
      <c r="M122" s="12">
        <v>150000</v>
      </c>
      <c r="N122" s="12">
        <v>0</v>
      </c>
      <c r="O122" s="11">
        <v>150000</v>
      </c>
      <c r="P122" s="11">
        <f t="shared" si="17"/>
        <v>150000</v>
      </c>
      <c r="Q122" s="11">
        <v>0</v>
      </c>
      <c r="R122" s="11"/>
      <c r="S122" s="11">
        <v>0</v>
      </c>
      <c r="T122" s="11">
        <f t="shared" si="18"/>
        <v>150000</v>
      </c>
      <c r="U122" s="42">
        <v>1</v>
      </c>
    </row>
    <row r="123" spans="1:23" s="36" customFormat="1" ht="15.45" hidden="1" x14ac:dyDescent="0.4">
      <c r="A123" s="19" t="s">
        <v>863</v>
      </c>
      <c r="B123" s="9">
        <v>45758</v>
      </c>
      <c r="C123" s="14" t="s">
        <v>1321</v>
      </c>
      <c r="D123" s="10" t="s">
        <v>1322</v>
      </c>
      <c r="E123" s="9">
        <v>45757</v>
      </c>
      <c r="F123" s="10" t="s">
        <v>834</v>
      </c>
      <c r="G123" s="10" t="s">
        <v>1323</v>
      </c>
      <c r="H123" s="10" t="s">
        <v>24</v>
      </c>
      <c r="I123" s="10" t="s">
        <v>61</v>
      </c>
      <c r="J123" s="50" t="s">
        <v>1496</v>
      </c>
      <c r="K123" s="10" t="s">
        <v>4</v>
      </c>
      <c r="L123" s="12">
        <f t="shared" si="16"/>
        <v>40</v>
      </c>
      <c r="M123" s="12">
        <v>85000</v>
      </c>
      <c r="N123" s="12">
        <v>0</v>
      </c>
      <c r="O123" s="11">
        <v>3400000</v>
      </c>
      <c r="P123" s="11">
        <f t="shared" si="17"/>
        <v>3400000</v>
      </c>
      <c r="Q123" s="11">
        <v>374000</v>
      </c>
      <c r="R123" s="11"/>
      <c r="S123" s="11">
        <v>0</v>
      </c>
      <c r="T123" s="11">
        <f t="shared" si="18"/>
        <v>3774000</v>
      </c>
      <c r="U123" s="42">
        <v>40</v>
      </c>
      <c r="V123"/>
      <c r="W123"/>
    </row>
    <row r="124" spans="1:23" s="36" customFormat="1" ht="15.45" hidden="1" x14ac:dyDescent="0.35">
      <c r="A124" s="19" t="s">
        <v>864</v>
      </c>
      <c r="B124" s="9">
        <v>45762</v>
      </c>
      <c r="C124" s="14" t="s">
        <v>1363</v>
      </c>
      <c r="D124" s="10" t="s">
        <v>1364</v>
      </c>
      <c r="E124" s="9">
        <v>45758</v>
      </c>
      <c r="F124" s="10" t="s">
        <v>853</v>
      </c>
      <c r="G124" s="10" t="s">
        <v>1365</v>
      </c>
      <c r="H124" s="10" t="s">
        <v>24</v>
      </c>
      <c r="I124" s="10" t="s">
        <v>61</v>
      </c>
      <c r="J124" s="50" t="s">
        <v>1632</v>
      </c>
      <c r="K124" s="10" t="s">
        <v>6</v>
      </c>
      <c r="L124" s="12">
        <f t="shared" si="16"/>
        <v>1</v>
      </c>
      <c r="M124" s="12">
        <v>2400000</v>
      </c>
      <c r="N124" s="12">
        <v>0</v>
      </c>
      <c r="O124" s="11">
        <v>2400000</v>
      </c>
      <c r="P124" s="11">
        <f t="shared" si="17"/>
        <v>2400000</v>
      </c>
      <c r="Q124" s="11">
        <v>264000</v>
      </c>
      <c r="R124" s="11"/>
      <c r="S124" s="11">
        <v>0</v>
      </c>
      <c r="T124" s="11">
        <f t="shared" si="18"/>
        <v>2664000</v>
      </c>
      <c r="U124" s="42">
        <v>1</v>
      </c>
    </row>
    <row r="125" spans="1:23" s="36" customFormat="1" ht="15.45" hidden="1" x14ac:dyDescent="0.4">
      <c r="A125" s="19" t="s">
        <v>113</v>
      </c>
      <c r="B125" s="9">
        <v>45757</v>
      </c>
      <c r="C125" s="14" t="s">
        <v>1305</v>
      </c>
      <c r="D125" s="10" t="s">
        <v>1306</v>
      </c>
      <c r="E125" s="9">
        <v>45757</v>
      </c>
      <c r="F125" s="10" t="s">
        <v>42</v>
      </c>
      <c r="G125" s="10" t="s">
        <v>1307</v>
      </c>
      <c r="H125" s="10" t="s">
        <v>24</v>
      </c>
      <c r="I125" s="10" t="s">
        <v>61</v>
      </c>
      <c r="J125" s="10"/>
      <c r="K125" s="10" t="s">
        <v>6</v>
      </c>
      <c r="L125" s="12">
        <f t="shared" si="16"/>
        <v>10</v>
      </c>
      <c r="M125" s="12">
        <v>22500</v>
      </c>
      <c r="N125" s="12">
        <v>0</v>
      </c>
      <c r="O125" s="11">
        <v>225000</v>
      </c>
      <c r="P125" s="11">
        <f t="shared" si="17"/>
        <v>225000</v>
      </c>
      <c r="Q125" s="11">
        <v>0</v>
      </c>
      <c r="R125" s="11"/>
      <c r="S125" s="11">
        <v>0</v>
      </c>
      <c r="T125" s="11">
        <f t="shared" si="18"/>
        <v>225000</v>
      </c>
      <c r="U125" s="42">
        <v>10</v>
      </c>
      <c r="V125"/>
      <c r="W125"/>
    </row>
    <row r="126" spans="1:23" s="36" customFormat="1" ht="15.45" hidden="1" x14ac:dyDescent="0.4">
      <c r="A126" s="19" t="s">
        <v>113</v>
      </c>
      <c r="B126" s="9">
        <v>45757</v>
      </c>
      <c r="C126" s="14" t="s">
        <v>1305</v>
      </c>
      <c r="D126" s="10" t="s">
        <v>1306</v>
      </c>
      <c r="E126" s="9">
        <v>45757</v>
      </c>
      <c r="F126" s="10" t="s">
        <v>42</v>
      </c>
      <c r="G126" s="10" t="s">
        <v>1308</v>
      </c>
      <c r="H126" s="10" t="s">
        <v>24</v>
      </c>
      <c r="I126" s="10" t="s">
        <v>61</v>
      </c>
      <c r="J126" s="10"/>
      <c r="K126" s="10" t="s">
        <v>6</v>
      </c>
      <c r="L126" s="12">
        <f t="shared" si="16"/>
        <v>10</v>
      </c>
      <c r="M126" s="12">
        <v>75000</v>
      </c>
      <c r="N126" s="12">
        <v>0</v>
      </c>
      <c r="O126" s="11">
        <v>750000</v>
      </c>
      <c r="P126" s="11">
        <f t="shared" si="17"/>
        <v>750000</v>
      </c>
      <c r="Q126" s="11">
        <v>0</v>
      </c>
      <c r="R126" s="11"/>
      <c r="S126" s="11">
        <v>0</v>
      </c>
      <c r="T126" s="11">
        <f t="shared" si="18"/>
        <v>750000</v>
      </c>
      <c r="U126" s="42">
        <v>10</v>
      </c>
      <c r="V126"/>
      <c r="W126"/>
    </row>
    <row r="127" spans="1:23" s="36" customFormat="1" ht="15.45" hidden="1" x14ac:dyDescent="0.4">
      <c r="A127" s="19" t="s">
        <v>113</v>
      </c>
      <c r="B127" s="9">
        <v>45757</v>
      </c>
      <c r="C127" s="14" t="s">
        <v>1305</v>
      </c>
      <c r="D127" s="10" t="s">
        <v>1306</v>
      </c>
      <c r="E127" s="9">
        <v>45757</v>
      </c>
      <c r="F127" s="10" t="s">
        <v>42</v>
      </c>
      <c r="G127" s="10" t="s">
        <v>1079</v>
      </c>
      <c r="H127" s="10" t="s">
        <v>24</v>
      </c>
      <c r="I127" s="10" t="s">
        <v>61</v>
      </c>
      <c r="J127" s="10"/>
      <c r="K127" s="10" t="s">
        <v>10</v>
      </c>
      <c r="L127" s="12">
        <f t="shared" si="16"/>
        <v>10</v>
      </c>
      <c r="M127" s="12">
        <v>13500</v>
      </c>
      <c r="N127" s="12">
        <v>0</v>
      </c>
      <c r="O127" s="11">
        <v>135000</v>
      </c>
      <c r="P127" s="11">
        <f t="shared" si="17"/>
        <v>135000</v>
      </c>
      <c r="Q127" s="11">
        <v>0</v>
      </c>
      <c r="R127" s="11"/>
      <c r="S127" s="11">
        <v>0</v>
      </c>
      <c r="T127" s="11">
        <f t="shared" si="18"/>
        <v>135000</v>
      </c>
      <c r="U127" s="42">
        <v>10</v>
      </c>
      <c r="V127"/>
      <c r="W127"/>
    </row>
    <row r="128" spans="1:23" s="36" customFormat="1" ht="15.45" hidden="1" x14ac:dyDescent="0.4">
      <c r="A128" s="19" t="s">
        <v>113</v>
      </c>
      <c r="B128" s="9">
        <v>45757</v>
      </c>
      <c r="C128" s="14" t="s">
        <v>1305</v>
      </c>
      <c r="D128" s="10" t="s">
        <v>1306</v>
      </c>
      <c r="E128" s="9">
        <v>45757</v>
      </c>
      <c r="F128" s="10" t="s">
        <v>42</v>
      </c>
      <c r="G128" s="10" t="s">
        <v>1067</v>
      </c>
      <c r="H128" s="10" t="s">
        <v>24</v>
      </c>
      <c r="I128" s="10" t="s">
        <v>61</v>
      </c>
      <c r="J128" s="10"/>
      <c r="K128" s="10" t="s">
        <v>6</v>
      </c>
      <c r="L128" s="12">
        <f t="shared" si="16"/>
        <v>5</v>
      </c>
      <c r="M128" s="12">
        <v>45000</v>
      </c>
      <c r="N128" s="12">
        <v>0</v>
      </c>
      <c r="O128" s="11">
        <v>225000</v>
      </c>
      <c r="P128" s="11">
        <f t="shared" si="17"/>
        <v>225000</v>
      </c>
      <c r="Q128" s="11">
        <v>0</v>
      </c>
      <c r="R128" s="11"/>
      <c r="S128" s="11">
        <v>0</v>
      </c>
      <c r="T128" s="11">
        <f t="shared" si="18"/>
        <v>225000</v>
      </c>
      <c r="U128" s="42">
        <v>5</v>
      </c>
      <c r="V128"/>
      <c r="W128"/>
    </row>
    <row r="129" spans="1:23" s="36" customFormat="1" ht="15.45" hidden="1" x14ac:dyDescent="0.35">
      <c r="A129" s="19" t="s">
        <v>113</v>
      </c>
      <c r="B129" s="9">
        <v>45764</v>
      </c>
      <c r="C129" s="14" t="s">
        <v>1402</v>
      </c>
      <c r="D129" s="10" t="s">
        <v>1403</v>
      </c>
      <c r="E129" s="9">
        <v>45764</v>
      </c>
      <c r="F129" s="10" t="s">
        <v>42</v>
      </c>
      <c r="G129" s="10" t="s">
        <v>838</v>
      </c>
      <c r="H129" s="10" t="s">
        <v>24</v>
      </c>
      <c r="I129" s="10" t="s">
        <v>61</v>
      </c>
      <c r="J129" s="10"/>
      <c r="K129" s="10" t="s">
        <v>839</v>
      </c>
      <c r="L129" s="12">
        <f t="shared" si="16"/>
        <v>30</v>
      </c>
      <c r="M129" s="12">
        <v>47500</v>
      </c>
      <c r="N129" s="12">
        <v>0</v>
      </c>
      <c r="O129" s="11">
        <v>1425000</v>
      </c>
      <c r="P129" s="11">
        <f t="shared" si="17"/>
        <v>1425000</v>
      </c>
      <c r="Q129" s="11">
        <v>0</v>
      </c>
      <c r="R129" s="11"/>
      <c r="S129" s="11">
        <v>0</v>
      </c>
      <c r="T129" s="11">
        <f t="shared" si="18"/>
        <v>1425000</v>
      </c>
      <c r="U129" s="42">
        <v>30</v>
      </c>
    </row>
    <row r="130" spans="1:23" s="36" customFormat="1" ht="15.45" hidden="1" x14ac:dyDescent="0.35">
      <c r="A130" s="19" t="s">
        <v>113</v>
      </c>
      <c r="B130" s="9">
        <v>45764</v>
      </c>
      <c r="C130" s="14" t="s">
        <v>1402</v>
      </c>
      <c r="D130" s="10" t="s">
        <v>1403</v>
      </c>
      <c r="E130" s="9">
        <v>45764</v>
      </c>
      <c r="F130" s="10" t="s">
        <v>42</v>
      </c>
      <c r="G130" s="10" t="s">
        <v>1404</v>
      </c>
      <c r="H130" s="10" t="s">
        <v>24</v>
      </c>
      <c r="I130" s="10" t="s">
        <v>61</v>
      </c>
      <c r="J130" s="10"/>
      <c r="K130" s="10" t="s">
        <v>6</v>
      </c>
      <c r="L130" s="12">
        <f t="shared" si="16"/>
        <v>70</v>
      </c>
      <c r="M130" s="12">
        <v>7500</v>
      </c>
      <c r="N130" s="12">
        <v>0</v>
      </c>
      <c r="O130" s="11">
        <v>525000</v>
      </c>
      <c r="P130" s="11">
        <f t="shared" si="17"/>
        <v>525000</v>
      </c>
      <c r="Q130" s="11">
        <v>0</v>
      </c>
      <c r="R130" s="11"/>
      <c r="S130" s="11">
        <v>0</v>
      </c>
      <c r="T130" s="11">
        <f t="shared" si="18"/>
        <v>525000</v>
      </c>
      <c r="U130" s="42">
        <v>70</v>
      </c>
    </row>
    <row r="131" spans="1:23" s="36" customFormat="1" ht="15.45" hidden="1" x14ac:dyDescent="0.35">
      <c r="A131" s="19" t="s">
        <v>113</v>
      </c>
      <c r="B131" s="9">
        <v>45764</v>
      </c>
      <c r="C131" s="14" t="s">
        <v>1402</v>
      </c>
      <c r="D131" s="10" t="s">
        <v>1403</v>
      </c>
      <c r="E131" s="9">
        <v>45764</v>
      </c>
      <c r="F131" s="10" t="s">
        <v>42</v>
      </c>
      <c r="G131" s="10" t="s">
        <v>1405</v>
      </c>
      <c r="H131" s="10" t="s">
        <v>24</v>
      </c>
      <c r="I131" s="10" t="s">
        <v>61</v>
      </c>
      <c r="J131" s="10"/>
      <c r="K131" s="10" t="s">
        <v>6</v>
      </c>
      <c r="L131" s="12">
        <f t="shared" si="16"/>
        <v>50</v>
      </c>
      <c r="M131" s="12">
        <v>30000</v>
      </c>
      <c r="N131" s="12">
        <v>0</v>
      </c>
      <c r="O131" s="11">
        <v>1500000</v>
      </c>
      <c r="P131" s="11">
        <f t="shared" si="17"/>
        <v>1500000</v>
      </c>
      <c r="Q131" s="11">
        <v>0</v>
      </c>
      <c r="R131" s="11"/>
      <c r="S131" s="11">
        <v>0</v>
      </c>
      <c r="T131" s="11">
        <f t="shared" si="18"/>
        <v>1500000</v>
      </c>
      <c r="U131" s="42">
        <v>50</v>
      </c>
    </row>
    <row r="132" spans="1:23" s="36" customFormat="1" ht="15.45" hidden="1" x14ac:dyDescent="0.35">
      <c r="A132" s="19" t="s">
        <v>113</v>
      </c>
      <c r="B132" s="9">
        <v>45764</v>
      </c>
      <c r="C132" s="14" t="s">
        <v>1402</v>
      </c>
      <c r="D132" s="10" t="s">
        <v>1403</v>
      </c>
      <c r="E132" s="9">
        <v>45764</v>
      </c>
      <c r="F132" s="10" t="s">
        <v>42</v>
      </c>
      <c r="G132" s="10" t="s">
        <v>1406</v>
      </c>
      <c r="H132" s="10" t="s">
        <v>24</v>
      </c>
      <c r="I132" s="10" t="s">
        <v>61</v>
      </c>
      <c r="J132" s="10"/>
      <c r="K132" s="10" t="s">
        <v>6</v>
      </c>
      <c r="L132" s="12">
        <f t="shared" si="16"/>
        <v>2</v>
      </c>
      <c r="M132" s="12">
        <v>110000</v>
      </c>
      <c r="N132" s="12">
        <v>0</v>
      </c>
      <c r="O132" s="11">
        <v>220000</v>
      </c>
      <c r="P132" s="11">
        <f t="shared" si="17"/>
        <v>220000</v>
      </c>
      <c r="Q132" s="11">
        <v>0</v>
      </c>
      <c r="R132" s="11"/>
      <c r="S132" s="11">
        <v>0</v>
      </c>
      <c r="T132" s="11">
        <f t="shared" si="18"/>
        <v>220000</v>
      </c>
      <c r="U132" s="42">
        <v>2</v>
      </c>
    </row>
    <row r="133" spans="1:23" s="36" customFormat="1" ht="15.45" hidden="1" x14ac:dyDescent="0.35">
      <c r="A133" s="19" t="s">
        <v>113</v>
      </c>
      <c r="B133" s="9">
        <v>45764</v>
      </c>
      <c r="C133" s="14" t="s">
        <v>1402</v>
      </c>
      <c r="D133" s="10" t="s">
        <v>1403</v>
      </c>
      <c r="E133" s="9">
        <v>45764</v>
      </c>
      <c r="F133" s="10" t="s">
        <v>42</v>
      </c>
      <c r="G133" s="10" t="s">
        <v>1407</v>
      </c>
      <c r="H133" s="10" t="s">
        <v>24</v>
      </c>
      <c r="I133" s="10" t="s">
        <v>61</v>
      </c>
      <c r="J133" s="10"/>
      <c r="K133" s="10" t="s">
        <v>6</v>
      </c>
      <c r="L133" s="12">
        <f t="shared" si="16"/>
        <v>50</v>
      </c>
      <c r="M133" s="12">
        <v>28500</v>
      </c>
      <c r="N133" s="12">
        <v>0</v>
      </c>
      <c r="O133" s="11">
        <v>1425000</v>
      </c>
      <c r="P133" s="11">
        <f t="shared" si="17"/>
        <v>1425000</v>
      </c>
      <c r="Q133" s="11">
        <v>0</v>
      </c>
      <c r="R133" s="11"/>
      <c r="S133" s="11">
        <v>0</v>
      </c>
      <c r="T133" s="11">
        <f t="shared" si="18"/>
        <v>1425000</v>
      </c>
      <c r="U133" s="42">
        <v>50</v>
      </c>
    </row>
    <row r="134" spans="1:23" s="36" customFormat="1" ht="15.45" hidden="1" x14ac:dyDescent="0.4">
      <c r="A134" s="19" t="s">
        <v>114</v>
      </c>
      <c r="B134" s="9">
        <v>45756</v>
      </c>
      <c r="C134" s="14" t="s">
        <v>1287</v>
      </c>
      <c r="D134" s="10" t="s">
        <v>928</v>
      </c>
      <c r="E134" s="9">
        <v>45716</v>
      </c>
      <c r="F134" s="10" t="s">
        <v>71</v>
      </c>
      <c r="G134" s="10" t="s">
        <v>76</v>
      </c>
      <c r="H134" s="10" t="s">
        <v>23</v>
      </c>
      <c r="I134" s="10" t="s">
        <v>978</v>
      </c>
      <c r="J134" s="50" t="s">
        <v>1718</v>
      </c>
      <c r="K134" s="10" t="s">
        <v>1</v>
      </c>
      <c r="L134" s="12">
        <f t="shared" si="16"/>
        <v>500</v>
      </c>
      <c r="M134" s="12">
        <v>30608.25</v>
      </c>
      <c r="N134" s="12">
        <v>16545</v>
      </c>
      <c r="O134" s="11">
        <v>15304125</v>
      </c>
      <c r="P134" s="11">
        <f t="shared" si="17"/>
        <v>15304125</v>
      </c>
      <c r="Q134" s="11">
        <v>1683453.75</v>
      </c>
      <c r="R134" s="11"/>
      <c r="S134" s="11">
        <v>0</v>
      </c>
      <c r="T134" s="11">
        <f t="shared" si="18"/>
        <v>16987578.75</v>
      </c>
      <c r="U134" s="42">
        <v>500</v>
      </c>
      <c r="V134"/>
      <c r="W134"/>
    </row>
    <row r="135" spans="1:23" s="36" customFormat="1" ht="15.45" hidden="1" x14ac:dyDescent="0.35">
      <c r="A135" s="19" t="s">
        <v>114</v>
      </c>
      <c r="B135" s="9">
        <v>45761</v>
      </c>
      <c r="C135" s="14" t="s">
        <v>1359</v>
      </c>
      <c r="D135" s="10" t="s">
        <v>1360</v>
      </c>
      <c r="E135" s="9">
        <v>45757</v>
      </c>
      <c r="F135" s="10" t="s">
        <v>71</v>
      </c>
      <c r="G135" s="10" t="s">
        <v>76</v>
      </c>
      <c r="H135" s="10" t="s">
        <v>23</v>
      </c>
      <c r="I135" s="10" t="s">
        <v>978</v>
      </c>
      <c r="J135" s="50" t="s">
        <v>1719</v>
      </c>
      <c r="K135" s="10" t="s">
        <v>1</v>
      </c>
      <c r="L135" s="12">
        <f t="shared" si="16"/>
        <v>500</v>
      </c>
      <c r="M135" s="12">
        <v>31034</v>
      </c>
      <c r="N135" s="12">
        <v>16775</v>
      </c>
      <c r="O135" s="11">
        <v>15517000</v>
      </c>
      <c r="P135" s="11">
        <f t="shared" si="17"/>
        <v>15517000</v>
      </c>
      <c r="Q135" s="11">
        <v>1706870</v>
      </c>
      <c r="R135" s="11"/>
      <c r="S135" s="11">
        <v>0</v>
      </c>
      <c r="T135" s="11">
        <f t="shared" si="18"/>
        <v>17223870</v>
      </c>
      <c r="U135" s="42">
        <v>500</v>
      </c>
    </row>
    <row r="136" spans="1:23" s="36" customFormat="1" ht="15.45" hidden="1" x14ac:dyDescent="0.35">
      <c r="A136" s="19" t="s">
        <v>114</v>
      </c>
      <c r="B136" s="9">
        <v>45768</v>
      </c>
      <c r="C136" s="14" t="s">
        <v>1435</v>
      </c>
      <c r="D136" s="10" t="s">
        <v>1360</v>
      </c>
      <c r="E136" s="9">
        <v>45757</v>
      </c>
      <c r="F136" s="10" t="s">
        <v>71</v>
      </c>
      <c r="G136" s="10" t="s">
        <v>76</v>
      </c>
      <c r="H136" s="10" t="s">
        <v>23</v>
      </c>
      <c r="I136" s="10" t="s">
        <v>978</v>
      </c>
      <c r="J136" s="50" t="s">
        <v>1720</v>
      </c>
      <c r="K136" s="10" t="s">
        <v>1</v>
      </c>
      <c r="L136" s="12">
        <f t="shared" si="16"/>
        <v>500</v>
      </c>
      <c r="M136" s="12">
        <v>31034</v>
      </c>
      <c r="N136" s="12">
        <v>16775</v>
      </c>
      <c r="O136" s="11">
        <v>15517000</v>
      </c>
      <c r="P136" s="11">
        <f t="shared" ref="P136:P167" si="19">O136</f>
        <v>15517000</v>
      </c>
      <c r="Q136" s="11">
        <v>1706870</v>
      </c>
      <c r="R136" s="11"/>
      <c r="S136" s="11">
        <v>0</v>
      </c>
      <c r="T136" s="11">
        <f t="shared" si="18"/>
        <v>17223870</v>
      </c>
      <c r="U136" s="42">
        <v>500</v>
      </c>
    </row>
    <row r="137" spans="1:23" s="36" customFormat="1" ht="15.45" hidden="1" x14ac:dyDescent="0.35">
      <c r="A137" s="19" t="s">
        <v>114</v>
      </c>
      <c r="B137" s="9">
        <v>45770</v>
      </c>
      <c r="C137" s="14" t="s">
        <v>1480</v>
      </c>
      <c r="D137" s="10" t="s">
        <v>1360</v>
      </c>
      <c r="E137" s="9">
        <v>45757</v>
      </c>
      <c r="F137" s="10" t="s">
        <v>71</v>
      </c>
      <c r="G137" s="10" t="s">
        <v>76</v>
      </c>
      <c r="H137" s="10" t="s">
        <v>23</v>
      </c>
      <c r="I137" s="10" t="s">
        <v>978</v>
      </c>
      <c r="J137" s="50" t="s">
        <v>1722</v>
      </c>
      <c r="K137" s="10" t="s">
        <v>1</v>
      </c>
      <c r="L137" s="12">
        <f t="shared" si="16"/>
        <v>500</v>
      </c>
      <c r="M137" s="12">
        <v>31034</v>
      </c>
      <c r="N137" s="12">
        <v>16775</v>
      </c>
      <c r="O137" s="11">
        <v>15517000</v>
      </c>
      <c r="P137" s="11">
        <f t="shared" si="19"/>
        <v>15517000</v>
      </c>
      <c r="Q137" s="11">
        <v>1706870</v>
      </c>
      <c r="R137" s="11"/>
      <c r="S137" s="11">
        <v>0</v>
      </c>
      <c r="T137" s="11">
        <f t="shared" si="18"/>
        <v>17223870</v>
      </c>
      <c r="U137" s="42">
        <v>500</v>
      </c>
    </row>
    <row r="138" spans="1:23" s="36" customFormat="1" ht="15.45" hidden="1" x14ac:dyDescent="0.35">
      <c r="A138" s="19" t="s">
        <v>114</v>
      </c>
      <c r="B138" s="9">
        <v>45772</v>
      </c>
      <c r="C138" s="14" t="s">
        <v>1561</v>
      </c>
      <c r="D138" s="10" t="s">
        <v>1360</v>
      </c>
      <c r="E138" s="9">
        <v>45757</v>
      </c>
      <c r="F138" s="10" t="s">
        <v>71</v>
      </c>
      <c r="G138" s="10" t="s">
        <v>76</v>
      </c>
      <c r="H138" s="10" t="s">
        <v>23</v>
      </c>
      <c r="I138" s="10" t="s">
        <v>978</v>
      </c>
      <c r="J138" s="50" t="s">
        <v>1721</v>
      </c>
      <c r="K138" s="10" t="s">
        <v>1</v>
      </c>
      <c r="L138" s="12">
        <f t="shared" si="16"/>
        <v>500</v>
      </c>
      <c r="M138" s="12">
        <v>31034</v>
      </c>
      <c r="N138" s="12">
        <v>16775</v>
      </c>
      <c r="O138" s="11">
        <v>15517000</v>
      </c>
      <c r="P138" s="11">
        <f t="shared" si="19"/>
        <v>15517000</v>
      </c>
      <c r="Q138" s="11">
        <v>1706870</v>
      </c>
      <c r="R138" s="11"/>
      <c r="S138" s="11">
        <v>0</v>
      </c>
      <c r="T138" s="11">
        <f t="shared" si="18"/>
        <v>17223870</v>
      </c>
      <c r="U138" s="42">
        <v>500</v>
      </c>
    </row>
    <row r="139" spans="1:23" s="36" customFormat="1" ht="15.45" hidden="1" x14ac:dyDescent="0.4">
      <c r="A139" s="19" t="s">
        <v>115</v>
      </c>
      <c r="B139" s="9">
        <v>45756</v>
      </c>
      <c r="C139" s="14" t="s">
        <v>1292</v>
      </c>
      <c r="D139" s="10" t="s">
        <v>1293</v>
      </c>
      <c r="E139" s="9">
        <v>45757</v>
      </c>
      <c r="F139" s="10" t="s">
        <v>81</v>
      </c>
      <c r="G139" s="10" t="s">
        <v>89</v>
      </c>
      <c r="H139" s="10" t="s">
        <v>25</v>
      </c>
      <c r="I139" s="10" t="s">
        <v>79</v>
      </c>
      <c r="J139" s="50" t="s">
        <v>1723</v>
      </c>
      <c r="K139" s="10" t="s">
        <v>1</v>
      </c>
      <c r="L139" s="12">
        <f t="shared" si="16"/>
        <v>30030</v>
      </c>
      <c r="M139" s="12">
        <v>1565</v>
      </c>
      <c r="N139" s="12">
        <v>0</v>
      </c>
      <c r="O139" s="11">
        <v>46996950</v>
      </c>
      <c r="P139" s="11">
        <f t="shared" si="19"/>
        <v>46996950</v>
      </c>
      <c r="Q139" s="11">
        <v>5169664.5</v>
      </c>
      <c r="R139" s="11">
        <f>P139*1.5%</f>
        <v>704954.25</v>
      </c>
      <c r="S139" s="11">
        <v>0</v>
      </c>
      <c r="T139" s="11">
        <f>P139+Q139-S139-R139</f>
        <v>51461660.25</v>
      </c>
      <c r="U139" s="42">
        <v>30030</v>
      </c>
      <c r="V139"/>
      <c r="W139"/>
    </row>
    <row r="140" spans="1:23" s="36" customFormat="1" ht="15.45" hidden="1" x14ac:dyDescent="0.35">
      <c r="A140" s="19" t="s">
        <v>115</v>
      </c>
      <c r="B140" s="9">
        <v>45768</v>
      </c>
      <c r="C140" s="14" t="s">
        <v>1445</v>
      </c>
      <c r="D140" s="10" t="s">
        <v>1293</v>
      </c>
      <c r="E140" s="9">
        <v>45757</v>
      </c>
      <c r="F140" s="10" t="s">
        <v>81</v>
      </c>
      <c r="G140" s="10" t="s">
        <v>89</v>
      </c>
      <c r="H140" s="10" t="s">
        <v>25</v>
      </c>
      <c r="I140" s="10" t="s">
        <v>79</v>
      </c>
      <c r="J140" s="50" t="s">
        <v>1848</v>
      </c>
      <c r="K140" s="10" t="s">
        <v>1</v>
      </c>
      <c r="L140" s="12">
        <f t="shared" si="16"/>
        <v>35140</v>
      </c>
      <c r="M140" s="12">
        <v>1565</v>
      </c>
      <c r="N140" s="12">
        <v>0</v>
      </c>
      <c r="O140" s="11">
        <v>54994100</v>
      </c>
      <c r="P140" s="11">
        <f t="shared" si="19"/>
        <v>54994100</v>
      </c>
      <c r="Q140" s="11">
        <v>6049351</v>
      </c>
      <c r="R140" s="11">
        <f>P140*1.5%</f>
        <v>824911.5</v>
      </c>
      <c r="S140" s="11">
        <v>0</v>
      </c>
      <c r="T140" s="11">
        <f>P140+Q140-S140-R140</f>
        <v>60218539.5</v>
      </c>
      <c r="U140" s="42">
        <v>35140</v>
      </c>
    </row>
    <row r="141" spans="1:23" s="36" customFormat="1" ht="15.45" hidden="1" x14ac:dyDescent="0.35">
      <c r="A141" s="19" t="s">
        <v>115</v>
      </c>
      <c r="B141" s="9">
        <v>45771</v>
      </c>
      <c r="C141" s="14" t="s">
        <v>1560</v>
      </c>
      <c r="D141" s="10" t="s">
        <v>1293</v>
      </c>
      <c r="E141" s="9">
        <v>45757</v>
      </c>
      <c r="F141" s="10" t="s">
        <v>81</v>
      </c>
      <c r="G141" s="10" t="s">
        <v>89</v>
      </c>
      <c r="H141" s="10" t="s">
        <v>25</v>
      </c>
      <c r="I141" s="10" t="s">
        <v>79</v>
      </c>
      <c r="J141" s="50" t="s">
        <v>1848</v>
      </c>
      <c r="K141" s="10" t="s">
        <v>1</v>
      </c>
      <c r="L141" s="12">
        <f t="shared" si="16"/>
        <v>29940</v>
      </c>
      <c r="M141" s="12">
        <v>1565</v>
      </c>
      <c r="N141" s="12">
        <v>0</v>
      </c>
      <c r="O141" s="11">
        <v>46856100</v>
      </c>
      <c r="P141" s="11">
        <f t="shared" si="19"/>
        <v>46856100</v>
      </c>
      <c r="Q141" s="11">
        <v>5154171</v>
      </c>
      <c r="R141" s="11">
        <f>P141*1.5%</f>
        <v>702841.5</v>
      </c>
      <c r="S141" s="11">
        <v>0</v>
      </c>
      <c r="T141" s="11">
        <f>P141+Q141-S141-R141</f>
        <v>51307429.5</v>
      </c>
      <c r="U141" s="42">
        <v>29940</v>
      </c>
    </row>
    <row r="142" spans="1:23" s="36" customFormat="1" ht="15.45" hidden="1" x14ac:dyDescent="0.35">
      <c r="A142" s="19" t="s">
        <v>115</v>
      </c>
      <c r="B142" s="9">
        <v>45775</v>
      </c>
      <c r="C142" s="14" t="s">
        <v>1581</v>
      </c>
      <c r="D142" s="10" t="s">
        <v>1293</v>
      </c>
      <c r="E142" s="9">
        <v>45757</v>
      </c>
      <c r="F142" s="10" t="s">
        <v>81</v>
      </c>
      <c r="G142" s="10" t="s">
        <v>89</v>
      </c>
      <c r="H142" s="10" t="s">
        <v>25</v>
      </c>
      <c r="I142" s="10" t="s">
        <v>79</v>
      </c>
      <c r="J142" s="50" t="s">
        <v>1848</v>
      </c>
      <c r="K142" s="10" t="s">
        <v>1</v>
      </c>
      <c r="L142" s="12">
        <f t="shared" si="16"/>
        <v>29410</v>
      </c>
      <c r="M142" s="12">
        <v>1565</v>
      </c>
      <c r="N142" s="12">
        <v>0</v>
      </c>
      <c r="O142" s="11">
        <v>46026650</v>
      </c>
      <c r="P142" s="11">
        <f t="shared" si="19"/>
        <v>46026650</v>
      </c>
      <c r="Q142" s="11">
        <v>5062931.5</v>
      </c>
      <c r="R142" s="11">
        <f>P142*1.5%</f>
        <v>690399.75</v>
      </c>
      <c r="S142" s="11">
        <v>0</v>
      </c>
      <c r="T142" s="11">
        <f>P142+Q142-S142-R142</f>
        <v>50399181.75</v>
      </c>
      <c r="U142" s="42">
        <v>29410</v>
      </c>
    </row>
    <row r="143" spans="1:23" s="36" customFormat="1" ht="15.45" hidden="1" x14ac:dyDescent="0.35">
      <c r="A143" s="19" t="s">
        <v>160</v>
      </c>
      <c r="B143" s="9">
        <v>45761</v>
      </c>
      <c r="C143" s="14" t="s">
        <v>1361</v>
      </c>
      <c r="D143" s="10" t="s">
        <v>1362</v>
      </c>
      <c r="E143" s="9">
        <v>45737</v>
      </c>
      <c r="F143" s="10" t="s">
        <v>153</v>
      </c>
      <c r="G143" s="10" t="s">
        <v>154</v>
      </c>
      <c r="H143" s="10" t="s">
        <v>24</v>
      </c>
      <c r="I143" s="10" t="s">
        <v>61</v>
      </c>
      <c r="J143" s="50" t="s">
        <v>1516</v>
      </c>
      <c r="K143" s="10" t="s">
        <v>4</v>
      </c>
      <c r="L143" s="12">
        <f t="shared" si="16"/>
        <v>40</v>
      </c>
      <c r="M143" s="12">
        <v>337500</v>
      </c>
      <c r="N143" s="12">
        <v>0</v>
      </c>
      <c r="O143" s="11">
        <v>13500000</v>
      </c>
      <c r="P143" s="11">
        <f t="shared" si="19"/>
        <v>13500000</v>
      </c>
      <c r="Q143" s="11">
        <v>1485000</v>
      </c>
      <c r="R143" s="11">
        <f>P143*0.3%</f>
        <v>40500</v>
      </c>
      <c r="S143" s="11">
        <v>0</v>
      </c>
      <c r="T143" s="11">
        <f>P143+Q143-S143+R143</f>
        <v>15025500</v>
      </c>
      <c r="U143" s="42">
        <v>40</v>
      </c>
    </row>
    <row r="144" spans="1:23" s="36" customFormat="1" ht="15.45" hidden="1" x14ac:dyDescent="0.4">
      <c r="A144" s="19" t="s">
        <v>116</v>
      </c>
      <c r="B144" s="9">
        <v>45757</v>
      </c>
      <c r="C144" s="14" t="s">
        <v>1297</v>
      </c>
      <c r="D144" s="10" t="s">
        <v>1298</v>
      </c>
      <c r="E144" s="9">
        <v>45757</v>
      </c>
      <c r="F144" s="10" t="s">
        <v>40</v>
      </c>
      <c r="G144" s="10" t="s">
        <v>559</v>
      </c>
      <c r="H144" s="10" t="s">
        <v>24</v>
      </c>
      <c r="I144" s="10" t="s">
        <v>61</v>
      </c>
      <c r="J144" s="10"/>
      <c r="K144" s="10" t="s">
        <v>6</v>
      </c>
      <c r="L144" s="12">
        <f t="shared" si="16"/>
        <v>5</v>
      </c>
      <c r="M144" s="12">
        <v>430000</v>
      </c>
      <c r="N144" s="12">
        <v>0</v>
      </c>
      <c r="O144" s="11">
        <v>2150000</v>
      </c>
      <c r="P144" s="11">
        <f t="shared" si="19"/>
        <v>2150000</v>
      </c>
      <c r="Q144" s="11">
        <v>0</v>
      </c>
      <c r="R144" s="11"/>
      <c r="S144" s="11">
        <v>0</v>
      </c>
      <c r="T144" s="11">
        <f>P144+Q144-S144</f>
        <v>2150000</v>
      </c>
      <c r="U144" s="42">
        <v>5</v>
      </c>
      <c r="V144"/>
      <c r="W144"/>
    </row>
    <row r="145" spans="1:23" s="36" customFormat="1" ht="15.45" hidden="1" x14ac:dyDescent="0.4">
      <c r="A145" s="19" t="s">
        <v>116</v>
      </c>
      <c r="B145" s="9">
        <v>45757</v>
      </c>
      <c r="C145" s="14" t="s">
        <v>1297</v>
      </c>
      <c r="D145" s="10" t="s">
        <v>1298</v>
      </c>
      <c r="E145" s="9">
        <v>45757</v>
      </c>
      <c r="F145" s="10" t="s">
        <v>40</v>
      </c>
      <c r="G145" s="10" t="s">
        <v>1299</v>
      </c>
      <c r="H145" s="10" t="s">
        <v>24</v>
      </c>
      <c r="I145" s="10" t="s">
        <v>61</v>
      </c>
      <c r="J145" s="10"/>
      <c r="K145" s="10" t="s">
        <v>6</v>
      </c>
      <c r="L145" s="12">
        <f t="shared" si="16"/>
        <v>3</v>
      </c>
      <c r="M145" s="12">
        <v>110000</v>
      </c>
      <c r="N145" s="12">
        <v>0</v>
      </c>
      <c r="O145" s="11">
        <v>330000</v>
      </c>
      <c r="P145" s="11">
        <f t="shared" si="19"/>
        <v>330000</v>
      </c>
      <c r="Q145" s="11">
        <v>0</v>
      </c>
      <c r="R145" s="11"/>
      <c r="S145" s="11">
        <v>0</v>
      </c>
      <c r="T145" s="11">
        <f>P145+Q145-S145</f>
        <v>330000</v>
      </c>
      <c r="U145" s="42">
        <v>3</v>
      </c>
      <c r="V145"/>
      <c r="W145"/>
    </row>
    <row r="146" spans="1:23" s="36" customFormat="1" ht="15.45" hidden="1" x14ac:dyDescent="0.35">
      <c r="A146" s="19" t="s">
        <v>510</v>
      </c>
      <c r="B146" s="21">
        <v>45764</v>
      </c>
      <c r="C146" s="22"/>
      <c r="D146" s="23"/>
      <c r="E146" s="21"/>
      <c r="F146" s="23" t="s">
        <v>511</v>
      </c>
      <c r="G146" s="23" t="s">
        <v>1157</v>
      </c>
      <c r="H146" s="23" t="s">
        <v>513</v>
      </c>
      <c r="I146" s="23" t="s">
        <v>514</v>
      </c>
      <c r="J146" s="46" t="s">
        <v>1610</v>
      </c>
      <c r="K146" s="23" t="s">
        <v>1159</v>
      </c>
      <c r="L146" s="24">
        <v>1</v>
      </c>
      <c r="M146" s="24">
        <v>482555</v>
      </c>
      <c r="N146" s="24"/>
      <c r="O146" s="25">
        <f>L146*M146</f>
        <v>482555</v>
      </c>
      <c r="P146" s="25">
        <f t="shared" si="19"/>
        <v>482555</v>
      </c>
      <c r="Q146" s="25">
        <f>P146*0.11</f>
        <v>53081.05</v>
      </c>
      <c r="R146" s="25">
        <f>P146*2%</f>
        <v>9651.1</v>
      </c>
      <c r="S146" s="25"/>
      <c r="T146" s="25">
        <f>P146+Q146-R146</f>
        <v>525984.95000000007</v>
      </c>
      <c r="U146" s="29"/>
      <c r="V146" s="28"/>
      <c r="W146" s="28"/>
    </row>
    <row r="147" spans="1:23" s="36" customFormat="1" ht="15.45" hidden="1" x14ac:dyDescent="0.4">
      <c r="A147" s="19" t="s">
        <v>209</v>
      </c>
      <c r="B147" s="9">
        <v>45758</v>
      </c>
      <c r="C147" s="14" t="s">
        <v>1328</v>
      </c>
      <c r="D147" s="10" t="s">
        <v>1329</v>
      </c>
      <c r="E147" s="9">
        <v>45757</v>
      </c>
      <c r="F147" s="10" t="s">
        <v>208</v>
      </c>
      <c r="G147" s="10" t="s">
        <v>1330</v>
      </c>
      <c r="H147" s="10" t="s">
        <v>24</v>
      </c>
      <c r="I147" s="10" t="s">
        <v>61</v>
      </c>
      <c r="J147" s="10"/>
      <c r="K147" s="10" t="s">
        <v>6</v>
      </c>
      <c r="L147" s="12">
        <f t="shared" ref="L147:L168" si="20">IF(LEFT(C147,2)="RP",U147*-1,U147)</f>
        <v>4</v>
      </c>
      <c r="M147" s="12">
        <v>115000</v>
      </c>
      <c r="N147" s="12">
        <v>0</v>
      </c>
      <c r="O147" s="11">
        <v>460000</v>
      </c>
      <c r="P147" s="11">
        <f t="shared" si="19"/>
        <v>460000</v>
      </c>
      <c r="Q147" s="11">
        <v>0</v>
      </c>
      <c r="R147" s="11"/>
      <c r="S147" s="11">
        <v>0</v>
      </c>
      <c r="T147" s="11">
        <f t="shared" ref="T147:T168" si="21">P147+Q147-S147</f>
        <v>460000</v>
      </c>
      <c r="U147" s="42">
        <v>4</v>
      </c>
      <c r="V147"/>
      <c r="W147"/>
    </row>
    <row r="148" spans="1:23" s="36" customFormat="1" ht="15.45" hidden="1" x14ac:dyDescent="0.35">
      <c r="A148" s="19" t="s">
        <v>209</v>
      </c>
      <c r="B148" s="9">
        <v>45768</v>
      </c>
      <c r="C148" s="14" t="s">
        <v>1439</v>
      </c>
      <c r="D148" s="10" t="s">
        <v>1440</v>
      </c>
      <c r="E148" s="9">
        <v>45764</v>
      </c>
      <c r="F148" s="10" t="s">
        <v>208</v>
      </c>
      <c r="G148" s="10" t="s">
        <v>152</v>
      </c>
      <c r="H148" s="10" t="s">
        <v>24</v>
      </c>
      <c r="I148" s="10" t="s">
        <v>61</v>
      </c>
      <c r="J148" s="10"/>
      <c r="K148" s="10" t="s">
        <v>140</v>
      </c>
      <c r="L148" s="12">
        <f t="shared" si="20"/>
        <v>5</v>
      </c>
      <c r="M148" s="12">
        <v>810000</v>
      </c>
      <c r="N148" s="12">
        <v>0</v>
      </c>
      <c r="O148" s="11">
        <v>4050000</v>
      </c>
      <c r="P148" s="11">
        <f t="shared" si="19"/>
        <v>4050000</v>
      </c>
      <c r="Q148" s="11">
        <v>0</v>
      </c>
      <c r="R148" s="11"/>
      <c r="S148" s="11">
        <v>0</v>
      </c>
      <c r="T148" s="11">
        <f t="shared" si="21"/>
        <v>4050000</v>
      </c>
      <c r="U148" s="42">
        <v>5</v>
      </c>
    </row>
    <row r="149" spans="1:23" s="36" customFormat="1" ht="15.45" hidden="1" x14ac:dyDescent="0.35">
      <c r="A149" s="19" t="s">
        <v>1392</v>
      </c>
      <c r="B149" s="9">
        <v>45762</v>
      </c>
      <c r="C149" s="14" t="s">
        <v>1374</v>
      </c>
      <c r="D149" s="10" t="s">
        <v>1375</v>
      </c>
      <c r="E149" s="9">
        <v>45761</v>
      </c>
      <c r="F149" s="10" t="s">
        <v>1376</v>
      </c>
      <c r="G149" s="10" t="s">
        <v>1377</v>
      </c>
      <c r="H149" s="10" t="s">
        <v>23</v>
      </c>
      <c r="I149" s="10" t="s">
        <v>886</v>
      </c>
      <c r="J149" s="50" t="s">
        <v>1743</v>
      </c>
      <c r="K149" s="10" t="s">
        <v>1</v>
      </c>
      <c r="L149" s="12">
        <f t="shared" si="20"/>
        <v>50</v>
      </c>
      <c r="M149" s="12">
        <v>100590</v>
      </c>
      <c r="N149" s="12">
        <v>16765</v>
      </c>
      <c r="O149" s="11">
        <v>5029500</v>
      </c>
      <c r="P149" s="11">
        <f t="shared" si="19"/>
        <v>5029500</v>
      </c>
      <c r="Q149" s="11">
        <v>553245</v>
      </c>
      <c r="R149" s="11"/>
      <c r="S149" s="11">
        <v>0</v>
      </c>
      <c r="T149" s="11">
        <f t="shared" si="21"/>
        <v>5582745</v>
      </c>
      <c r="U149" s="42">
        <v>50</v>
      </c>
    </row>
    <row r="150" spans="1:23" s="36" customFormat="1" ht="15.45" hidden="1" x14ac:dyDescent="0.35">
      <c r="A150" s="19" t="s">
        <v>117</v>
      </c>
      <c r="B150" s="9">
        <v>45759</v>
      </c>
      <c r="C150" s="14" t="s">
        <v>1336</v>
      </c>
      <c r="D150" s="10" t="s">
        <v>1337</v>
      </c>
      <c r="E150" s="9">
        <v>45759</v>
      </c>
      <c r="F150" s="10" t="s">
        <v>68</v>
      </c>
      <c r="G150" s="10" t="s">
        <v>1338</v>
      </c>
      <c r="H150" s="10" t="s">
        <v>24</v>
      </c>
      <c r="I150" s="10" t="s">
        <v>61</v>
      </c>
      <c r="J150" s="50" t="s">
        <v>1715</v>
      </c>
      <c r="K150" s="10" t="s">
        <v>145</v>
      </c>
      <c r="L150" s="12">
        <f t="shared" si="20"/>
        <v>2</v>
      </c>
      <c r="M150" s="12">
        <v>49550</v>
      </c>
      <c r="N150" s="12">
        <v>0</v>
      </c>
      <c r="O150" s="11">
        <v>99100</v>
      </c>
      <c r="P150" s="11">
        <f t="shared" si="19"/>
        <v>99100</v>
      </c>
      <c r="Q150" s="11">
        <v>10901</v>
      </c>
      <c r="R150" s="11"/>
      <c r="S150" s="11">
        <v>0</v>
      </c>
      <c r="T150" s="11">
        <f t="shared" si="21"/>
        <v>110001</v>
      </c>
      <c r="U150" s="42">
        <v>2</v>
      </c>
    </row>
    <row r="151" spans="1:23" s="36" customFormat="1" ht="15.45" hidden="1" x14ac:dyDescent="0.35">
      <c r="A151" s="20" t="s">
        <v>117</v>
      </c>
      <c r="B151" s="9">
        <v>45759</v>
      </c>
      <c r="C151" s="14" t="s">
        <v>1336</v>
      </c>
      <c r="D151" s="10" t="s">
        <v>1337</v>
      </c>
      <c r="E151" s="9">
        <v>45759</v>
      </c>
      <c r="F151" s="10" t="s">
        <v>68</v>
      </c>
      <c r="G151" s="10" t="s">
        <v>1339</v>
      </c>
      <c r="H151" s="10" t="s">
        <v>24</v>
      </c>
      <c r="I151" s="10" t="s">
        <v>61</v>
      </c>
      <c r="J151" s="50" t="s">
        <v>1715</v>
      </c>
      <c r="K151" s="10" t="s">
        <v>1340</v>
      </c>
      <c r="L151" s="12">
        <f t="shared" si="20"/>
        <v>1</v>
      </c>
      <c r="M151" s="12">
        <v>130631</v>
      </c>
      <c r="N151" s="12">
        <v>0</v>
      </c>
      <c r="O151" s="11">
        <v>130631</v>
      </c>
      <c r="P151" s="11">
        <f t="shared" si="19"/>
        <v>130631</v>
      </c>
      <c r="Q151" s="11">
        <v>14369.41</v>
      </c>
      <c r="R151" s="11"/>
      <c r="S151" s="11">
        <v>0</v>
      </c>
      <c r="T151" s="11">
        <f t="shared" si="21"/>
        <v>145000.41</v>
      </c>
      <c r="U151" s="42">
        <v>1</v>
      </c>
    </row>
    <row r="152" spans="1:23" s="36" customFormat="1" ht="15.45" hidden="1" x14ac:dyDescent="0.35">
      <c r="A152" s="20" t="s">
        <v>117</v>
      </c>
      <c r="B152" s="9">
        <v>45759</v>
      </c>
      <c r="C152" s="14" t="s">
        <v>1336</v>
      </c>
      <c r="D152" s="10" t="s">
        <v>1337</v>
      </c>
      <c r="E152" s="9">
        <v>45759</v>
      </c>
      <c r="F152" s="10" t="s">
        <v>68</v>
      </c>
      <c r="G152" s="10" t="s">
        <v>1341</v>
      </c>
      <c r="H152" s="10" t="s">
        <v>24</v>
      </c>
      <c r="I152" s="10" t="s">
        <v>61</v>
      </c>
      <c r="J152" s="50" t="s">
        <v>1715</v>
      </c>
      <c r="K152" s="10" t="s">
        <v>124</v>
      </c>
      <c r="L152" s="12">
        <f t="shared" si="20"/>
        <v>1</v>
      </c>
      <c r="M152" s="12">
        <v>138739</v>
      </c>
      <c r="N152" s="12">
        <v>0</v>
      </c>
      <c r="O152" s="11">
        <v>138739</v>
      </c>
      <c r="P152" s="11">
        <f t="shared" si="19"/>
        <v>138739</v>
      </c>
      <c r="Q152" s="11">
        <v>15261.29</v>
      </c>
      <c r="R152" s="11"/>
      <c r="S152" s="11">
        <v>0</v>
      </c>
      <c r="T152" s="11">
        <f t="shared" si="21"/>
        <v>154000.29</v>
      </c>
      <c r="U152" s="42">
        <v>1</v>
      </c>
    </row>
    <row r="153" spans="1:23" s="36" customFormat="1" ht="15.45" hidden="1" x14ac:dyDescent="0.35">
      <c r="A153" s="20" t="s">
        <v>117</v>
      </c>
      <c r="B153" s="9">
        <v>45759</v>
      </c>
      <c r="C153" s="14" t="s">
        <v>1336</v>
      </c>
      <c r="D153" s="10" t="s">
        <v>1337</v>
      </c>
      <c r="E153" s="9">
        <v>45759</v>
      </c>
      <c r="F153" s="10" t="s">
        <v>68</v>
      </c>
      <c r="G153" s="10" t="s">
        <v>1342</v>
      </c>
      <c r="H153" s="10" t="s">
        <v>24</v>
      </c>
      <c r="I153" s="10" t="s">
        <v>61</v>
      </c>
      <c r="J153" s="50" t="s">
        <v>1715</v>
      </c>
      <c r="K153" s="10" t="s">
        <v>3</v>
      </c>
      <c r="L153" s="12">
        <f t="shared" si="20"/>
        <v>1</v>
      </c>
      <c r="M153" s="12">
        <v>64865</v>
      </c>
      <c r="N153" s="12">
        <v>0</v>
      </c>
      <c r="O153" s="11">
        <v>64865</v>
      </c>
      <c r="P153" s="11">
        <f t="shared" si="19"/>
        <v>64865</v>
      </c>
      <c r="Q153" s="11">
        <v>7135.15</v>
      </c>
      <c r="R153" s="11"/>
      <c r="S153" s="11">
        <v>0</v>
      </c>
      <c r="T153" s="11">
        <f t="shared" si="21"/>
        <v>72000.149999999994</v>
      </c>
      <c r="U153" s="42">
        <v>1</v>
      </c>
    </row>
    <row r="154" spans="1:23" s="36" customFormat="1" ht="15.45" hidden="1" x14ac:dyDescent="0.35">
      <c r="A154" s="20" t="s">
        <v>117</v>
      </c>
      <c r="B154" s="9">
        <v>45759</v>
      </c>
      <c r="C154" s="14" t="s">
        <v>1336</v>
      </c>
      <c r="D154" s="10" t="s">
        <v>1337</v>
      </c>
      <c r="E154" s="9">
        <v>45759</v>
      </c>
      <c r="F154" s="10" t="s">
        <v>68</v>
      </c>
      <c r="G154" s="10" t="s">
        <v>1343</v>
      </c>
      <c r="H154" s="10" t="s">
        <v>24</v>
      </c>
      <c r="I154" s="10" t="s">
        <v>61</v>
      </c>
      <c r="J154" s="50" t="s">
        <v>1715</v>
      </c>
      <c r="K154" s="10" t="s">
        <v>145</v>
      </c>
      <c r="L154" s="12">
        <f t="shared" si="20"/>
        <v>3</v>
      </c>
      <c r="M154" s="12">
        <v>55405.4</v>
      </c>
      <c r="N154" s="12">
        <v>0</v>
      </c>
      <c r="O154" s="11">
        <v>166216.20000000001</v>
      </c>
      <c r="P154" s="11">
        <f t="shared" si="19"/>
        <v>166216.20000000001</v>
      </c>
      <c r="Q154" s="11">
        <v>18283.781999999999</v>
      </c>
      <c r="R154" s="11"/>
      <c r="S154" s="11">
        <v>0</v>
      </c>
      <c r="T154" s="11">
        <f t="shared" si="21"/>
        <v>184499.98200000002</v>
      </c>
      <c r="U154" s="42">
        <v>3</v>
      </c>
    </row>
    <row r="155" spans="1:23" s="36" customFormat="1" ht="15.45" hidden="1" x14ac:dyDescent="0.35">
      <c r="A155" s="19" t="s">
        <v>117</v>
      </c>
      <c r="B155" s="9">
        <v>45759</v>
      </c>
      <c r="C155" s="14" t="s">
        <v>1336</v>
      </c>
      <c r="D155" s="10" t="s">
        <v>1337</v>
      </c>
      <c r="E155" s="9">
        <v>45759</v>
      </c>
      <c r="F155" s="10" t="s">
        <v>68</v>
      </c>
      <c r="G155" s="10" t="s">
        <v>1344</v>
      </c>
      <c r="H155" s="10" t="s">
        <v>24</v>
      </c>
      <c r="I155" s="10" t="s">
        <v>61</v>
      </c>
      <c r="J155" s="50" t="s">
        <v>1715</v>
      </c>
      <c r="K155" s="10" t="s">
        <v>1</v>
      </c>
      <c r="L155" s="12">
        <f t="shared" si="20"/>
        <v>1</v>
      </c>
      <c r="M155" s="12">
        <v>12613</v>
      </c>
      <c r="N155" s="12">
        <v>0</v>
      </c>
      <c r="O155" s="11">
        <v>12613</v>
      </c>
      <c r="P155" s="11">
        <f t="shared" si="19"/>
        <v>12613</v>
      </c>
      <c r="Q155" s="11">
        <v>1387.43</v>
      </c>
      <c r="R155" s="11"/>
      <c r="S155" s="11">
        <v>0</v>
      </c>
      <c r="T155" s="11">
        <f t="shared" si="21"/>
        <v>14000.43</v>
      </c>
      <c r="U155" s="42">
        <v>1</v>
      </c>
    </row>
    <row r="156" spans="1:23" s="36" customFormat="1" ht="15.45" hidden="1" x14ac:dyDescent="0.35">
      <c r="A156" s="19" t="s">
        <v>117</v>
      </c>
      <c r="B156" s="9">
        <v>45764</v>
      </c>
      <c r="C156" s="14" t="s">
        <v>1394</v>
      </c>
      <c r="D156" s="10" t="s">
        <v>1395</v>
      </c>
      <c r="E156" s="9">
        <v>45764</v>
      </c>
      <c r="F156" s="10" t="s">
        <v>68</v>
      </c>
      <c r="G156" s="10" t="s">
        <v>1396</v>
      </c>
      <c r="H156" s="10" t="s">
        <v>24</v>
      </c>
      <c r="I156" s="10" t="s">
        <v>61</v>
      </c>
      <c r="J156" s="50" t="s">
        <v>1716</v>
      </c>
      <c r="K156" s="10" t="s">
        <v>3</v>
      </c>
      <c r="L156" s="12">
        <f t="shared" si="20"/>
        <v>3</v>
      </c>
      <c r="M156" s="12">
        <v>64865</v>
      </c>
      <c r="N156" s="12">
        <v>0</v>
      </c>
      <c r="O156" s="11">
        <v>194595</v>
      </c>
      <c r="P156" s="11">
        <f t="shared" si="19"/>
        <v>194595</v>
      </c>
      <c r="Q156" s="11">
        <v>21405.45</v>
      </c>
      <c r="R156" s="11"/>
      <c r="S156" s="11">
        <v>0</v>
      </c>
      <c r="T156" s="11">
        <f t="shared" si="21"/>
        <v>216000.45</v>
      </c>
      <c r="U156" s="42">
        <v>3</v>
      </c>
    </row>
    <row r="157" spans="1:23" s="36" customFormat="1" ht="15.45" hidden="1" x14ac:dyDescent="0.35">
      <c r="A157" s="19" t="s">
        <v>117</v>
      </c>
      <c r="B157" s="9">
        <v>45772</v>
      </c>
      <c r="C157" s="14" t="s">
        <v>1573</v>
      </c>
      <c r="D157" s="10" t="s">
        <v>1574</v>
      </c>
      <c r="E157" s="9">
        <v>45772</v>
      </c>
      <c r="F157" s="10" t="s">
        <v>68</v>
      </c>
      <c r="G157" s="10" t="s">
        <v>1575</v>
      </c>
      <c r="H157" s="10" t="s">
        <v>24</v>
      </c>
      <c r="I157" s="10" t="s">
        <v>61</v>
      </c>
      <c r="J157" s="50" t="s">
        <v>1748</v>
      </c>
      <c r="K157" s="10" t="s">
        <v>6</v>
      </c>
      <c r="L157" s="12">
        <f t="shared" si="20"/>
        <v>2</v>
      </c>
      <c r="M157" s="12">
        <v>14775</v>
      </c>
      <c r="N157" s="12">
        <v>0</v>
      </c>
      <c r="O157" s="11">
        <v>29550</v>
      </c>
      <c r="P157" s="11">
        <f t="shared" si="19"/>
        <v>29550</v>
      </c>
      <c r="Q157" s="11">
        <v>3250.5</v>
      </c>
      <c r="R157" s="11"/>
      <c r="S157" s="11">
        <v>0</v>
      </c>
      <c r="T157" s="11">
        <f t="shared" si="21"/>
        <v>32800.5</v>
      </c>
      <c r="U157" s="42">
        <v>2</v>
      </c>
    </row>
    <row r="158" spans="1:23" s="36" customFormat="1" ht="15.45" hidden="1" x14ac:dyDescent="0.35">
      <c r="A158" s="19" t="s">
        <v>117</v>
      </c>
      <c r="B158" s="9">
        <v>45772</v>
      </c>
      <c r="C158" s="14" t="s">
        <v>1573</v>
      </c>
      <c r="D158" s="10" t="s">
        <v>1574</v>
      </c>
      <c r="E158" s="9">
        <v>45772</v>
      </c>
      <c r="F158" s="10" t="s">
        <v>68</v>
      </c>
      <c r="G158" s="10" t="s">
        <v>1396</v>
      </c>
      <c r="H158" s="10" t="s">
        <v>24</v>
      </c>
      <c r="I158" s="10" t="s">
        <v>61</v>
      </c>
      <c r="J158" s="50" t="s">
        <v>1748</v>
      </c>
      <c r="K158" s="10" t="s">
        <v>3</v>
      </c>
      <c r="L158" s="12">
        <f t="shared" si="20"/>
        <v>3</v>
      </c>
      <c r="M158" s="12">
        <v>64865</v>
      </c>
      <c r="N158" s="12">
        <v>0</v>
      </c>
      <c r="O158" s="11">
        <v>194595</v>
      </c>
      <c r="P158" s="11">
        <f t="shared" si="19"/>
        <v>194595</v>
      </c>
      <c r="Q158" s="11">
        <v>21405.45</v>
      </c>
      <c r="R158" s="11"/>
      <c r="S158" s="11">
        <v>0</v>
      </c>
      <c r="T158" s="11">
        <f t="shared" si="21"/>
        <v>216000.45</v>
      </c>
      <c r="U158" s="42">
        <v>3</v>
      </c>
    </row>
    <row r="159" spans="1:23" s="36" customFormat="1" ht="15.45" hidden="1" x14ac:dyDescent="0.35">
      <c r="A159" s="19" t="s">
        <v>117</v>
      </c>
      <c r="B159" s="9">
        <v>45773</v>
      </c>
      <c r="C159" s="14" t="s">
        <v>1576</v>
      </c>
      <c r="D159" s="10" t="s">
        <v>1577</v>
      </c>
      <c r="E159" s="9">
        <v>45773</v>
      </c>
      <c r="F159" s="10" t="s">
        <v>68</v>
      </c>
      <c r="G159" s="10" t="s">
        <v>144</v>
      </c>
      <c r="H159" s="10" t="s">
        <v>24</v>
      </c>
      <c r="I159" s="10" t="s">
        <v>61</v>
      </c>
      <c r="J159" s="50" t="s">
        <v>1749</v>
      </c>
      <c r="K159" s="10" t="s">
        <v>145</v>
      </c>
      <c r="L159" s="12">
        <f t="shared" si="20"/>
        <v>10</v>
      </c>
      <c r="M159" s="12">
        <v>119820</v>
      </c>
      <c r="N159" s="12">
        <v>0</v>
      </c>
      <c r="O159" s="11">
        <v>1198200</v>
      </c>
      <c r="P159" s="11">
        <f t="shared" si="19"/>
        <v>1198200</v>
      </c>
      <c r="Q159" s="11">
        <v>131802</v>
      </c>
      <c r="R159" s="11"/>
      <c r="S159" s="11">
        <v>0</v>
      </c>
      <c r="T159" s="11">
        <f t="shared" si="21"/>
        <v>1330002</v>
      </c>
      <c r="U159" s="42">
        <v>10</v>
      </c>
    </row>
    <row r="160" spans="1:23" s="36" customFormat="1" ht="15.45" hidden="1" x14ac:dyDescent="0.35">
      <c r="A160" s="19" t="s">
        <v>817</v>
      </c>
      <c r="B160" s="9">
        <v>45776</v>
      </c>
      <c r="C160" s="14" t="s">
        <v>1587</v>
      </c>
      <c r="D160" s="10" t="s">
        <v>1588</v>
      </c>
      <c r="E160" s="9">
        <v>45776</v>
      </c>
      <c r="F160" s="10" t="s">
        <v>808</v>
      </c>
      <c r="G160" s="10" t="s">
        <v>809</v>
      </c>
      <c r="H160" s="10" t="s">
        <v>26</v>
      </c>
      <c r="I160" s="10" t="s">
        <v>80</v>
      </c>
      <c r="J160" s="10"/>
      <c r="K160" s="10" t="s">
        <v>6</v>
      </c>
      <c r="L160" s="12">
        <f t="shared" si="20"/>
        <v>1</v>
      </c>
      <c r="M160" s="12">
        <v>1350000</v>
      </c>
      <c r="N160" s="12">
        <v>0</v>
      </c>
      <c r="O160" s="11">
        <v>1350000</v>
      </c>
      <c r="P160" s="11">
        <f t="shared" si="19"/>
        <v>1350000</v>
      </c>
      <c r="Q160" s="11">
        <v>0</v>
      </c>
      <c r="R160" s="11"/>
      <c r="S160" s="11">
        <v>0</v>
      </c>
      <c r="T160" s="11">
        <f t="shared" si="21"/>
        <v>1350000</v>
      </c>
      <c r="U160" s="42">
        <v>1</v>
      </c>
    </row>
    <row r="161" spans="1:23" s="36" customFormat="1" ht="15.45" hidden="1" x14ac:dyDescent="0.35">
      <c r="A161" s="19" t="s">
        <v>149</v>
      </c>
      <c r="B161" s="9">
        <v>45762</v>
      </c>
      <c r="C161" s="14" t="s">
        <v>1366</v>
      </c>
      <c r="D161" s="10" t="s">
        <v>1367</v>
      </c>
      <c r="E161" s="9">
        <v>45759</v>
      </c>
      <c r="F161" s="10" t="s">
        <v>143</v>
      </c>
      <c r="G161" s="10" t="s">
        <v>198</v>
      </c>
      <c r="H161" s="10" t="s">
        <v>24</v>
      </c>
      <c r="I161" s="10" t="s">
        <v>61</v>
      </c>
      <c r="J161" s="50" t="s">
        <v>1713</v>
      </c>
      <c r="K161" s="10" t="s">
        <v>10</v>
      </c>
      <c r="L161" s="12">
        <f t="shared" si="20"/>
        <v>10</v>
      </c>
      <c r="M161" s="12">
        <v>28500</v>
      </c>
      <c r="N161" s="12">
        <v>0</v>
      </c>
      <c r="O161" s="11">
        <v>285000</v>
      </c>
      <c r="P161" s="11">
        <f t="shared" si="19"/>
        <v>285000</v>
      </c>
      <c r="Q161" s="11">
        <v>31350</v>
      </c>
      <c r="R161" s="11"/>
      <c r="S161" s="11">
        <v>0</v>
      </c>
      <c r="T161" s="11">
        <f t="shared" si="21"/>
        <v>316350</v>
      </c>
      <c r="U161" s="42">
        <v>10</v>
      </c>
    </row>
    <row r="162" spans="1:23" s="36" customFormat="1" ht="15.45" hidden="1" x14ac:dyDescent="0.35">
      <c r="A162" s="19" t="s">
        <v>149</v>
      </c>
      <c r="B162" s="9">
        <v>45769</v>
      </c>
      <c r="C162" s="14" t="s">
        <v>1447</v>
      </c>
      <c r="D162" s="10" t="s">
        <v>1448</v>
      </c>
      <c r="E162" s="9">
        <v>45764</v>
      </c>
      <c r="F162" s="10" t="s">
        <v>143</v>
      </c>
      <c r="G162" s="10" t="s">
        <v>1449</v>
      </c>
      <c r="H162" s="10" t="s">
        <v>24</v>
      </c>
      <c r="I162" s="10" t="s">
        <v>61</v>
      </c>
      <c r="J162" s="10" t="s">
        <v>1712</v>
      </c>
      <c r="K162" s="10" t="s">
        <v>6</v>
      </c>
      <c r="L162" s="12">
        <f t="shared" si="20"/>
        <v>3</v>
      </c>
      <c r="M162" s="12">
        <v>149500</v>
      </c>
      <c r="N162" s="12">
        <v>0</v>
      </c>
      <c r="O162" s="11">
        <v>448500</v>
      </c>
      <c r="P162" s="11">
        <f t="shared" si="19"/>
        <v>448500</v>
      </c>
      <c r="Q162" s="11">
        <v>49335</v>
      </c>
      <c r="R162" s="11"/>
      <c r="S162" s="11">
        <v>0</v>
      </c>
      <c r="T162" s="11">
        <f t="shared" si="21"/>
        <v>497835</v>
      </c>
      <c r="U162" s="42">
        <v>3</v>
      </c>
    </row>
    <row r="163" spans="1:23" s="36" customFormat="1" ht="15.45" hidden="1" x14ac:dyDescent="0.35">
      <c r="A163" s="19" t="s">
        <v>149</v>
      </c>
      <c r="B163" s="9">
        <v>45769</v>
      </c>
      <c r="C163" s="14" t="s">
        <v>1447</v>
      </c>
      <c r="D163" s="10" t="s">
        <v>1448</v>
      </c>
      <c r="E163" s="9">
        <v>45764</v>
      </c>
      <c r="F163" s="10" t="s">
        <v>143</v>
      </c>
      <c r="G163" s="10" t="s">
        <v>1450</v>
      </c>
      <c r="H163" s="10" t="s">
        <v>24</v>
      </c>
      <c r="I163" s="10" t="s">
        <v>61</v>
      </c>
      <c r="J163" s="10" t="s">
        <v>1712</v>
      </c>
      <c r="K163" s="10" t="s">
        <v>6</v>
      </c>
      <c r="L163" s="12">
        <f t="shared" si="20"/>
        <v>3</v>
      </c>
      <c r="M163" s="12">
        <v>204000</v>
      </c>
      <c r="N163" s="12">
        <v>0</v>
      </c>
      <c r="O163" s="11">
        <v>612000</v>
      </c>
      <c r="P163" s="11">
        <f t="shared" si="19"/>
        <v>612000</v>
      </c>
      <c r="Q163" s="11">
        <v>67320</v>
      </c>
      <c r="R163" s="11"/>
      <c r="S163" s="11">
        <v>0</v>
      </c>
      <c r="T163" s="11">
        <f t="shared" si="21"/>
        <v>679320</v>
      </c>
      <c r="U163" s="42">
        <v>3</v>
      </c>
    </row>
    <row r="164" spans="1:23" s="36" customFormat="1" ht="15.45" hidden="1" x14ac:dyDescent="0.35">
      <c r="A164" s="19" t="s">
        <v>150</v>
      </c>
      <c r="B164" s="9">
        <v>45759</v>
      </c>
      <c r="C164" s="14" t="s">
        <v>1345</v>
      </c>
      <c r="D164" s="10" t="s">
        <v>1346</v>
      </c>
      <c r="E164" s="9">
        <v>45759</v>
      </c>
      <c r="F164" s="10" t="s">
        <v>147</v>
      </c>
      <c r="G164" s="10" t="s">
        <v>1347</v>
      </c>
      <c r="H164" s="10" t="s">
        <v>24</v>
      </c>
      <c r="I164" s="10" t="s">
        <v>61</v>
      </c>
      <c r="J164" s="10"/>
      <c r="K164" s="10" t="s">
        <v>6</v>
      </c>
      <c r="L164" s="12">
        <f t="shared" si="20"/>
        <v>6</v>
      </c>
      <c r="M164" s="12">
        <v>3000</v>
      </c>
      <c r="N164" s="12">
        <v>0</v>
      </c>
      <c r="O164" s="11">
        <v>18000</v>
      </c>
      <c r="P164" s="11">
        <f t="shared" si="19"/>
        <v>18000</v>
      </c>
      <c r="Q164" s="11">
        <v>0</v>
      </c>
      <c r="R164" s="11"/>
      <c r="S164" s="11">
        <v>0</v>
      </c>
      <c r="T164" s="11">
        <f t="shared" si="21"/>
        <v>18000</v>
      </c>
      <c r="U164" s="42">
        <v>6</v>
      </c>
    </row>
    <row r="165" spans="1:23" s="36" customFormat="1" ht="15.45" hidden="1" x14ac:dyDescent="0.35">
      <c r="A165" s="19" t="s">
        <v>150</v>
      </c>
      <c r="B165" s="9">
        <v>45759</v>
      </c>
      <c r="C165" s="14" t="s">
        <v>1345</v>
      </c>
      <c r="D165" s="10" t="s">
        <v>1346</v>
      </c>
      <c r="E165" s="9">
        <v>45759</v>
      </c>
      <c r="F165" s="10" t="s">
        <v>147</v>
      </c>
      <c r="G165" s="10" t="s">
        <v>1348</v>
      </c>
      <c r="H165" s="10" t="s">
        <v>24</v>
      </c>
      <c r="I165" s="10" t="s">
        <v>61</v>
      </c>
      <c r="J165" s="10"/>
      <c r="K165" s="10" t="s">
        <v>124</v>
      </c>
      <c r="L165" s="12">
        <f t="shared" si="20"/>
        <v>9</v>
      </c>
      <c r="M165" s="12">
        <v>11111.12</v>
      </c>
      <c r="N165" s="12">
        <v>0</v>
      </c>
      <c r="O165" s="11">
        <v>100000.08</v>
      </c>
      <c r="P165" s="11">
        <f t="shared" si="19"/>
        <v>100000.08</v>
      </c>
      <c r="Q165" s="11">
        <v>0</v>
      </c>
      <c r="R165" s="11"/>
      <c r="S165" s="11">
        <v>0</v>
      </c>
      <c r="T165" s="11">
        <f t="shared" si="21"/>
        <v>100000.08</v>
      </c>
      <c r="U165" s="42">
        <v>9</v>
      </c>
    </row>
    <row r="166" spans="1:23" s="36" customFormat="1" ht="15.45" hidden="1" x14ac:dyDescent="0.35">
      <c r="A166" s="19" t="s">
        <v>170</v>
      </c>
      <c r="B166" s="9">
        <v>45768</v>
      </c>
      <c r="C166" s="14" t="s">
        <v>1437</v>
      </c>
      <c r="D166" s="10" t="s">
        <v>1438</v>
      </c>
      <c r="E166" s="9">
        <v>45763</v>
      </c>
      <c r="F166" s="10" t="s">
        <v>36</v>
      </c>
      <c r="G166" s="10" t="s">
        <v>203</v>
      </c>
      <c r="H166" s="10" t="s">
        <v>23</v>
      </c>
      <c r="I166" s="10" t="s">
        <v>891</v>
      </c>
      <c r="J166" s="50" t="s">
        <v>1741</v>
      </c>
      <c r="K166" s="10" t="s">
        <v>1</v>
      </c>
      <c r="L166" s="12">
        <f t="shared" si="20"/>
        <v>200</v>
      </c>
      <c r="M166" s="12">
        <v>10094</v>
      </c>
      <c r="N166" s="12">
        <v>16823</v>
      </c>
      <c r="O166" s="11">
        <v>2018800</v>
      </c>
      <c r="P166" s="11">
        <f t="shared" si="19"/>
        <v>2018800</v>
      </c>
      <c r="Q166" s="11">
        <v>222068</v>
      </c>
      <c r="R166" s="11"/>
      <c r="S166" s="11">
        <v>0</v>
      </c>
      <c r="T166" s="11">
        <f t="shared" si="21"/>
        <v>2240868</v>
      </c>
      <c r="U166" s="42">
        <v>200</v>
      </c>
    </row>
    <row r="167" spans="1:23" s="36" customFormat="1" ht="15.45" hidden="1" x14ac:dyDescent="0.35">
      <c r="A167" s="19" t="s">
        <v>170</v>
      </c>
      <c r="B167" s="9">
        <v>45768</v>
      </c>
      <c r="C167" s="14" t="s">
        <v>1441</v>
      </c>
      <c r="D167" s="10" t="s">
        <v>1442</v>
      </c>
      <c r="E167" s="9">
        <v>45764</v>
      </c>
      <c r="F167" s="10" t="s">
        <v>36</v>
      </c>
      <c r="G167" s="10" t="s">
        <v>1443</v>
      </c>
      <c r="H167" s="10" t="s">
        <v>23</v>
      </c>
      <c r="I167" s="10" t="s">
        <v>891</v>
      </c>
      <c r="J167" s="50" t="s">
        <v>1742</v>
      </c>
      <c r="K167" s="10" t="s">
        <v>1</v>
      </c>
      <c r="L167" s="12">
        <f t="shared" si="20"/>
        <v>200</v>
      </c>
      <c r="M167" s="12">
        <v>25235</v>
      </c>
      <c r="N167" s="12">
        <v>16823</v>
      </c>
      <c r="O167" s="11">
        <v>5047000</v>
      </c>
      <c r="P167" s="11">
        <f t="shared" si="19"/>
        <v>5047000</v>
      </c>
      <c r="Q167" s="11">
        <v>555170</v>
      </c>
      <c r="R167" s="11"/>
      <c r="S167" s="11">
        <v>0</v>
      </c>
      <c r="T167" s="11">
        <f t="shared" si="21"/>
        <v>5602170</v>
      </c>
      <c r="U167" s="42">
        <v>200</v>
      </c>
    </row>
    <row r="168" spans="1:23" s="36" customFormat="1" ht="15.45" hidden="1" x14ac:dyDescent="0.4">
      <c r="A168" s="19" t="s">
        <v>1331</v>
      </c>
      <c r="B168" s="9">
        <v>45758</v>
      </c>
      <c r="C168" s="14" t="s">
        <v>1315</v>
      </c>
      <c r="D168" s="10" t="s">
        <v>1316</v>
      </c>
      <c r="E168" s="9">
        <v>45755</v>
      </c>
      <c r="F168" s="10" t="s">
        <v>1317</v>
      </c>
      <c r="G168" s="10" t="s">
        <v>1318</v>
      </c>
      <c r="H168" s="10" t="s">
        <v>23</v>
      </c>
      <c r="I168" s="10" t="s">
        <v>888</v>
      </c>
      <c r="J168" s="50" t="s">
        <v>1494</v>
      </c>
      <c r="K168" s="10" t="s">
        <v>1</v>
      </c>
      <c r="L168" s="12">
        <f t="shared" si="20"/>
        <v>50</v>
      </c>
      <c r="M168" s="12">
        <v>117740</v>
      </c>
      <c r="N168" s="12">
        <v>16820</v>
      </c>
      <c r="O168" s="11">
        <v>5887000</v>
      </c>
      <c r="P168" s="11">
        <f>O168</f>
        <v>5887000</v>
      </c>
      <c r="Q168" s="11">
        <v>647570</v>
      </c>
      <c r="R168" s="11"/>
      <c r="S168" s="11">
        <v>0</v>
      </c>
      <c r="T168" s="11">
        <f t="shared" si="21"/>
        <v>6534570</v>
      </c>
      <c r="U168" s="42">
        <v>50</v>
      </c>
      <c r="V168"/>
      <c r="W168"/>
    </row>
    <row r="169" spans="1:23" s="36" customFormat="1" ht="15.45" hidden="1" x14ac:dyDescent="0.35">
      <c r="A169" s="19" t="s">
        <v>161</v>
      </c>
      <c r="B169" s="9">
        <v>45762</v>
      </c>
      <c r="C169" s="14" t="s">
        <v>1781</v>
      </c>
      <c r="D169" s="10"/>
      <c r="E169" s="9"/>
      <c r="F169" s="23" t="s">
        <v>162</v>
      </c>
      <c r="G169" s="23" t="s">
        <v>1782</v>
      </c>
      <c r="H169" s="23" t="s">
        <v>163</v>
      </c>
      <c r="I169" s="23" t="s">
        <v>164</v>
      </c>
      <c r="J169" s="50"/>
      <c r="K169" s="10" t="s">
        <v>165</v>
      </c>
      <c r="L169" s="12">
        <v>5</v>
      </c>
      <c r="M169" s="12">
        <v>4800000</v>
      </c>
      <c r="N169" s="12">
        <v>0</v>
      </c>
      <c r="O169" s="11">
        <f>L169*M169</f>
        <v>24000000</v>
      </c>
      <c r="P169" s="11">
        <f>O169</f>
        <v>24000000</v>
      </c>
      <c r="Q169" s="11">
        <f>P169*0.11</f>
        <v>2640000</v>
      </c>
      <c r="R169" s="11">
        <f>P169*2%</f>
        <v>480000</v>
      </c>
      <c r="S169" s="11">
        <v>0</v>
      </c>
      <c r="T169" s="11">
        <f>P169+Q169-S169-R169</f>
        <v>26160000</v>
      </c>
      <c r="U169" s="42"/>
    </row>
    <row r="170" spans="1:23" s="36" customFormat="1" ht="15.45" hidden="1" x14ac:dyDescent="0.35">
      <c r="A170" s="19" t="s">
        <v>105</v>
      </c>
      <c r="B170" s="21">
        <v>45770</v>
      </c>
      <c r="C170" s="22" t="s">
        <v>1729</v>
      </c>
      <c r="D170" s="23"/>
      <c r="E170" s="21"/>
      <c r="F170" s="23" t="s">
        <v>85</v>
      </c>
      <c r="G170" s="23" t="s">
        <v>725</v>
      </c>
      <c r="H170" s="23">
        <v>1105201</v>
      </c>
      <c r="I170" s="23" t="s">
        <v>886</v>
      </c>
      <c r="J170" s="26"/>
      <c r="K170" s="23" t="s">
        <v>0</v>
      </c>
      <c r="L170" s="24">
        <v>-150</v>
      </c>
      <c r="M170" s="24">
        <v>61952</v>
      </c>
      <c r="N170" s="24"/>
      <c r="O170" s="25">
        <f>L170*M170</f>
        <v>-9292800</v>
      </c>
      <c r="P170" s="25">
        <f>O170</f>
        <v>-9292800</v>
      </c>
      <c r="Q170" s="11">
        <f>P170*0.11</f>
        <v>-1022208</v>
      </c>
      <c r="R170" s="25"/>
      <c r="S170" s="25"/>
      <c r="T170" s="25">
        <f>P170+Q170</f>
        <v>-10315008</v>
      </c>
      <c r="U170" s="29"/>
      <c r="V170" s="28"/>
      <c r="W170" s="28"/>
    </row>
    <row r="171" spans="1:23" s="36" customFormat="1" ht="15.45" hidden="1" x14ac:dyDescent="0.35">
      <c r="A171" s="19" t="s">
        <v>105</v>
      </c>
      <c r="B171" s="21">
        <v>45770</v>
      </c>
      <c r="C171" s="22" t="s">
        <v>1730</v>
      </c>
      <c r="D171" s="23"/>
      <c r="E171" s="21"/>
      <c r="F171" s="23" t="s">
        <v>85</v>
      </c>
      <c r="G171" s="23" t="s">
        <v>725</v>
      </c>
      <c r="H171" s="23">
        <v>1105201</v>
      </c>
      <c r="I171" s="23" t="s">
        <v>886</v>
      </c>
      <c r="J171" s="26"/>
      <c r="K171" s="23" t="s">
        <v>0</v>
      </c>
      <c r="L171" s="24">
        <v>-25</v>
      </c>
      <c r="M171" s="24">
        <v>63200</v>
      </c>
      <c r="N171" s="24"/>
      <c r="O171" s="25">
        <f>L171*M171</f>
        <v>-1580000</v>
      </c>
      <c r="P171" s="25">
        <f>O171</f>
        <v>-1580000</v>
      </c>
      <c r="Q171" s="11">
        <f>P171*0.11</f>
        <v>-173800</v>
      </c>
      <c r="R171" s="25"/>
      <c r="S171" s="25"/>
      <c r="T171" s="25">
        <f>P171+Q171</f>
        <v>-1753800</v>
      </c>
      <c r="U171" s="29"/>
      <c r="V171" s="28"/>
      <c r="W171" s="28"/>
    </row>
    <row r="176" spans="1:23" x14ac:dyDescent="0.4">
      <c r="Q176" s="56">
        <f>+Q6</f>
        <v>149103134.18990001</v>
      </c>
      <c r="R176" s="57" t="s">
        <v>505</v>
      </c>
    </row>
    <row r="177" spans="16:18" x14ac:dyDescent="0.4">
      <c r="Q177" s="56">
        <v>149103134</v>
      </c>
      <c r="R177" s="57" t="s">
        <v>506</v>
      </c>
    </row>
    <row r="178" spans="16:18" x14ac:dyDescent="0.4">
      <c r="Q178" s="56">
        <v>216607838</v>
      </c>
      <c r="R178" s="57" t="s">
        <v>507</v>
      </c>
    </row>
    <row r="179" spans="16:18" x14ac:dyDescent="0.4">
      <c r="P179" s="62"/>
      <c r="Q179" s="58">
        <f>Q176-Q177</f>
        <v>0.18990001082420349</v>
      </c>
      <c r="R179" s="57" t="s">
        <v>508</v>
      </c>
    </row>
    <row r="180" spans="16:18" x14ac:dyDescent="0.4">
      <c r="Q180" s="58">
        <f>Q177-Q178</f>
        <v>-67504704</v>
      </c>
      <c r="R180" s="57" t="s">
        <v>509</v>
      </c>
    </row>
  </sheetData>
  <autoFilter ref="A7:W171" xr:uid="{281A3370-5365-4DE9-BD29-589511F735A9}">
    <filterColumn colId="5">
      <filters>
        <filter val="ANUGRAH JAYA INTERNATIONAL, PT"/>
      </filters>
    </filterColumn>
  </autoFilter>
  <conditionalFormatting sqref="A8">
    <cfRule type="duplicateValues" dxfId="937" priority="290"/>
  </conditionalFormatting>
  <conditionalFormatting sqref="A9">
    <cfRule type="duplicateValues" dxfId="936" priority="320"/>
  </conditionalFormatting>
  <conditionalFormatting sqref="A10">
    <cfRule type="duplicateValues" dxfId="935" priority="326"/>
  </conditionalFormatting>
  <conditionalFormatting sqref="A11">
    <cfRule type="duplicateValues" dxfId="934" priority="288"/>
  </conditionalFormatting>
  <conditionalFormatting sqref="A12">
    <cfRule type="duplicateValues" dxfId="933" priority="328"/>
  </conditionalFormatting>
  <conditionalFormatting sqref="A13">
    <cfRule type="duplicateValues" dxfId="932" priority="286"/>
  </conditionalFormatting>
  <conditionalFormatting sqref="A14">
    <cfRule type="duplicateValues" dxfId="931" priority="284"/>
  </conditionalFormatting>
  <conditionalFormatting sqref="A15">
    <cfRule type="duplicateValues" dxfId="930" priority="318"/>
  </conditionalFormatting>
  <conditionalFormatting sqref="A16">
    <cfRule type="duplicateValues" dxfId="929" priority="316"/>
  </conditionalFormatting>
  <conditionalFormatting sqref="A17">
    <cfRule type="duplicateValues" dxfId="928" priority="314"/>
  </conditionalFormatting>
  <conditionalFormatting sqref="A18">
    <cfRule type="duplicateValues" dxfId="927" priority="312"/>
  </conditionalFormatting>
  <conditionalFormatting sqref="A19">
    <cfRule type="duplicateValues" dxfId="926" priority="310"/>
  </conditionalFormatting>
  <conditionalFormatting sqref="A20">
    <cfRule type="duplicateValues" dxfId="925" priority="298"/>
  </conditionalFormatting>
  <conditionalFormatting sqref="A21">
    <cfRule type="duplicateValues" dxfId="924" priority="296"/>
  </conditionalFormatting>
  <conditionalFormatting sqref="A22">
    <cfRule type="duplicateValues" dxfId="923" priority="294"/>
  </conditionalFormatting>
  <conditionalFormatting sqref="A23">
    <cfRule type="duplicateValues" dxfId="922" priority="292"/>
  </conditionalFormatting>
  <conditionalFormatting sqref="A24">
    <cfRule type="duplicateValues" dxfId="921" priority="304"/>
  </conditionalFormatting>
  <conditionalFormatting sqref="A25">
    <cfRule type="duplicateValues" dxfId="920" priority="302"/>
  </conditionalFormatting>
  <conditionalFormatting sqref="A26">
    <cfRule type="duplicateValues" dxfId="919" priority="306"/>
  </conditionalFormatting>
  <conditionalFormatting sqref="A27">
    <cfRule type="duplicateValues" dxfId="918" priority="280"/>
  </conditionalFormatting>
  <conditionalFormatting sqref="A28">
    <cfRule type="duplicateValues" dxfId="917" priority="308"/>
  </conditionalFormatting>
  <conditionalFormatting sqref="A29">
    <cfRule type="duplicateValues" dxfId="916" priority="300"/>
  </conditionalFormatting>
  <conditionalFormatting sqref="A30">
    <cfRule type="duplicateValues" dxfId="915" priority="324"/>
  </conditionalFormatting>
  <conditionalFormatting sqref="A31">
    <cfRule type="duplicateValues" dxfId="914" priority="322"/>
  </conditionalFormatting>
  <conditionalFormatting sqref="A32">
    <cfRule type="duplicateValues" dxfId="913" priority="282"/>
  </conditionalFormatting>
  <conditionalFormatting sqref="A33">
    <cfRule type="duplicateValues" dxfId="912" priority="258"/>
  </conditionalFormatting>
  <conditionalFormatting sqref="A34">
    <cfRule type="duplicateValues" dxfId="911" priority="256"/>
  </conditionalFormatting>
  <conditionalFormatting sqref="A35">
    <cfRule type="duplicateValues" dxfId="910" priority="234"/>
  </conditionalFormatting>
  <conditionalFormatting sqref="A36">
    <cfRule type="duplicateValues" dxfId="909" priority="232"/>
  </conditionalFormatting>
  <conditionalFormatting sqref="A37">
    <cfRule type="duplicateValues" dxfId="908" priority="230"/>
  </conditionalFormatting>
  <conditionalFormatting sqref="A38">
    <cfRule type="duplicateValues" dxfId="907" priority="228"/>
  </conditionalFormatting>
  <conditionalFormatting sqref="A39">
    <cfRule type="duplicateValues" dxfId="906" priority="226"/>
  </conditionalFormatting>
  <conditionalFormatting sqref="A40">
    <cfRule type="duplicateValues" dxfId="905" priority="224"/>
  </conditionalFormatting>
  <conditionalFormatting sqref="A41">
    <cfRule type="duplicateValues" dxfId="904" priority="220"/>
  </conditionalFormatting>
  <conditionalFormatting sqref="A42">
    <cfRule type="duplicateValues" dxfId="903" priority="218"/>
  </conditionalFormatting>
  <conditionalFormatting sqref="A43">
    <cfRule type="duplicateValues" dxfId="902" priority="274"/>
  </conditionalFormatting>
  <conditionalFormatting sqref="A44">
    <cfRule type="duplicateValues" dxfId="901" priority="272"/>
  </conditionalFormatting>
  <conditionalFormatting sqref="A45">
    <cfRule type="duplicateValues" dxfId="900" priority="250"/>
  </conditionalFormatting>
  <conditionalFormatting sqref="A46">
    <cfRule type="duplicateValues" dxfId="899" priority="248"/>
  </conditionalFormatting>
  <conditionalFormatting sqref="A47">
    <cfRule type="duplicateValues" dxfId="898" priority="246"/>
  </conditionalFormatting>
  <conditionalFormatting sqref="A48">
    <cfRule type="duplicateValues" dxfId="897" priority="260"/>
  </conditionalFormatting>
  <conditionalFormatting sqref="A49">
    <cfRule type="duplicateValues" dxfId="896" priority="244"/>
  </conditionalFormatting>
  <conditionalFormatting sqref="A50">
    <cfRule type="duplicateValues" dxfId="895" priority="240"/>
  </conditionalFormatting>
  <conditionalFormatting sqref="A51">
    <cfRule type="duplicateValues" dxfId="894" priority="238"/>
  </conditionalFormatting>
  <conditionalFormatting sqref="A52">
    <cfRule type="duplicateValues" dxfId="893" priority="242"/>
  </conditionalFormatting>
  <conditionalFormatting sqref="A53">
    <cfRule type="duplicateValues" dxfId="892" priority="222"/>
  </conditionalFormatting>
  <conditionalFormatting sqref="A54">
    <cfRule type="duplicateValues" dxfId="891" priority="262"/>
  </conditionalFormatting>
  <conditionalFormatting sqref="A55">
    <cfRule type="duplicateValues" dxfId="890" priority="278"/>
  </conditionalFormatting>
  <conditionalFormatting sqref="A56">
    <cfRule type="duplicateValues" dxfId="889" priority="254"/>
  </conditionalFormatting>
  <conditionalFormatting sqref="A57">
    <cfRule type="duplicateValues" dxfId="888" priority="236"/>
  </conditionalFormatting>
  <conditionalFormatting sqref="A58">
    <cfRule type="duplicateValues" dxfId="887" priority="266"/>
  </conditionalFormatting>
  <conditionalFormatting sqref="A59">
    <cfRule type="duplicateValues" dxfId="886" priority="264"/>
  </conditionalFormatting>
  <conditionalFormatting sqref="A60">
    <cfRule type="duplicateValues" dxfId="885" priority="252"/>
  </conditionalFormatting>
  <conditionalFormatting sqref="A61">
    <cfRule type="duplicateValues" dxfId="884" priority="270"/>
  </conditionalFormatting>
  <conditionalFormatting sqref="A62">
    <cfRule type="duplicateValues" dxfId="883" priority="276"/>
  </conditionalFormatting>
  <conditionalFormatting sqref="A63">
    <cfRule type="duplicateValues" dxfId="882" priority="162"/>
  </conditionalFormatting>
  <conditionalFormatting sqref="A64">
    <cfRule type="duplicateValues" dxfId="881" priority="114"/>
  </conditionalFormatting>
  <conditionalFormatting sqref="A65">
    <cfRule type="duplicateValues" dxfId="880" priority="204"/>
  </conditionalFormatting>
  <conditionalFormatting sqref="A66">
    <cfRule type="duplicateValues" dxfId="879" priority="202"/>
  </conditionalFormatting>
  <conditionalFormatting sqref="A67">
    <cfRule type="duplicateValues" dxfId="878" priority="200"/>
  </conditionalFormatting>
  <conditionalFormatting sqref="A68">
    <cfRule type="duplicateValues" dxfId="877" priority="198"/>
  </conditionalFormatting>
  <conditionalFormatting sqref="A69">
    <cfRule type="duplicateValues" dxfId="876" priority="196"/>
  </conditionalFormatting>
  <conditionalFormatting sqref="A70">
    <cfRule type="duplicateValues" dxfId="875" priority="132"/>
  </conditionalFormatting>
  <conditionalFormatting sqref="A71">
    <cfRule type="duplicateValues" dxfId="874" priority="130"/>
  </conditionalFormatting>
  <conditionalFormatting sqref="A72">
    <cfRule type="duplicateValues" dxfId="873" priority="128"/>
  </conditionalFormatting>
  <conditionalFormatting sqref="A73">
    <cfRule type="duplicateValues" dxfId="872" priority="126"/>
  </conditionalFormatting>
  <conditionalFormatting sqref="A74">
    <cfRule type="duplicateValues" dxfId="871" priority="124"/>
  </conditionalFormatting>
  <conditionalFormatting sqref="A75">
    <cfRule type="duplicateValues" dxfId="870" priority="136"/>
  </conditionalFormatting>
  <conditionalFormatting sqref="A76">
    <cfRule type="duplicateValues" dxfId="869" priority="134"/>
  </conditionalFormatting>
  <conditionalFormatting sqref="A77">
    <cfRule type="duplicateValues" dxfId="868" priority="168"/>
  </conditionalFormatting>
  <conditionalFormatting sqref="A78">
    <cfRule type="duplicateValues" dxfId="867" priority="158"/>
  </conditionalFormatting>
  <conditionalFormatting sqref="A79">
    <cfRule type="duplicateValues" dxfId="866" priority="156"/>
  </conditionalFormatting>
  <conditionalFormatting sqref="A80">
    <cfRule type="duplicateValues" dxfId="865" priority="190"/>
  </conditionalFormatting>
  <conditionalFormatting sqref="A81">
    <cfRule type="duplicateValues" dxfId="864" priority="214"/>
  </conditionalFormatting>
  <conditionalFormatting sqref="A82">
    <cfRule type="duplicateValues" dxfId="863" priority="140"/>
  </conditionalFormatting>
  <conditionalFormatting sqref="A83">
    <cfRule type="duplicateValues" dxfId="862" priority="210"/>
  </conditionalFormatting>
  <conditionalFormatting sqref="A84">
    <cfRule type="duplicateValues" dxfId="861" priority="208"/>
  </conditionalFormatting>
  <conditionalFormatting sqref="A85">
    <cfRule type="duplicateValues" dxfId="860" priority="186"/>
  </conditionalFormatting>
  <conditionalFormatting sqref="A86">
    <cfRule type="duplicateValues" dxfId="859" priority="182"/>
  </conditionalFormatting>
  <conditionalFormatting sqref="A87">
    <cfRule type="duplicateValues" dxfId="858" priority="180"/>
  </conditionalFormatting>
  <conditionalFormatting sqref="A88">
    <cfRule type="duplicateValues" dxfId="857" priority="212"/>
  </conditionalFormatting>
  <conditionalFormatting sqref="A89">
    <cfRule type="duplicateValues" dxfId="856" priority="122"/>
  </conditionalFormatting>
  <conditionalFormatting sqref="A90">
    <cfRule type="duplicateValues" dxfId="855" priority="188"/>
  </conditionalFormatting>
  <conditionalFormatting sqref="A91">
    <cfRule type="duplicateValues" dxfId="854" priority="108"/>
  </conditionalFormatting>
  <conditionalFormatting sqref="A92">
    <cfRule type="duplicateValues" dxfId="853" priority="116"/>
  </conditionalFormatting>
  <conditionalFormatting sqref="A93">
    <cfRule type="duplicateValues" dxfId="852" priority="106"/>
  </conditionalFormatting>
  <conditionalFormatting sqref="A94">
    <cfRule type="duplicateValues" dxfId="851" priority="206"/>
  </conditionalFormatting>
  <conditionalFormatting sqref="A95">
    <cfRule type="duplicateValues" dxfId="850" priority="118"/>
  </conditionalFormatting>
  <conditionalFormatting sqref="A96">
    <cfRule type="duplicateValues" dxfId="849" priority="194"/>
  </conditionalFormatting>
  <conditionalFormatting sqref="A97">
    <cfRule type="duplicateValues" dxfId="848" priority="112"/>
  </conditionalFormatting>
  <conditionalFormatting sqref="A98">
    <cfRule type="duplicateValues" dxfId="847" priority="110"/>
  </conditionalFormatting>
  <conditionalFormatting sqref="A99">
    <cfRule type="duplicateValues" dxfId="846" priority="184"/>
  </conditionalFormatting>
  <conditionalFormatting sqref="A100">
    <cfRule type="duplicateValues" dxfId="845" priority="154"/>
  </conditionalFormatting>
  <conditionalFormatting sqref="A101">
    <cfRule type="duplicateValues" dxfId="844" priority="152"/>
  </conditionalFormatting>
  <conditionalFormatting sqref="A102">
    <cfRule type="duplicateValues" dxfId="843" priority="150"/>
  </conditionalFormatting>
  <conditionalFormatting sqref="A103">
    <cfRule type="duplicateValues" dxfId="842" priority="148"/>
  </conditionalFormatting>
  <conditionalFormatting sqref="A104">
    <cfRule type="duplicateValues" dxfId="841" priority="146"/>
  </conditionalFormatting>
  <conditionalFormatting sqref="A105">
    <cfRule type="duplicateValues" dxfId="840" priority="144"/>
  </conditionalFormatting>
  <conditionalFormatting sqref="A106">
    <cfRule type="duplicateValues" dxfId="839" priority="142"/>
  </conditionalFormatting>
  <conditionalFormatting sqref="A107">
    <cfRule type="duplicateValues" dxfId="838" priority="138"/>
  </conditionalFormatting>
  <conditionalFormatting sqref="A108">
    <cfRule type="duplicateValues" dxfId="837" priority="192"/>
  </conditionalFormatting>
  <conditionalFormatting sqref="A109">
    <cfRule type="duplicateValues" dxfId="836" priority="166"/>
  </conditionalFormatting>
  <conditionalFormatting sqref="A110">
    <cfRule type="duplicateValues" dxfId="835" priority="164"/>
  </conditionalFormatting>
  <conditionalFormatting sqref="A111">
    <cfRule type="duplicateValues" dxfId="834" priority="216"/>
  </conditionalFormatting>
  <conditionalFormatting sqref="A112">
    <cfRule type="duplicateValues" dxfId="833" priority="160"/>
  </conditionalFormatting>
  <conditionalFormatting sqref="A113">
    <cfRule type="duplicateValues" dxfId="832" priority="120"/>
  </conditionalFormatting>
  <conditionalFormatting sqref="A114">
    <cfRule type="duplicateValues" dxfId="831" priority="178"/>
  </conditionalFormatting>
  <conditionalFormatting sqref="A115">
    <cfRule type="duplicateValues" dxfId="830" priority="176"/>
  </conditionalFormatting>
  <conditionalFormatting sqref="A116">
    <cfRule type="duplicateValues" dxfId="829" priority="174"/>
  </conditionalFormatting>
  <conditionalFormatting sqref="A117">
    <cfRule type="duplicateValues" dxfId="828" priority="172"/>
  </conditionalFormatting>
  <conditionalFormatting sqref="A118">
    <cfRule type="duplicateValues" dxfId="827" priority="170"/>
  </conditionalFormatting>
  <conditionalFormatting sqref="A119">
    <cfRule type="duplicateValues" dxfId="826" priority="96"/>
  </conditionalFormatting>
  <conditionalFormatting sqref="A120">
    <cfRule type="duplicateValues" dxfId="825" priority="104"/>
  </conditionalFormatting>
  <conditionalFormatting sqref="A121">
    <cfRule type="duplicateValues" dxfId="824" priority="102"/>
  </conditionalFormatting>
  <conditionalFormatting sqref="A122">
    <cfRule type="duplicateValues" dxfId="823" priority="100"/>
  </conditionalFormatting>
  <conditionalFormatting sqref="A123">
    <cfRule type="duplicateValues" dxfId="822" priority="90"/>
  </conditionalFormatting>
  <conditionalFormatting sqref="A124">
    <cfRule type="duplicateValues" dxfId="821" priority="88"/>
  </conditionalFormatting>
  <conditionalFormatting sqref="A125">
    <cfRule type="duplicateValues" dxfId="820" priority="86"/>
  </conditionalFormatting>
  <conditionalFormatting sqref="A126">
    <cfRule type="duplicateValues" dxfId="819" priority="84"/>
  </conditionalFormatting>
  <conditionalFormatting sqref="A127">
    <cfRule type="duplicateValues" dxfId="818" priority="68"/>
  </conditionalFormatting>
  <conditionalFormatting sqref="A128">
    <cfRule type="duplicateValues" dxfId="817" priority="66"/>
  </conditionalFormatting>
  <conditionalFormatting sqref="A129">
    <cfRule type="duplicateValues" dxfId="816" priority="72"/>
  </conditionalFormatting>
  <conditionalFormatting sqref="A130">
    <cfRule type="duplicateValues" dxfId="815" priority="82"/>
  </conditionalFormatting>
  <conditionalFormatting sqref="A131">
    <cfRule type="duplicateValues" dxfId="814" priority="94"/>
  </conditionalFormatting>
  <conditionalFormatting sqref="A132">
    <cfRule type="duplicateValues" dxfId="813" priority="62"/>
  </conditionalFormatting>
  <conditionalFormatting sqref="A133">
    <cfRule type="duplicateValues" dxfId="812" priority="64"/>
  </conditionalFormatting>
  <conditionalFormatting sqref="A134">
    <cfRule type="duplicateValues" dxfId="811" priority="76"/>
  </conditionalFormatting>
  <conditionalFormatting sqref="A135">
    <cfRule type="duplicateValues" dxfId="810" priority="74"/>
  </conditionalFormatting>
  <conditionalFormatting sqref="A136">
    <cfRule type="duplicateValues" dxfId="809" priority="80"/>
  </conditionalFormatting>
  <conditionalFormatting sqref="A137">
    <cfRule type="duplicateValues" dxfId="808" priority="78"/>
  </conditionalFormatting>
  <conditionalFormatting sqref="A138">
    <cfRule type="duplicateValues" dxfId="807" priority="70"/>
  </conditionalFormatting>
  <conditionalFormatting sqref="A139">
    <cfRule type="duplicateValues" dxfId="806" priority="92"/>
  </conditionalFormatting>
  <conditionalFormatting sqref="A140">
    <cfRule type="duplicateValues" dxfId="805" priority="98"/>
  </conditionalFormatting>
  <conditionalFormatting sqref="A141">
    <cfRule type="duplicateValues" dxfId="804" priority="56"/>
    <cfRule type="duplicateValues" dxfId="803" priority="55"/>
  </conditionalFormatting>
  <conditionalFormatting sqref="A142">
    <cfRule type="duplicateValues" dxfId="802" priority="54"/>
    <cfRule type="duplicateValues" dxfId="801" priority="53"/>
  </conditionalFormatting>
  <conditionalFormatting sqref="A143">
    <cfRule type="duplicateValues" dxfId="800" priority="52"/>
    <cfRule type="duplicateValues" dxfId="799" priority="51"/>
  </conditionalFormatting>
  <conditionalFormatting sqref="A144">
    <cfRule type="duplicateValues" dxfId="798" priority="49"/>
    <cfRule type="duplicateValues" dxfId="797" priority="50"/>
  </conditionalFormatting>
  <conditionalFormatting sqref="A145">
    <cfRule type="duplicateValues" dxfId="796" priority="48"/>
    <cfRule type="duplicateValues" dxfId="795" priority="47"/>
  </conditionalFormatting>
  <conditionalFormatting sqref="A146">
    <cfRule type="duplicateValues" dxfId="794" priority="60"/>
    <cfRule type="duplicateValues" dxfId="793" priority="59"/>
    <cfRule type="duplicateValues" dxfId="792" priority="1"/>
  </conditionalFormatting>
  <conditionalFormatting sqref="A147">
    <cfRule type="duplicateValues" dxfId="791" priority="58"/>
    <cfRule type="duplicateValues" dxfId="790" priority="57"/>
  </conditionalFormatting>
  <conditionalFormatting sqref="A148">
    <cfRule type="duplicateValues" dxfId="789" priority="46"/>
    <cfRule type="duplicateValues" dxfId="788" priority="45"/>
  </conditionalFormatting>
  <conditionalFormatting sqref="A149">
    <cfRule type="duplicateValues" dxfId="787" priority="43"/>
    <cfRule type="duplicateValues" dxfId="786" priority="44"/>
  </conditionalFormatting>
  <conditionalFormatting sqref="A150">
    <cfRule type="duplicateValues" dxfId="785" priority="41"/>
    <cfRule type="duplicateValues" dxfId="784" priority="42"/>
  </conditionalFormatting>
  <conditionalFormatting sqref="A151">
    <cfRule type="duplicateValues" dxfId="783" priority="39"/>
    <cfRule type="duplicateValues" dxfId="782" priority="35"/>
    <cfRule type="duplicateValues" dxfId="781" priority="36"/>
    <cfRule type="duplicateValues" dxfId="780" priority="40"/>
  </conditionalFormatting>
  <conditionalFormatting sqref="A152">
    <cfRule type="duplicateValues" dxfId="779" priority="33"/>
    <cfRule type="duplicateValues" dxfId="778" priority="34"/>
  </conditionalFormatting>
  <conditionalFormatting sqref="A152:A154">
    <cfRule type="duplicateValues" dxfId="777" priority="37"/>
    <cfRule type="duplicateValues" dxfId="776" priority="38"/>
  </conditionalFormatting>
  <conditionalFormatting sqref="A153">
    <cfRule type="duplicateValues" dxfId="775" priority="31"/>
    <cfRule type="duplicateValues" dxfId="774" priority="32"/>
  </conditionalFormatting>
  <conditionalFormatting sqref="A154">
    <cfRule type="duplicateValues" dxfId="773" priority="29"/>
    <cfRule type="duplicateValues" dxfId="772" priority="30"/>
  </conditionalFormatting>
  <conditionalFormatting sqref="A155">
    <cfRule type="duplicateValues" dxfId="771" priority="28"/>
  </conditionalFormatting>
  <conditionalFormatting sqref="A156">
    <cfRule type="duplicateValues" dxfId="770" priority="25"/>
  </conditionalFormatting>
  <conditionalFormatting sqref="A156:A164">
    <cfRule type="duplicateValues" dxfId="769" priority="26"/>
  </conditionalFormatting>
  <conditionalFormatting sqref="A157">
    <cfRule type="duplicateValues" dxfId="768" priority="24"/>
  </conditionalFormatting>
  <conditionalFormatting sqref="A158">
    <cfRule type="duplicateValues" dxfId="767" priority="23"/>
  </conditionalFormatting>
  <conditionalFormatting sqref="A159">
    <cfRule type="duplicateValues" dxfId="766" priority="22"/>
  </conditionalFormatting>
  <conditionalFormatting sqref="A160">
    <cfRule type="duplicateValues" dxfId="765" priority="21"/>
  </conditionalFormatting>
  <conditionalFormatting sqref="A161">
    <cfRule type="duplicateValues" dxfId="764" priority="20"/>
  </conditionalFormatting>
  <conditionalFormatting sqref="A162">
    <cfRule type="duplicateValues" dxfId="763" priority="18"/>
  </conditionalFormatting>
  <conditionalFormatting sqref="A163">
    <cfRule type="duplicateValues" dxfId="762" priority="19"/>
  </conditionalFormatting>
  <conditionalFormatting sqref="A164">
    <cfRule type="duplicateValues" dxfId="761" priority="17"/>
  </conditionalFormatting>
  <conditionalFormatting sqref="A165">
    <cfRule type="duplicateValues" dxfId="760" priority="15"/>
    <cfRule type="duplicateValues" dxfId="759" priority="14"/>
  </conditionalFormatting>
  <conditionalFormatting sqref="A166">
    <cfRule type="duplicateValues" dxfId="758" priority="11"/>
    <cfRule type="duplicateValues" dxfId="757" priority="12"/>
  </conditionalFormatting>
  <conditionalFormatting sqref="A167">
    <cfRule type="duplicateValues" dxfId="756" priority="10"/>
  </conditionalFormatting>
  <conditionalFormatting sqref="A168:A169">
    <cfRule type="duplicateValues" dxfId="755" priority="9"/>
  </conditionalFormatting>
  <conditionalFormatting sqref="A169">
    <cfRule type="duplicateValues" dxfId="754" priority="2"/>
  </conditionalFormatting>
  <conditionalFormatting sqref="A170">
    <cfRule type="duplicateValues" dxfId="753" priority="8"/>
    <cfRule type="duplicateValues" dxfId="752" priority="7"/>
  </conditionalFormatting>
  <conditionalFormatting sqref="A170:A171">
    <cfRule type="duplicateValues" dxfId="751" priority="4"/>
  </conditionalFormatting>
  <conditionalFormatting sqref="A171">
    <cfRule type="duplicateValues" dxfId="750" priority="5"/>
    <cfRule type="duplicateValues" dxfId="749" priority="6"/>
  </conditionalFormatting>
  <conditionalFormatting sqref="B156:B164">
    <cfRule type="duplicateValues" dxfId="748" priority="27"/>
  </conditionalFormatting>
  <conditionalFormatting sqref="B165">
    <cfRule type="duplicateValues" dxfId="747" priority="16"/>
  </conditionalFormatting>
  <conditionalFormatting sqref="B166">
    <cfRule type="duplicateValues" dxfId="746" priority="13"/>
  </conditionalFormatting>
  <conditionalFormatting sqref="B169">
    <cfRule type="duplicateValues" dxfId="745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F41A-217D-41D0-BD55-2E2558CD868F}">
  <dimension ref="A1:W206"/>
  <sheetViews>
    <sheetView workbookViewId="0">
      <pane xSplit="2" ySplit="7" topLeftCell="E187" activePane="bottomRight" state="frozen"/>
      <selection pane="topRight" activeCell="C1" sqref="C1"/>
      <selection pane="bottomLeft" activeCell="A8" sqref="A8"/>
      <selection pane="bottomRight" activeCell="H158" sqref="H158"/>
    </sheetView>
  </sheetViews>
  <sheetFormatPr defaultColWidth="9.15234375" defaultRowHeight="14.6" x14ac:dyDescent="0.4"/>
  <cols>
    <col min="1" max="1" width="12.3828125" style="35" customWidth="1"/>
    <col min="2" max="2" width="11.84375" style="35" customWidth="1"/>
    <col min="3" max="3" width="12" style="35" customWidth="1"/>
    <col min="4" max="4" width="11.3046875" style="35" customWidth="1"/>
    <col min="5" max="5" width="11.3828125" style="35" customWidth="1"/>
    <col min="6" max="7" width="26.3828125" style="35" customWidth="1"/>
    <col min="8" max="8" width="9.84375" style="35" customWidth="1"/>
    <col min="9" max="9" width="29.84375" style="35" customWidth="1"/>
    <col min="10" max="10" width="19.53515625" style="35" customWidth="1"/>
    <col min="11" max="12" width="9.84375" style="35" customWidth="1"/>
    <col min="13" max="13" width="14.53515625" style="35" customWidth="1"/>
    <col min="14" max="14" width="9.84375" style="35" customWidth="1"/>
    <col min="15" max="15" width="17.53515625" style="35" customWidth="1"/>
    <col min="16" max="16" width="16.3046875" style="35" customWidth="1"/>
    <col min="17" max="17" width="15.53515625" style="35" bestFit="1" customWidth="1"/>
    <col min="18" max="18" width="14.15234375" style="35" customWidth="1"/>
    <col min="19" max="19" width="12.3828125" style="35" customWidth="1"/>
    <col min="20" max="20" width="16.53515625" style="35" customWidth="1"/>
    <col min="21" max="21" width="12.84375" style="35" customWidth="1"/>
    <col min="22" max="16384" width="9.15234375" style="35"/>
  </cols>
  <sheetData>
    <row r="1" spans="1:21" x14ac:dyDescent="0.4">
      <c r="B1" s="1" t="s">
        <v>75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4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s="36" customFormat="1" ht="17.600000000000001" x14ac:dyDescent="0.4">
      <c r="B3" s="13" t="s">
        <v>92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pans="1:21" s="36" customFormat="1" ht="12.9" x14ac:dyDescent="0.35">
      <c r="B4" s="3" t="s">
        <v>30</v>
      </c>
      <c r="C4" s="37" t="s">
        <v>1849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s="36" customFormat="1" ht="12.9" x14ac:dyDescent="0.35">
      <c r="B5" s="3" t="s">
        <v>171</v>
      </c>
      <c r="C5" s="37" t="s">
        <v>172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6"/>
      <c r="R5" s="6"/>
      <c r="S5" s="4"/>
      <c r="T5" s="4"/>
      <c r="U5" s="4"/>
    </row>
    <row r="6" spans="1:21" s="36" customFormat="1" ht="12.9" x14ac:dyDescent="0.35">
      <c r="B6" s="15" t="s">
        <v>62</v>
      </c>
      <c r="C6" s="7"/>
      <c r="D6" s="38"/>
      <c r="E6" s="3"/>
      <c r="F6" s="8"/>
      <c r="G6" s="3"/>
      <c r="H6" s="3"/>
      <c r="I6" s="3"/>
      <c r="J6" s="3"/>
      <c r="K6" s="3"/>
      <c r="L6" s="3">
        <v>45941</v>
      </c>
      <c r="M6" s="3"/>
      <c r="N6" s="3"/>
      <c r="O6" s="17">
        <f t="shared" ref="O6:T6" si="0">SUBTOTAL(9,O8:O198)</f>
        <v>2037286027.25</v>
      </c>
      <c r="P6" s="17">
        <f t="shared" si="0"/>
        <v>2037091027.25</v>
      </c>
      <c r="Q6" s="17">
        <f t="shared" si="0"/>
        <v>213445590.95750004</v>
      </c>
      <c r="R6" s="17">
        <f t="shared" si="0"/>
        <v>13304302.629999999</v>
      </c>
      <c r="S6" s="17">
        <f t="shared" si="0"/>
        <v>-175500</v>
      </c>
      <c r="T6" s="17">
        <f t="shared" si="0"/>
        <v>2237313315.5775003</v>
      </c>
      <c r="U6" s="3"/>
    </row>
    <row r="7" spans="1:21" s="36" customFormat="1" ht="24" customHeight="1" x14ac:dyDescent="0.35">
      <c r="A7" s="18" t="s">
        <v>95</v>
      </c>
      <c r="B7" s="40" t="s">
        <v>31</v>
      </c>
      <c r="C7" s="41" t="s">
        <v>32</v>
      </c>
      <c r="D7" s="39" t="s">
        <v>17</v>
      </c>
      <c r="E7" s="39" t="s">
        <v>22</v>
      </c>
      <c r="F7" s="40" t="s">
        <v>33</v>
      </c>
      <c r="G7" s="40" t="s">
        <v>38</v>
      </c>
      <c r="H7" s="40" t="s">
        <v>20</v>
      </c>
      <c r="I7" s="40" t="s">
        <v>28</v>
      </c>
      <c r="J7" s="40" t="s">
        <v>94</v>
      </c>
      <c r="K7" s="40" t="s">
        <v>21</v>
      </c>
      <c r="L7" s="40" t="s">
        <v>9</v>
      </c>
      <c r="M7" s="40" t="s">
        <v>34</v>
      </c>
      <c r="N7" s="40" t="s">
        <v>13</v>
      </c>
      <c r="O7" s="40" t="s">
        <v>18</v>
      </c>
      <c r="P7" s="40" t="s">
        <v>2</v>
      </c>
      <c r="Q7" s="39" t="s">
        <v>7</v>
      </c>
      <c r="R7" s="39" t="s">
        <v>93</v>
      </c>
      <c r="S7" s="39" t="s">
        <v>14</v>
      </c>
      <c r="T7" s="39" t="s">
        <v>37</v>
      </c>
      <c r="U7" s="16"/>
    </row>
    <row r="8" spans="1:21" s="36" customFormat="1" ht="15.45" x14ac:dyDescent="0.35">
      <c r="A8" s="19" t="s">
        <v>166</v>
      </c>
      <c r="B8" s="9">
        <v>45780</v>
      </c>
      <c r="C8" s="14" t="s">
        <v>1783</v>
      </c>
      <c r="D8" s="10"/>
      <c r="E8" s="9"/>
      <c r="F8" s="23" t="s">
        <v>210</v>
      </c>
      <c r="G8" s="23" t="s">
        <v>168</v>
      </c>
      <c r="H8" s="23" t="s">
        <v>169</v>
      </c>
      <c r="I8" s="23" t="s">
        <v>192</v>
      </c>
      <c r="J8" s="50" t="s">
        <v>2260</v>
      </c>
      <c r="K8" s="10" t="s">
        <v>0</v>
      </c>
      <c r="L8" s="12">
        <v>6210</v>
      </c>
      <c r="M8" s="12">
        <v>225.23</v>
      </c>
      <c r="N8" s="12">
        <v>0</v>
      </c>
      <c r="O8" s="11">
        <f t="shared" ref="O8:O21" si="1">L8*M8</f>
        <v>1398678.3</v>
      </c>
      <c r="P8" s="11">
        <f t="shared" ref="P8:P21" si="2">O8</f>
        <v>1398678.3</v>
      </c>
      <c r="Q8" s="73">
        <f t="shared" ref="Q8:Q21" si="3">P8*0.11</f>
        <v>153854.61300000001</v>
      </c>
      <c r="R8" s="11">
        <f t="shared" ref="R8:R21" si="4">P8*2%</f>
        <v>27973.566000000003</v>
      </c>
      <c r="S8" s="11">
        <v>0</v>
      </c>
      <c r="T8" s="11">
        <f t="shared" ref="T8:T21" si="5">P8+Q8-S8-R8</f>
        <v>1524559.3470000001</v>
      </c>
      <c r="U8" s="42">
        <v>36</v>
      </c>
    </row>
    <row r="9" spans="1:21" s="36" customFormat="1" ht="15.45" x14ac:dyDescent="0.35">
      <c r="A9" s="19" t="s">
        <v>166</v>
      </c>
      <c r="B9" s="9">
        <v>45782</v>
      </c>
      <c r="C9" s="14" t="s">
        <v>1784</v>
      </c>
      <c r="D9" s="10"/>
      <c r="E9" s="9"/>
      <c r="F9" s="23" t="s">
        <v>210</v>
      </c>
      <c r="G9" s="23" t="s">
        <v>168</v>
      </c>
      <c r="H9" s="23" t="s">
        <v>169</v>
      </c>
      <c r="I9" s="23" t="s">
        <v>192</v>
      </c>
      <c r="J9" s="50" t="s">
        <v>2261</v>
      </c>
      <c r="K9" s="10" t="s">
        <v>0</v>
      </c>
      <c r="L9" s="12">
        <v>6100</v>
      </c>
      <c r="M9" s="12">
        <v>225.23</v>
      </c>
      <c r="N9" s="12">
        <v>0</v>
      </c>
      <c r="O9" s="11">
        <f t="shared" si="1"/>
        <v>1373903</v>
      </c>
      <c r="P9" s="11">
        <f t="shared" si="2"/>
        <v>1373903</v>
      </c>
      <c r="Q9" s="73">
        <f t="shared" si="3"/>
        <v>151129.32999999999</v>
      </c>
      <c r="R9" s="11">
        <f t="shared" si="4"/>
        <v>27478.06</v>
      </c>
      <c r="S9" s="11">
        <v>0</v>
      </c>
      <c r="T9" s="11">
        <f t="shared" si="5"/>
        <v>1497554.27</v>
      </c>
      <c r="U9" s="42"/>
    </row>
    <row r="10" spans="1:21" s="36" customFormat="1" ht="15.45" x14ac:dyDescent="0.35">
      <c r="A10" s="19" t="s">
        <v>166</v>
      </c>
      <c r="B10" s="9">
        <v>45783</v>
      </c>
      <c r="C10" s="14" t="s">
        <v>1785</v>
      </c>
      <c r="D10" s="10"/>
      <c r="E10" s="9"/>
      <c r="F10" s="23" t="s">
        <v>210</v>
      </c>
      <c r="G10" s="23" t="s">
        <v>168</v>
      </c>
      <c r="H10" s="23" t="s">
        <v>169</v>
      </c>
      <c r="I10" s="23" t="s">
        <v>192</v>
      </c>
      <c r="J10" s="50" t="s">
        <v>2262</v>
      </c>
      <c r="K10" s="10" t="s">
        <v>0</v>
      </c>
      <c r="L10" s="12">
        <v>6470</v>
      </c>
      <c r="M10" s="12">
        <v>225.23</v>
      </c>
      <c r="N10" s="12">
        <v>0</v>
      </c>
      <c r="O10" s="11">
        <f t="shared" si="1"/>
        <v>1457238.0999999999</v>
      </c>
      <c r="P10" s="11">
        <f t="shared" si="2"/>
        <v>1457238.0999999999</v>
      </c>
      <c r="Q10" s="73">
        <f t="shared" si="3"/>
        <v>160296.19099999999</v>
      </c>
      <c r="R10" s="11">
        <f t="shared" si="4"/>
        <v>29144.761999999999</v>
      </c>
      <c r="S10" s="11">
        <v>0</v>
      </c>
      <c r="T10" s="11">
        <f t="shared" si="5"/>
        <v>1588389.5289999996</v>
      </c>
      <c r="U10" s="42"/>
    </row>
    <row r="11" spans="1:21" s="36" customFormat="1" ht="15.45" x14ac:dyDescent="0.35">
      <c r="A11" s="19" t="s">
        <v>166</v>
      </c>
      <c r="B11" s="9">
        <v>45784</v>
      </c>
      <c r="C11" s="14" t="s">
        <v>1786</v>
      </c>
      <c r="D11" s="10"/>
      <c r="E11" s="9"/>
      <c r="F11" s="23" t="s">
        <v>210</v>
      </c>
      <c r="G11" s="23" t="s">
        <v>168</v>
      </c>
      <c r="H11" s="23" t="s">
        <v>169</v>
      </c>
      <c r="I11" s="23" t="s">
        <v>192</v>
      </c>
      <c r="J11" s="50" t="s">
        <v>2263</v>
      </c>
      <c r="K11" s="10" t="s">
        <v>0</v>
      </c>
      <c r="L11" s="12">
        <v>6220</v>
      </c>
      <c r="M11" s="12">
        <v>225.23</v>
      </c>
      <c r="N11" s="12">
        <v>0</v>
      </c>
      <c r="O11" s="11">
        <f t="shared" si="1"/>
        <v>1400930.5999999999</v>
      </c>
      <c r="P11" s="11">
        <f t="shared" si="2"/>
        <v>1400930.5999999999</v>
      </c>
      <c r="Q11" s="73">
        <f t="shared" si="3"/>
        <v>154102.36599999998</v>
      </c>
      <c r="R11" s="11">
        <f t="shared" si="4"/>
        <v>28018.611999999997</v>
      </c>
      <c r="S11" s="11">
        <v>0</v>
      </c>
      <c r="T11" s="11">
        <f t="shared" si="5"/>
        <v>1527014.3539999998</v>
      </c>
      <c r="U11" s="42"/>
    </row>
    <row r="12" spans="1:21" s="36" customFormat="1" ht="15.45" x14ac:dyDescent="0.35">
      <c r="A12" s="19" t="s">
        <v>166</v>
      </c>
      <c r="B12" s="9">
        <v>45786</v>
      </c>
      <c r="C12" s="14" t="s">
        <v>1787</v>
      </c>
      <c r="D12" s="10"/>
      <c r="E12" s="9"/>
      <c r="F12" s="23" t="s">
        <v>210</v>
      </c>
      <c r="G12" s="23" t="s">
        <v>168</v>
      </c>
      <c r="H12" s="23" t="s">
        <v>169</v>
      </c>
      <c r="I12" s="23" t="s">
        <v>192</v>
      </c>
      <c r="J12" s="50" t="s">
        <v>2264</v>
      </c>
      <c r="K12" s="10" t="s">
        <v>0</v>
      </c>
      <c r="L12" s="12">
        <v>6310</v>
      </c>
      <c r="M12" s="12">
        <v>225.23</v>
      </c>
      <c r="N12" s="12">
        <v>0</v>
      </c>
      <c r="O12" s="11">
        <f t="shared" si="1"/>
        <v>1421201.3</v>
      </c>
      <c r="P12" s="11">
        <f t="shared" si="2"/>
        <v>1421201.3</v>
      </c>
      <c r="Q12" s="73">
        <f t="shared" si="3"/>
        <v>156332.14300000001</v>
      </c>
      <c r="R12" s="11">
        <f t="shared" si="4"/>
        <v>28424.026000000002</v>
      </c>
      <c r="S12" s="11">
        <v>0</v>
      </c>
      <c r="T12" s="11">
        <f t="shared" si="5"/>
        <v>1549109.4169999999</v>
      </c>
      <c r="U12" s="42"/>
    </row>
    <row r="13" spans="1:21" s="36" customFormat="1" ht="15.45" x14ac:dyDescent="0.35">
      <c r="A13" s="19" t="s">
        <v>166</v>
      </c>
      <c r="B13" s="9">
        <v>45786</v>
      </c>
      <c r="C13" s="14" t="s">
        <v>1788</v>
      </c>
      <c r="D13" s="10"/>
      <c r="E13" s="9"/>
      <c r="F13" s="23" t="s">
        <v>210</v>
      </c>
      <c r="G13" s="23" t="s">
        <v>168</v>
      </c>
      <c r="H13" s="23" t="s">
        <v>169</v>
      </c>
      <c r="I13" s="23" t="s">
        <v>192</v>
      </c>
      <c r="J13" s="50" t="s">
        <v>2264</v>
      </c>
      <c r="K13" s="10" t="s">
        <v>0</v>
      </c>
      <c r="L13" s="12">
        <v>5750</v>
      </c>
      <c r="M13" s="12">
        <v>225.23</v>
      </c>
      <c r="N13" s="12">
        <v>0</v>
      </c>
      <c r="O13" s="11">
        <f t="shared" si="1"/>
        <v>1295072.5</v>
      </c>
      <c r="P13" s="11">
        <f t="shared" si="2"/>
        <v>1295072.5</v>
      </c>
      <c r="Q13" s="73">
        <f t="shared" si="3"/>
        <v>142457.97500000001</v>
      </c>
      <c r="R13" s="11">
        <f t="shared" si="4"/>
        <v>25901.45</v>
      </c>
      <c r="S13" s="11">
        <v>0</v>
      </c>
      <c r="T13" s="11">
        <f t="shared" si="5"/>
        <v>1411629.0250000001</v>
      </c>
      <c r="U13" s="42"/>
    </row>
    <row r="14" spans="1:21" s="36" customFormat="1" ht="15.45" x14ac:dyDescent="0.35">
      <c r="A14" s="19" t="s">
        <v>166</v>
      </c>
      <c r="B14" s="9">
        <v>45790</v>
      </c>
      <c r="C14" s="14" t="s">
        <v>1789</v>
      </c>
      <c r="D14" s="10"/>
      <c r="E14" s="9"/>
      <c r="F14" s="23" t="s">
        <v>210</v>
      </c>
      <c r="G14" s="23" t="s">
        <v>168</v>
      </c>
      <c r="H14" s="23" t="s">
        <v>169</v>
      </c>
      <c r="I14" s="23" t="s">
        <v>192</v>
      </c>
      <c r="J14" s="50" t="s">
        <v>2265</v>
      </c>
      <c r="K14" s="10" t="s">
        <v>0</v>
      </c>
      <c r="L14" s="12">
        <v>6790</v>
      </c>
      <c r="M14" s="12">
        <v>225.23</v>
      </c>
      <c r="N14" s="12">
        <v>0</v>
      </c>
      <c r="O14" s="11">
        <f t="shared" si="1"/>
        <v>1529311.7</v>
      </c>
      <c r="P14" s="11">
        <f t="shared" si="2"/>
        <v>1529311.7</v>
      </c>
      <c r="Q14" s="73">
        <f t="shared" si="3"/>
        <v>168224.28699999998</v>
      </c>
      <c r="R14" s="11">
        <f t="shared" si="4"/>
        <v>30586.234</v>
      </c>
      <c r="S14" s="11">
        <v>0</v>
      </c>
      <c r="T14" s="11">
        <f t="shared" si="5"/>
        <v>1666949.753</v>
      </c>
      <c r="U14" s="42"/>
    </row>
    <row r="15" spans="1:21" s="36" customFormat="1" ht="15.45" x14ac:dyDescent="0.35">
      <c r="A15" s="19" t="s">
        <v>166</v>
      </c>
      <c r="B15" s="9">
        <v>45790</v>
      </c>
      <c r="C15" s="14" t="s">
        <v>1790</v>
      </c>
      <c r="D15" s="10"/>
      <c r="E15" s="9"/>
      <c r="F15" s="23" t="s">
        <v>210</v>
      </c>
      <c r="G15" s="23" t="s">
        <v>168</v>
      </c>
      <c r="H15" s="23" t="s">
        <v>169</v>
      </c>
      <c r="I15" s="23" t="s">
        <v>192</v>
      </c>
      <c r="J15" s="50" t="s">
        <v>2265</v>
      </c>
      <c r="K15" s="10" t="s">
        <v>0</v>
      </c>
      <c r="L15" s="12">
        <v>6400</v>
      </c>
      <c r="M15" s="12">
        <v>225.23</v>
      </c>
      <c r="N15" s="12">
        <v>0</v>
      </c>
      <c r="O15" s="11">
        <f t="shared" si="1"/>
        <v>1441472</v>
      </c>
      <c r="P15" s="11">
        <f t="shared" si="2"/>
        <v>1441472</v>
      </c>
      <c r="Q15" s="73">
        <f t="shared" si="3"/>
        <v>158561.92000000001</v>
      </c>
      <c r="R15" s="11">
        <f t="shared" si="4"/>
        <v>28829.440000000002</v>
      </c>
      <c r="S15" s="11">
        <v>0</v>
      </c>
      <c r="T15" s="11">
        <f t="shared" si="5"/>
        <v>1571204.48</v>
      </c>
      <c r="U15" s="42"/>
    </row>
    <row r="16" spans="1:21" s="36" customFormat="1" ht="15.45" x14ac:dyDescent="0.35">
      <c r="A16" s="19" t="s">
        <v>166</v>
      </c>
      <c r="B16" s="9">
        <v>45791</v>
      </c>
      <c r="C16" s="14" t="s">
        <v>1791</v>
      </c>
      <c r="D16" s="10"/>
      <c r="E16" s="9"/>
      <c r="F16" s="23" t="s">
        <v>210</v>
      </c>
      <c r="G16" s="23" t="s">
        <v>168</v>
      </c>
      <c r="H16" s="23" t="s">
        <v>169</v>
      </c>
      <c r="I16" s="23" t="s">
        <v>192</v>
      </c>
      <c r="J16" s="50" t="s">
        <v>2266</v>
      </c>
      <c r="K16" s="10" t="s">
        <v>0</v>
      </c>
      <c r="L16" s="12">
        <v>6380</v>
      </c>
      <c r="M16" s="12">
        <v>225.23</v>
      </c>
      <c r="N16" s="12">
        <v>0</v>
      </c>
      <c r="O16" s="11">
        <f t="shared" si="1"/>
        <v>1436967.4</v>
      </c>
      <c r="P16" s="11">
        <f t="shared" si="2"/>
        <v>1436967.4</v>
      </c>
      <c r="Q16" s="73">
        <f t="shared" si="3"/>
        <v>158066.41399999999</v>
      </c>
      <c r="R16" s="11">
        <f t="shared" si="4"/>
        <v>28739.347999999998</v>
      </c>
      <c r="S16" s="11">
        <v>0</v>
      </c>
      <c r="T16" s="11">
        <f t="shared" si="5"/>
        <v>1566294.4659999998</v>
      </c>
      <c r="U16" s="42"/>
    </row>
    <row r="17" spans="1:23" s="36" customFormat="1" ht="15.45" x14ac:dyDescent="0.35">
      <c r="A17" s="19" t="s">
        <v>166</v>
      </c>
      <c r="B17" s="9">
        <v>45792</v>
      </c>
      <c r="C17" s="14" t="s">
        <v>1946</v>
      </c>
      <c r="D17" s="10"/>
      <c r="E17" s="9"/>
      <c r="F17" s="23" t="s">
        <v>210</v>
      </c>
      <c r="G17" s="23" t="s">
        <v>168</v>
      </c>
      <c r="H17" s="23" t="s">
        <v>169</v>
      </c>
      <c r="I17" s="23" t="s">
        <v>192</v>
      </c>
      <c r="J17" s="50" t="s">
        <v>2267</v>
      </c>
      <c r="K17" s="10" t="s">
        <v>0</v>
      </c>
      <c r="L17" s="12">
        <v>5700</v>
      </c>
      <c r="M17" s="12">
        <v>225.23</v>
      </c>
      <c r="N17" s="12">
        <v>0</v>
      </c>
      <c r="O17" s="11">
        <f t="shared" si="1"/>
        <v>1283811</v>
      </c>
      <c r="P17" s="11">
        <f t="shared" si="2"/>
        <v>1283811</v>
      </c>
      <c r="Q17" s="73">
        <f t="shared" si="3"/>
        <v>141219.21</v>
      </c>
      <c r="R17" s="11">
        <f t="shared" si="4"/>
        <v>25676.22</v>
      </c>
      <c r="S17" s="11">
        <v>0</v>
      </c>
      <c r="T17" s="11">
        <f t="shared" si="5"/>
        <v>1399353.99</v>
      </c>
      <c r="U17" s="42"/>
    </row>
    <row r="18" spans="1:23" s="36" customFormat="1" ht="15.45" x14ac:dyDescent="0.35">
      <c r="A18" s="19" t="s">
        <v>166</v>
      </c>
      <c r="B18" s="9">
        <v>45794</v>
      </c>
      <c r="C18" s="14" t="s">
        <v>1947</v>
      </c>
      <c r="D18" s="10"/>
      <c r="E18" s="9"/>
      <c r="F18" s="23" t="s">
        <v>210</v>
      </c>
      <c r="G18" s="23" t="s">
        <v>168</v>
      </c>
      <c r="H18" s="23" t="s">
        <v>169</v>
      </c>
      <c r="I18" s="23" t="s">
        <v>192</v>
      </c>
      <c r="J18" s="50" t="s">
        <v>2268</v>
      </c>
      <c r="K18" s="10" t="s">
        <v>0</v>
      </c>
      <c r="L18" s="12">
        <v>6450</v>
      </c>
      <c r="M18" s="12">
        <v>225.23</v>
      </c>
      <c r="N18" s="12">
        <v>0</v>
      </c>
      <c r="O18" s="11">
        <f t="shared" si="1"/>
        <v>1452733.5</v>
      </c>
      <c r="P18" s="11">
        <f t="shared" si="2"/>
        <v>1452733.5</v>
      </c>
      <c r="Q18" s="73">
        <f t="shared" si="3"/>
        <v>159800.685</v>
      </c>
      <c r="R18" s="11">
        <f t="shared" si="4"/>
        <v>29054.670000000002</v>
      </c>
      <c r="S18" s="11">
        <v>0</v>
      </c>
      <c r="T18" s="11">
        <f t="shared" si="5"/>
        <v>1583479.5150000001</v>
      </c>
      <c r="U18" s="42"/>
    </row>
    <row r="19" spans="1:23" s="36" customFormat="1" ht="15.45" x14ac:dyDescent="0.35">
      <c r="A19" s="19" t="s">
        <v>166</v>
      </c>
      <c r="B19" s="9">
        <v>45796</v>
      </c>
      <c r="C19" s="14" t="s">
        <v>1948</v>
      </c>
      <c r="D19" s="10"/>
      <c r="E19" s="9"/>
      <c r="F19" s="23" t="s">
        <v>210</v>
      </c>
      <c r="G19" s="23" t="s">
        <v>168</v>
      </c>
      <c r="H19" s="23" t="s">
        <v>169</v>
      </c>
      <c r="I19" s="23" t="s">
        <v>192</v>
      </c>
      <c r="J19" s="50" t="s">
        <v>2269</v>
      </c>
      <c r="K19" s="10" t="s">
        <v>0</v>
      </c>
      <c r="L19" s="12">
        <v>4130</v>
      </c>
      <c r="M19" s="12">
        <v>225.23</v>
      </c>
      <c r="N19" s="12">
        <v>0</v>
      </c>
      <c r="O19" s="11">
        <f t="shared" si="1"/>
        <v>930199.89999999991</v>
      </c>
      <c r="P19" s="11">
        <f t="shared" si="2"/>
        <v>930199.89999999991</v>
      </c>
      <c r="Q19" s="73">
        <f t="shared" si="3"/>
        <v>102321.98899999999</v>
      </c>
      <c r="R19" s="11">
        <f t="shared" si="4"/>
        <v>18603.998</v>
      </c>
      <c r="S19" s="11">
        <v>0</v>
      </c>
      <c r="T19" s="11">
        <f t="shared" si="5"/>
        <v>1013917.8909999998</v>
      </c>
      <c r="U19" s="42"/>
    </row>
    <row r="20" spans="1:23" s="36" customFormat="1" ht="15.45" x14ac:dyDescent="0.35">
      <c r="A20" s="19" t="s">
        <v>166</v>
      </c>
      <c r="B20" s="9">
        <v>45799</v>
      </c>
      <c r="C20" s="14" t="s">
        <v>1949</v>
      </c>
      <c r="D20" s="10"/>
      <c r="E20" s="9"/>
      <c r="F20" s="23" t="s">
        <v>210</v>
      </c>
      <c r="G20" s="23" t="s">
        <v>168</v>
      </c>
      <c r="H20" s="23" t="s">
        <v>169</v>
      </c>
      <c r="I20" s="23" t="s">
        <v>192</v>
      </c>
      <c r="J20" s="50" t="s">
        <v>2270</v>
      </c>
      <c r="K20" s="10" t="s">
        <v>0</v>
      </c>
      <c r="L20" s="12">
        <v>6010</v>
      </c>
      <c r="M20" s="12">
        <v>225.23</v>
      </c>
      <c r="N20" s="12">
        <v>0</v>
      </c>
      <c r="O20" s="11">
        <f t="shared" si="1"/>
        <v>1353632.3</v>
      </c>
      <c r="P20" s="11">
        <f t="shared" si="2"/>
        <v>1353632.3</v>
      </c>
      <c r="Q20" s="73">
        <f t="shared" si="3"/>
        <v>148899.55300000001</v>
      </c>
      <c r="R20" s="11">
        <f t="shared" si="4"/>
        <v>27072.646000000001</v>
      </c>
      <c r="S20" s="11">
        <v>0</v>
      </c>
      <c r="T20" s="11">
        <f t="shared" si="5"/>
        <v>1475459.2070000002</v>
      </c>
      <c r="U20" s="42"/>
    </row>
    <row r="21" spans="1:23" s="36" customFormat="1" ht="15.45" x14ac:dyDescent="0.35">
      <c r="A21" s="19" t="s">
        <v>166</v>
      </c>
      <c r="B21" s="9">
        <v>45800</v>
      </c>
      <c r="C21" s="14" t="s">
        <v>1950</v>
      </c>
      <c r="D21" s="10"/>
      <c r="E21" s="9"/>
      <c r="F21" s="23" t="s">
        <v>210</v>
      </c>
      <c r="G21" s="23" t="s">
        <v>168</v>
      </c>
      <c r="H21" s="23" t="s">
        <v>169</v>
      </c>
      <c r="I21" s="23" t="s">
        <v>192</v>
      </c>
      <c r="J21" s="50" t="s">
        <v>2271</v>
      </c>
      <c r="K21" s="10" t="s">
        <v>0</v>
      </c>
      <c r="L21" s="12">
        <v>6540</v>
      </c>
      <c r="M21" s="12">
        <v>225.23</v>
      </c>
      <c r="N21" s="12">
        <v>0</v>
      </c>
      <c r="O21" s="11">
        <f t="shared" si="1"/>
        <v>1473004.2</v>
      </c>
      <c r="P21" s="11">
        <f t="shared" si="2"/>
        <v>1473004.2</v>
      </c>
      <c r="Q21" s="73">
        <f t="shared" si="3"/>
        <v>162030.462</v>
      </c>
      <c r="R21" s="11">
        <f t="shared" si="4"/>
        <v>29460.083999999999</v>
      </c>
      <c r="S21" s="11">
        <v>0</v>
      </c>
      <c r="T21" s="11">
        <f t="shared" si="5"/>
        <v>1605574.578</v>
      </c>
      <c r="U21" s="42"/>
    </row>
    <row r="22" spans="1:23" s="36" customFormat="1" ht="15.45" x14ac:dyDescent="0.35">
      <c r="A22" s="19" t="s">
        <v>166</v>
      </c>
      <c r="B22" s="9">
        <v>45803</v>
      </c>
      <c r="C22" s="14" t="s">
        <v>2102</v>
      </c>
      <c r="D22" s="10"/>
      <c r="E22" s="9"/>
      <c r="F22" s="23" t="s">
        <v>210</v>
      </c>
      <c r="G22" s="23" t="s">
        <v>168</v>
      </c>
      <c r="H22" s="23" t="s">
        <v>169</v>
      </c>
      <c r="I22" s="23" t="s">
        <v>192</v>
      </c>
      <c r="J22" s="50" t="s">
        <v>2272</v>
      </c>
      <c r="K22" s="10" t="s">
        <v>0</v>
      </c>
      <c r="L22" s="12">
        <v>6260</v>
      </c>
      <c r="M22" s="12">
        <v>225.23</v>
      </c>
      <c r="N22" s="12">
        <v>0</v>
      </c>
      <c r="O22" s="11">
        <f>L22*M22</f>
        <v>1409939.8</v>
      </c>
      <c r="P22" s="11">
        <f>O22</f>
        <v>1409939.8</v>
      </c>
      <c r="Q22" s="73">
        <f>P22*0.11</f>
        <v>155093.378</v>
      </c>
      <c r="R22" s="11">
        <f>P22*2%</f>
        <v>28198.796000000002</v>
      </c>
      <c r="S22" s="11">
        <v>0</v>
      </c>
      <c r="T22" s="11">
        <f>P22+Q22-S22-R22</f>
        <v>1536834.382</v>
      </c>
      <c r="U22" s="42"/>
    </row>
    <row r="23" spans="1:23" s="36" customFormat="1" ht="15.45" x14ac:dyDescent="0.35">
      <c r="A23" s="19" t="s">
        <v>166</v>
      </c>
      <c r="B23" s="9">
        <v>45807</v>
      </c>
      <c r="C23" s="14" t="s">
        <v>2103</v>
      </c>
      <c r="D23" s="10"/>
      <c r="E23" s="9"/>
      <c r="F23" s="23" t="s">
        <v>210</v>
      </c>
      <c r="G23" s="23" t="s">
        <v>168</v>
      </c>
      <c r="H23" s="23" t="s">
        <v>169</v>
      </c>
      <c r="I23" s="23" t="s">
        <v>192</v>
      </c>
      <c r="J23" s="50" t="s">
        <v>2273</v>
      </c>
      <c r="K23" s="10" t="s">
        <v>0</v>
      </c>
      <c r="L23" s="12">
        <v>6410</v>
      </c>
      <c r="M23" s="12">
        <v>225.23</v>
      </c>
      <c r="N23" s="12">
        <v>0</v>
      </c>
      <c r="O23" s="11">
        <f>L23*M23</f>
        <v>1443724.3</v>
      </c>
      <c r="P23" s="11">
        <f>O23</f>
        <v>1443724.3</v>
      </c>
      <c r="Q23" s="73">
        <f>P23*0.11</f>
        <v>158809.67300000001</v>
      </c>
      <c r="R23" s="11">
        <f>P23*2%</f>
        <v>28874.486000000001</v>
      </c>
      <c r="S23" s="11">
        <v>0</v>
      </c>
      <c r="T23" s="11">
        <f>P23+Q23-S23-R23</f>
        <v>1573659.487</v>
      </c>
      <c r="U23" s="42"/>
    </row>
    <row r="24" spans="1:23" s="36" customFormat="1" ht="15.45" x14ac:dyDescent="0.35">
      <c r="A24" s="19" t="s">
        <v>166</v>
      </c>
      <c r="B24" s="9">
        <v>45808</v>
      </c>
      <c r="C24" s="14" t="s">
        <v>2104</v>
      </c>
      <c r="D24" s="10"/>
      <c r="E24" s="9"/>
      <c r="F24" s="23" t="s">
        <v>210</v>
      </c>
      <c r="G24" s="23" t="s">
        <v>168</v>
      </c>
      <c r="H24" s="23" t="s">
        <v>169</v>
      </c>
      <c r="I24" s="23" t="s">
        <v>192</v>
      </c>
      <c r="J24" s="50" t="s">
        <v>2274</v>
      </c>
      <c r="K24" s="10" t="s">
        <v>0</v>
      </c>
      <c r="L24" s="12">
        <v>6620</v>
      </c>
      <c r="M24" s="12">
        <v>225.23</v>
      </c>
      <c r="N24" s="12">
        <v>0</v>
      </c>
      <c r="O24" s="11">
        <f>L24*M24</f>
        <v>1491022.5999999999</v>
      </c>
      <c r="P24" s="11">
        <f>O24</f>
        <v>1491022.5999999999</v>
      </c>
      <c r="Q24" s="73">
        <f>P24*0.11</f>
        <v>164012.48599999998</v>
      </c>
      <c r="R24" s="11">
        <f>P24*2%</f>
        <v>29820.451999999997</v>
      </c>
      <c r="S24" s="11">
        <v>0</v>
      </c>
      <c r="T24" s="11">
        <f>P24+Q24-S24-R24</f>
        <v>1625214.6339999998</v>
      </c>
      <c r="U24" s="42"/>
    </row>
    <row r="25" spans="1:23" s="36" customFormat="1" ht="15.45" x14ac:dyDescent="0.35">
      <c r="A25" s="19" t="s">
        <v>109</v>
      </c>
      <c r="B25" s="9">
        <v>45779</v>
      </c>
      <c r="C25" s="14" t="s">
        <v>1647</v>
      </c>
      <c r="D25" s="10" t="s">
        <v>1648</v>
      </c>
      <c r="E25" s="9">
        <v>45777</v>
      </c>
      <c r="F25" s="10" t="s">
        <v>54</v>
      </c>
      <c r="G25" s="10" t="s">
        <v>49</v>
      </c>
      <c r="H25" s="10" t="s">
        <v>934</v>
      </c>
      <c r="I25" s="10" t="s">
        <v>935</v>
      </c>
      <c r="J25" s="50" t="s">
        <v>1796</v>
      </c>
      <c r="K25" s="10" t="s">
        <v>15</v>
      </c>
      <c r="L25" s="12">
        <v>144</v>
      </c>
      <c r="M25" s="12">
        <v>6454</v>
      </c>
      <c r="N25" s="12">
        <v>0</v>
      </c>
      <c r="O25" s="11">
        <v>929376</v>
      </c>
      <c r="P25" s="11">
        <f t="shared" ref="P25:P56" si="6">O25</f>
        <v>929376</v>
      </c>
      <c r="Q25" s="73">
        <v>102231.36</v>
      </c>
      <c r="R25" s="11"/>
      <c r="S25" s="11">
        <v>0</v>
      </c>
      <c r="T25" s="11">
        <f t="shared" ref="T25:T31" si="7">P25+Q25-S25</f>
        <v>1031607.36</v>
      </c>
      <c r="U25" s="42">
        <v>144</v>
      </c>
    </row>
    <row r="26" spans="1:23" s="36" customFormat="1" ht="15.45" x14ac:dyDescent="0.35">
      <c r="A26" s="19" t="s">
        <v>132</v>
      </c>
      <c r="B26" s="9">
        <v>45779</v>
      </c>
      <c r="C26" s="14" t="s">
        <v>1649</v>
      </c>
      <c r="D26" s="10" t="s">
        <v>1650</v>
      </c>
      <c r="E26" s="9">
        <v>45777</v>
      </c>
      <c r="F26" s="10" t="s">
        <v>129</v>
      </c>
      <c r="G26" s="10" t="s">
        <v>1651</v>
      </c>
      <c r="H26" s="10" t="s">
        <v>24</v>
      </c>
      <c r="I26" s="10" t="s">
        <v>61</v>
      </c>
      <c r="J26" s="10"/>
      <c r="K26" s="10" t="s">
        <v>6</v>
      </c>
      <c r="L26" s="12">
        <v>100</v>
      </c>
      <c r="M26" s="12">
        <v>530</v>
      </c>
      <c r="N26" s="12">
        <v>0</v>
      </c>
      <c r="O26" s="11">
        <v>53000</v>
      </c>
      <c r="P26" s="11">
        <f t="shared" si="6"/>
        <v>53000</v>
      </c>
      <c r="Q26" s="11">
        <v>0</v>
      </c>
      <c r="R26" s="11"/>
      <c r="S26" s="11">
        <v>0</v>
      </c>
      <c r="T26" s="11">
        <f t="shared" si="7"/>
        <v>53000</v>
      </c>
      <c r="U26" s="42">
        <v>100</v>
      </c>
    </row>
    <row r="27" spans="1:23" s="36" customFormat="1" ht="15.45" x14ac:dyDescent="0.35">
      <c r="A27" s="19" t="s">
        <v>132</v>
      </c>
      <c r="B27" s="9">
        <v>45779</v>
      </c>
      <c r="C27" s="14" t="s">
        <v>1649</v>
      </c>
      <c r="D27" s="10" t="s">
        <v>1650</v>
      </c>
      <c r="E27" s="9">
        <v>45777</v>
      </c>
      <c r="F27" s="10" t="s">
        <v>129</v>
      </c>
      <c r="G27" s="10" t="s">
        <v>1652</v>
      </c>
      <c r="H27" s="10" t="s">
        <v>24</v>
      </c>
      <c r="I27" s="10" t="s">
        <v>61</v>
      </c>
      <c r="J27" s="10"/>
      <c r="K27" s="10" t="s">
        <v>6</v>
      </c>
      <c r="L27" s="12">
        <v>500</v>
      </c>
      <c r="M27" s="12">
        <v>190</v>
      </c>
      <c r="N27" s="12">
        <v>0</v>
      </c>
      <c r="O27" s="11">
        <v>95000</v>
      </c>
      <c r="P27" s="11">
        <f t="shared" si="6"/>
        <v>95000</v>
      </c>
      <c r="Q27" s="11">
        <v>0</v>
      </c>
      <c r="R27" s="11"/>
      <c r="S27" s="11">
        <v>0</v>
      </c>
      <c r="T27" s="11">
        <f t="shared" si="7"/>
        <v>95000</v>
      </c>
      <c r="U27" s="42">
        <v>500</v>
      </c>
    </row>
    <row r="28" spans="1:23" s="36" customFormat="1" ht="15.45" x14ac:dyDescent="0.35">
      <c r="A28" s="19" t="s">
        <v>111</v>
      </c>
      <c r="B28" s="9">
        <v>45779</v>
      </c>
      <c r="C28" s="14" t="s">
        <v>1653</v>
      </c>
      <c r="D28" s="10" t="s">
        <v>1654</v>
      </c>
      <c r="E28" s="9">
        <v>45777</v>
      </c>
      <c r="F28" s="10" t="s">
        <v>55</v>
      </c>
      <c r="G28" s="10" t="s">
        <v>1655</v>
      </c>
      <c r="H28" s="10" t="s">
        <v>24</v>
      </c>
      <c r="I28" s="10" t="s">
        <v>61</v>
      </c>
      <c r="J28" s="10"/>
      <c r="K28" s="10" t="s">
        <v>839</v>
      </c>
      <c r="L28" s="12">
        <v>10</v>
      </c>
      <c r="M28" s="12">
        <v>150000</v>
      </c>
      <c r="N28" s="12">
        <v>0</v>
      </c>
      <c r="O28" s="11">
        <v>1500000</v>
      </c>
      <c r="P28" s="11">
        <f t="shared" si="6"/>
        <v>1500000</v>
      </c>
      <c r="Q28" s="11">
        <v>0</v>
      </c>
      <c r="R28" s="11"/>
      <c r="S28" s="11">
        <v>0</v>
      </c>
      <c r="T28" s="11">
        <f t="shared" si="7"/>
        <v>1500000</v>
      </c>
      <c r="U28" s="42">
        <v>10</v>
      </c>
    </row>
    <row r="29" spans="1:23" s="36" customFormat="1" ht="15.45" x14ac:dyDescent="0.35">
      <c r="A29" s="19" t="s">
        <v>111</v>
      </c>
      <c r="B29" s="9">
        <v>45779</v>
      </c>
      <c r="C29" s="14" t="s">
        <v>1653</v>
      </c>
      <c r="D29" s="10" t="s">
        <v>1654</v>
      </c>
      <c r="E29" s="9">
        <v>45777</v>
      </c>
      <c r="F29" s="10" t="s">
        <v>55</v>
      </c>
      <c r="G29" s="10" t="s">
        <v>1656</v>
      </c>
      <c r="H29" s="10" t="s">
        <v>24</v>
      </c>
      <c r="I29" s="10" t="s">
        <v>61</v>
      </c>
      <c r="J29" s="10"/>
      <c r="K29" s="10" t="s">
        <v>5</v>
      </c>
      <c r="L29" s="12">
        <v>5</v>
      </c>
      <c r="M29" s="12">
        <v>200000</v>
      </c>
      <c r="N29" s="12">
        <v>0</v>
      </c>
      <c r="O29" s="11">
        <v>1000000</v>
      </c>
      <c r="P29" s="11">
        <f t="shared" si="6"/>
        <v>1000000</v>
      </c>
      <c r="Q29" s="11">
        <v>0</v>
      </c>
      <c r="R29" s="11"/>
      <c r="S29" s="11">
        <v>0</v>
      </c>
      <c r="T29" s="11">
        <f t="shared" si="7"/>
        <v>1000000</v>
      </c>
      <c r="U29" s="42">
        <v>5</v>
      </c>
    </row>
    <row r="30" spans="1:23" s="64" customFormat="1" ht="15.45" x14ac:dyDescent="0.35">
      <c r="A30" s="19" t="s">
        <v>111</v>
      </c>
      <c r="B30" s="9">
        <v>45779</v>
      </c>
      <c r="C30" s="14" t="s">
        <v>1653</v>
      </c>
      <c r="D30" s="10" t="s">
        <v>1654</v>
      </c>
      <c r="E30" s="9">
        <v>45777</v>
      </c>
      <c r="F30" s="10" t="s">
        <v>55</v>
      </c>
      <c r="G30" s="10" t="s">
        <v>1657</v>
      </c>
      <c r="H30" s="10" t="s">
        <v>24</v>
      </c>
      <c r="I30" s="10" t="s">
        <v>61</v>
      </c>
      <c r="J30" s="10"/>
      <c r="K30" s="10" t="s">
        <v>140</v>
      </c>
      <c r="L30" s="12">
        <v>3</v>
      </c>
      <c r="M30" s="12">
        <v>150000</v>
      </c>
      <c r="N30" s="12">
        <v>0</v>
      </c>
      <c r="O30" s="11">
        <v>450000</v>
      </c>
      <c r="P30" s="11">
        <f t="shared" si="6"/>
        <v>450000</v>
      </c>
      <c r="Q30" s="11">
        <v>0</v>
      </c>
      <c r="R30" s="11"/>
      <c r="S30" s="11">
        <v>0</v>
      </c>
      <c r="T30" s="11">
        <f t="shared" si="7"/>
        <v>450000</v>
      </c>
      <c r="U30" s="42">
        <v>3</v>
      </c>
      <c r="V30" s="36"/>
      <c r="W30" s="36">
        <f>20000*20</f>
        <v>400000</v>
      </c>
    </row>
    <row r="31" spans="1:23" s="36" customFormat="1" ht="15.45" x14ac:dyDescent="0.35">
      <c r="A31" s="19" t="s">
        <v>111</v>
      </c>
      <c r="B31" s="9">
        <v>45779</v>
      </c>
      <c r="C31" s="14" t="s">
        <v>1658</v>
      </c>
      <c r="D31" s="10" t="s">
        <v>1659</v>
      </c>
      <c r="E31" s="9">
        <v>45777</v>
      </c>
      <c r="F31" s="10" t="s">
        <v>55</v>
      </c>
      <c r="G31" s="10" t="s">
        <v>87</v>
      </c>
      <c r="H31" s="10" t="s">
        <v>26</v>
      </c>
      <c r="I31" s="10" t="s">
        <v>80</v>
      </c>
      <c r="J31" s="10"/>
      <c r="K31" s="10" t="s">
        <v>10</v>
      </c>
      <c r="L31" s="12">
        <v>42</v>
      </c>
      <c r="M31" s="12">
        <v>12500</v>
      </c>
      <c r="N31" s="12">
        <v>0</v>
      </c>
      <c r="O31" s="11">
        <v>525000</v>
      </c>
      <c r="P31" s="11">
        <f t="shared" si="6"/>
        <v>525000</v>
      </c>
      <c r="Q31" s="11">
        <v>0</v>
      </c>
      <c r="R31" s="11"/>
      <c r="S31" s="11">
        <v>0</v>
      </c>
      <c r="T31" s="11">
        <f t="shared" si="7"/>
        <v>525000</v>
      </c>
      <c r="U31" s="42">
        <v>42</v>
      </c>
    </row>
    <row r="32" spans="1:23" s="36" customFormat="1" ht="15.45" x14ac:dyDescent="0.35">
      <c r="A32" s="19" t="s">
        <v>110</v>
      </c>
      <c r="B32" s="9">
        <v>45779</v>
      </c>
      <c r="C32" s="14" t="s">
        <v>1660</v>
      </c>
      <c r="D32" s="10" t="s">
        <v>1661</v>
      </c>
      <c r="E32" s="9">
        <v>45773</v>
      </c>
      <c r="F32" s="10" t="s">
        <v>72</v>
      </c>
      <c r="G32" s="10" t="s">
        <v>29</v>
      </c>
      <c r="H32" s="10" t="s">
        <v>23</v>
      </c>
      <c r="I32" s="10" t="s">
        <v>887</v>
      </c>
      <c r="J32" s="50" t="s">
        <v>1803</v>
      </c>
      <c r="K32" s="10" t="s">
        <v>1</v>
      </c>
      <c r="L32" s="12">
        <v>5000</v>
      </c>
      <c r="M32" s="12">
        <v>5500</v>
      </c>
      <c r="N32" s="12">
        <v>0</v>
      </c>
      <c r="O32" s="11">
        <v>27500000</v>
      </c>
      <c r="P32" s="11">
        <f t="shared" si="6"/>
        <v>27500000</v>
      </c>
      <c r="Q32" s="73">
        <v>3025000</v>
      </c>
      <c r="R32" s="11"/>
      <c r="S32" s="11">
        <v>0</v>
      </c>
      <c r="T32" s="11">
        <f t="shared" ref="T32:T39" si="8">P32+Q32-S32</f>
        <v>30525000</v>
      </c>
      <c r="U32" s="42">
        <v>5000</v>
      </c>
    </row>
    <row r="33" spans="1:23" s="36" customFormat="1" ht="15.45" x14ac:dyDescent="0.35">
      <c r="A33" s="19" t="s">
        <v>225</v>
      </c>
      <c r="B33" s="9">
        <v>45779</v>
      </c>
      <c r="C33" s="14" t="s">
        <v>1662</v>
      </c>
      <c r="D33" s="10" t="s">
        <v>1663</v>
      </c>
      <c r="E33" s="9">
        <v>45773</v>
      </c>
      <c r="F33" s="10" t="s">
        <v>221</v>
      </c>
      <c r="G33" s="10" t="s">
        <v>222</v>
      </c>
      <c r="H33" s="10" t="s">
        <v>23</v>
      </c>
      <c r="I33" s="10" t="s">
        <v>885</v>
      </c>
      <c r="J33" s="50" t="s">
        <v>1799</v>
      </c>
      <c r="K33" s="10" t="s">
        <v>1</v>
      </c>
      <c r="L33" s="12">
        <v>200</v>
      </c>
      <c r="M33" s="12">
        <v>9419.2000000000007</v>
      </c>
      <c r="N33" s="12">
        <v>16820</v>
      </c>
      <c r="O33" s="11">
        <v>1883840</v>
      </c>
      <c r="P33" s="11">
        <f t="shared" si="6"/>
        <v>1883840</v>
      </c>
      <c r="Q33" s="73">
        <v>207222.39999999999</v>
      </c>
      <c r="R33" s="11"/>
      <c r="S33" s="11">
        <v>0</v>
      </c>
      <c r="T33" s="11">
        <f t="shared" si="8"/>
        <v>2091062.4</v>
      </c>
      <c r="U33" s="42">
        <v>200</v>
      </c>
    </row>
    <row r="34" spans="1:23" s="36" customFormat="1" ht="15.45" x14ac:dyDescent="0.35">
      <c r="A34" s="20" t="s">
        <v>149</v>
      </c>
      <c r="B34" s="9">
        <v>45779</v>
      </c>
      <c r="C34" s="14" t="s">
        <v>1664</v>
      </c>
      <c r="D34" s="10" t="s">
        <v>1665</v>
      </c>
      <c r="E34" s="9">
        <v>45775</v>
      </c>
      <c r="F34" s="10" t="s">
        <v>143</v>
      </c>
      <c r="G34" s="10" t="s">
        <v>211</v>
      </c>
      <c r="H34" s="10" t="s">
        <v>24</v>
      </c>
      <c r="I34" s="10" t="s">
        <v>61</v>
      </c>
      <c r="J34" s="50" t="s">
        <v>1801</v>
      </c>
      <c r="K34" s="10" t="s">
        <v>10</v>
      </c>
      <c r="L34" s="12">
        <v>10</v>
      </c>
      <c r="M34" s="12">
        <v>92000</v>
      </c>
      <c r="N34" s="12">
        <v>0</v>
      </c>
      <c r="O34" s="11">
        <v>920000</v>
      </c>
      <c r="P34" s="11">
        <f t="shared" si="6"/>
        <v>920000</v>
      </c>
      <c r="Q34" s="73">
        <v>101200</v>
      </c>
      <c r="R34" s="11"/>
      <c r="S34" s="11">
        <v>0</v>
      </c>
      <c r="T34" s="11">
        <f t="shared" si="8"/>
        <v>1021200</v>
      </c>
      <c r="U34" s="42">
        <v>10</v>
      </c>
    </row>
    <row r="35" spans="1:23" s="36" customFormat="1" ht="15.45" x14ac:dyDescent="0.35">
      <c r="A35" s="19" t="s">
        <v>148</v>
      </c>
      <c r="B35" s="9">
        <v>45779</v>
      </c>
      <c r="C35" s="14" t="s">
        <v>1666</v>
      </c>
      <c r="D35" s="10" t="s">
        <v>1667</v>
      </c>
      <c r="E35" s="9">
        <v>45777</v>
      </c>
      <c r="F35" s="10" t="s">
        <v>141</v>
      </c>
      <c r="G35" s="10" t="s">
        <v>142</v>
      </c>
      <c r="H35" s="10" t="s">
        <v>23</v>
      </c>
      <c r="I35" s="10" t="s">
        <v>887</v>
      </c>
      <c r="J35" s="50" t="s">
        <v>2109</v>
      </c>
      <c r="K35" s="10" t="s">
        <v>1</v>
      </c>
      <c r="L35" s="12">
        <v>250</v>
      </c>
      <c r="M35" s="12">
        <v>14750</v>
      </c>
      <c r="N35" s="12">
        <v>0</v>
      </c>
      <c r="O35" s="11">
        <v>3687500</v>
      </c>
      <c r="P35" s="11">
        <f t="shared" si="6"/>
        <v>3687500</v>
      </c>
      <c r="Q35" s="73">
        <v>405625</v>
      </c>
      <c r="R35" s="11"/>
      <c r="S35" s="11">
        <v>0</v>
      </c>
      <c r="T35" s="11">
        <f t="shared" si="8"/>
        <v>4093125</v>
      </c>
      <c r="U35" s="42">
        <v>250</v>
      </c>
    </row>
    <row r="36" spans="1:23" s="36" customFormat="1" ht="15.45" x14ac:dyDescent="0.35">
      <c r="A36" s="19" t="s">
        <v>99</v>
      </c>
      <c r="B36" s="9">
        <v>45779</v>
      </c>
      <c r="C36" s="14" t="s">
        <v>1668</v>
      </c>
      <c r="D36" s="10" t="s">
        <v>1669</v>
      </c>
      <c r="E36" s="9">
        <v>45777</v>
      </c>
      <c r="F36" s="10" t="s">
        <v>64</v>
      </c>
      <c r="G36" s="10" t="s">
        <v>126</v>
      </c>
      <c r="H36" s="10" t="s">
        <v>23</v>
      </c>
      <c r="I36" s="10" t="s">
        <v>887</v>
      </c>
      <c r="J36" s="50" t="s">
        <v>1962</v>
      </c>
      <c r="K36" s="10" t="s">
        <v>0</v>
      </c>
      <c r="L36" s="12">
        <v>300</v>
      </c>
      <c r="M36" s="12">
        <v>13180</v>
      </c>
      <c r="N36" s="12">
        <v>0</v>
      </c>
      <c r="O36" s="11">
        <v>3954000</v>
      </c>
      <c r="P36" s="11">
        <f t="shared" si="6"/>
        <v>3954000</v>
      </c>
      <c r="Q36" s="73">
        <v>434940</v>
      </c>
      <c r="R36" s="11"/>
      <c r="S36" s="11">
        <v>0</v>
      </c>
      <c r="T36" s="11">
        <f t="shared" si="8"/>
        <v>4388940</v>
      </c>
      <c r="U36" s="42">
        <v>300</v>
      </c>
    </row>
    <row r="37" spans="1:23" s="36" customFormat="1" ht="15.45" x14ac:dyDescent="0.35">
      <c r="A37" s="19" t="s">
        <v>105</v>
      </c>
      <c r="B37" s="9">
        <v>45779</v>
      </c>
      <c r="C37" s="14" t="s">
        <v>1670</v>
      </c>
      <c r="D37" s="10" t="s">
        <v>1429</v>
      </c>
      <c r="E37" s="9">
        <v>45764</v>
      </c>
      <c r="F37" s="10" t="s">
        <v>85</v>
      </c>
      <c r="G37" s="10" t="s">
        <v>725</v>
      </c>
      <c r="H37" s="10" t="s">
        <v>23</v>
      </c>
      <c r="I37" s="10" t="s">
        <v>886</v>
      </c>
      <c r="J37" s="50" t="s">
        <v>1845</v>
      </c>
      <c r="K37" s="10" t="s">
        <v>1</v>
      </c>
      <c r="L37" s="12">
        <v>575</v>
      </c>
      <c r="M37" s="12">
        <v>62981.25</v>
      </c>
      <c r="N37" s="12">
        <v>16795</v>
      </c>
      <c r="O37" s="11">
        <f>L37*M37</f>
        <v>36214218.75</v>
      </c>
      <c r="P37" s="11">
        <f t="shared" si="6"/>
        <v>36214218.75</v>
      </c>
      <c r="Q37" s="73">
        <f>P37*0.11</f>
        <v>3983564.0625</v>
      </c>
      <c r="R37" s="11"/>
      <c r="S37" s="11">
        <v>0</v>
      </c>
      <c r="T37" s="11">
        <f t="shared" si="8"/>
        <v>40197782.8125</v>
      </c>
      <c r="U37" s="63"/>
      <c r="V37" s="64"/>
      <c r="W37" s="64"/>
    </row>
    <row r="38" spans="1:23" s="36" customFormat="1" ht="15.45" x14ac:dyDescent="0.35">
      <c r="A38" s="19" t="s">
        <v>105</v>
      </c>
      <c r="B38" s="9">
        <v>45779</v>
      </c>
      <c r="C38" s="14" t="s">
        <v>1671</v>
      </c>
      <c r="D38" s="10" t="s">
        <v>1009</v>
      </c>
      <c r="E38" s="9">
        <v>45716</v>
      </c>
      <c r="F38" s="10" t="s">
        <v>85</v>
      </c>
      <c r="G38" s="10" t="s">
        <v>67</v>
      </c>
      <c r="H38" s="10" t="s">
        <v>23</v>
      </c>
      <c r="I38" s="10" t="s">
        <v>886</v>
      </c>
      <c r="J38" s="50" t="s">
        <v>1844</v>
      </c>
      <c r="K38" s="10" t="s">
        <v>1</v>
      </c>
      <c r="L38" s="12">
        <v>400</v>
      </c>
      <c r="M38" s="12">
        <v>52944</v>
      </c>
      <c r="N38" s="12">
        <v>16545</v>
      </c>
      <c r="O38" s="11">
        <v>21177600</v>
      </c>
      <c r="P38" s="11">
        <f t="shared" si="6"/>
        <v>21177600</v>
      </c>
      <c r="Q38" s="73">
        <v>2329536</v>
      </c>
      <c r="R38" s="11"/>
      <c r="S38" s="11">
        <v>0</v>
      </c>
      <c r="T38" s="11">
        <f t="shared" si="8"/>
        <v>23507136</v>
      </c>
      <c r="U38" s="42">
        <v>400</v>
      </c>
    </row>
    <row r="39" spans="1:23" s="36" customFormat="1" ht="15.45" x14ac:dyDescent="0.35">
      <c r="A39" s="19" t="s">
        <v>114</v>
      </c>
      <c r="B39" s="9">
        <v>45779</v>
      </c>
      <c r="C39" s="14" t="s">
        <v>1672</v>
      </c>
      <c r="D39" s="10" t="s">
        <v>1673</v>
      </c>
      <c r="E39" s="9">
        <v>45769</v>
      </c>
      <c r="F39" s="10" t="s">
        <v>71</v>
      </c>
      <c r="G39" s="10" t="s">
        <v>76</v>
      </c>
      <c r="H39" s="10" t="s">
        <v>23</v>
      </c>
      <c r="I39" s="10" t="s">
        <v>978</v>
      </c>
      <c r="J39" s="50" t="s">
        <v>2247</v>
      </c>
      <c r="K39" s="10" t="s">
        <v>1</v>
      </c>
      <c r="L39" s="12">
        <v>1000</v>
      </c>
      <c r="M39" s="12">
        <v>31150.3</v>
      </c>
      <c r="N39" s="12">
        <v>16838</v>
      </c>
      <c r="O39" s="11">
        <v>31150300</v>
      </c>
      <c r="P39" s="11">
        <f t="shared" si="6"/>
        <v>31150300</v>
      </c>
      <c r="Q39" s="73">
        <v>3426533</v>
      </c>
      <c r="R39" s="11"/>
      <c r="S39" s="11">
        <v>0</v>
      </c>
      <c r="T39" s="11">
        <f t="shared" si="8"/>
        <v>34576833</v>
      </c>
      <c r="U39" s="42">
        <v>1000</v>
      </c>
    </row>
    <row r="40" spans="1:23" s="36" customFormat="1" ht="15.45" x14ac:dyDescent="0.35">
      <c r="A40" s="19" t="s">
        <v>98</v>
      </c>
      <c r="B40" s="9">
        <v>45778</v>
      </c>
      <c r="C40" s="14" t="s">
        <v>1644</v>
      </c>
      <c r="D40" s="10" t="s">
        <v>1542</v>
      </c>
      <c r="E40" s="9">
        <v>45771</v>
      </c>
      <c r="F40" s="10" t="s">
        <v>84</v>
      </c>
      <c r="G40" s="10" t="s">
        <v>89</v>
      </c>
      <c r="H40" s="10" t="s">
        <v>25</v>
      </c>
      <c r="I40" s="10" t="s">
        <v>79</v>
      </c>
      <c r="J40" s="50" t="s">
        <v>2046</v>
      </c>
      <c r="K40" s="10" t="s">
        <v>1</v>
      </c>
      <c r="L40" s="12">
        <v>35820</v>
      </c>
      <c r="M40" s="12">
        <v>1535</v>
      </c>
      <c r="N40" s="12">
        <v>0</v>
      </c>
      <c r="O40" s="11">
        <v>54983700</v>
      </c>
      <c r="P40" s="11">
        <f t="shared" si="6"/>
        <v>54983700</v>
      </c>
      <c r="Q40" s="73">
        <v>6048207</v>
      </c>
      <c r="R40" s="11">
        <f>P40*1.5%</f>
        <v>824755.5</v>
      </c>
      <c r="S40" s="11">
        <v>0</v>
      </c>
      <c r="T40" s="11">
        <f>P40+Q40-S40-R40</f>
        <v>60207151.5</v>
      </c>
      <c r="U40" s="42">
        <v>35820</v>
      </c>
    </row>
    <row r="41" spans="1:23" s="36" customFormat="1" ht="15.45" x14ac:dyDescent="0.35">
      <c r="A41" s="19" t="s">
        <v>98</v>
      </c>
      <c r="B41" s="9">
        <v>45778</v>
      </c>
      <c r="C41" s="14" t="s">
        <v>1645</v>
      </c>
      <c r="D41" s="10" t="s">
        <v>1646</v>
      </c>
      <c r="E41" s="9">
        <v>45778</v>
      </c>
      <c r="F41" s="10" t="s">
        <v>84</v>
      </c>
      <c r="G41" s="10" t="s">
        <v>175</v>
      </c>
      <c r="H41" s="10" t="s">
        <v>25</v>
      </c>
      <c r="I41" s="10" t="s">
        <v>79</v>
      </c>
      <c r="J41" s="50" t="s">
        <v>2045</v>
      </c>
      <c r="K41" s="10" t="s">
        <v>1</v>
      </c>
      <c r="L41" s="12">
        <v>34040</v>
      </c>
      <c r="M41" s="12">
        <v>1250</v>
      </c>
      <c r="N41" s="12">
        <v>0</v>
      </c>
      <c r="O41" s="11">
        <v>42550000</v>
      </c>
      <c r="P41" s="11">
        <f t="shared" si="6"/>
        <v>42550000</v>
      </c>
      <c r="Q41" s="73">
        <v>4680500</v>
      </c>
      <c r="R41" s="11">
        <f>P41*1.5%</f>
        <v>638250</v>
      </c>
      <c r="S41" s="11">
        <v>0</v>
      </c>
      <c r="T41" s="11">
        <f>P41+Q41-S41-R41</f>
        <v>46592250</v>
      </c>
      <c r="U41" s="42">
        <v>34040</v>
      </c>
    </row>
    <row r="42" spans="1:23" s="36" customFormat="1" ht="15.45" x14ac:dyDescent="0.35">
      <c r="A42" s="19" t="s">
        <v>1028</v>
      </c>
      <c r="B42" s="9">
        <v>45779</v>
      </c>
      <c r="C42" s="14" t="s">
        <v>1674</v>
      </c>
      <c r="D42" s="10" t="s">
        <v>1675</v>
      </c>
      <c r="E42" s="9">
        <v>45777</v>
      </c>
      <c r="F42" s="10" t="s">
        <v>932</v>
      </c>
      <c r="G42" s="10" t="s">
        <v>1676</v>
      </c>
      <c r="H42" s="10" t="s">
        <v>934</v>
      </c>
      <c r="I42" s="10" t="s">
        <v>935</v>
      </c>
      <c r="J42" s="50" t="s">
        <v>2101</v>
      </c>
      <c r="K42" s="10" t="s">
        <v>6</v>
      </c>
      <c r="L42" s="12">
        <v>1</v>
      </c>
      <c r="M42" s="12">
        <v>810812</v>
      </c>
      <c r="N42" s="12">
        <v>0</v>
      </c>
      <c r="O42" s="11">
        <v>810812</v>
      </c>
      <c r="P42" s="11">
        <f t="shared" si="6"/>
        <v>810812</v>
      </c>
      <c r="Q42" s="73">
        <v>89189.32</v>
      </c>
      <c r="R42" s="11"/>
      <c r="S42" s="11">
        <v>0</v>
      </c>
      <c r="T42" s="11">
        <f>P42+Q42-S42</f>
        <v>900001.32000000007</v>
      </c>
      <c r="U42" s="42">
        <v>1</v>
      </c>
    </row>
    <row r="43" spans="1:23" s="36" customFormat="1" ht="15.45" x14ac:dyDescent="0.35">
      <c r="A43" s="19" t="s">
        <v>97</v>
      </c>
      <c r="B43" s="9">
        <v>45779</v>
      </c>
      <c r="C43" s="14" t="s">
        <v>1677</v>
      </c>
      <c r="D43" s="10" t="s">
        <v>1678</v>
      </c>
      <c r="E43" s="9">
        <v>45777</v>
      </c>
      <c r="F43" s="10" t="s">
        <v>63</v>
      </c>
      <c r="G43" s="10" t="s">
        <v>136</v>
      </c>
      <c r="H43" s="10" t="s">
        <v>24</v>
      </c>
      <c r="I43" s="10" t="s">
        <v>888</v>
      </c>
      <c r="J43" s="50" t="s">
        <v>1839</v>
      </c>
      <c r="K43" s="10" t="s">
        <v>5</v>
      </c>
      <c r="L43" s="12">
        <v>511</v>
      </c>
      <c r="M43" s="12">
        <v>39500</v>
      </c>
      <c r="N43" s="12">
        <v>0</v>
      </c>
      <c r="O43" s="11">
        <v>20184500</v>
      </c>
      <c r="P43" s="11">
        <f t="shared" si="6"/>
        <v>20184500</v>
      </c>
      <c r="Q43" s="73">
        <v>2220295</v>
      </c>
      <c r="R43" s="11"/>
      <c r="S43" s="11">
        <v>0</v>
      </c>
      <c r="T43" s="11">
        <f>P43+Q43-S43</f>
        <v>22404795</v>
      </c>
      <c r="U43" s="42">
        <v>511</v>
      </c>
    </row>
    <row r="44" spans="1:23" s="36" customFormat="1" ht="15.45" x14ac:dyDescent="0.35">
      <c r="A44" s="19" t="s">
        <v>115</v>
      </c>
      <c r="B44" s="9">
        <v>45781</v>
      </c>
      <c r="C44" s="14" t="s">
        <v>1679</v>
      </c>
      <c r="D44" s="10" t="s">
        <v>1680</v>
      </c>
      <c r="E44" s="9">
        <v>45780</v>
      </c>
      <c r="F44" s="10" t="s">
        <v>81</v>
      </c>
      <c r="G44" s="10" t="s">
        <v>89</v>
      </c>
      <c r="H44" s="10" t="s">
        <v>25</v>
      </c>
      <c r="I44" s="10" t="s">
        <v>79</v>
      </c>
      <c r="J44" s="50" t="s">
        <v>2119</v>
      </c>
      <c r="K44" s="10" t="s">
        <v>1</v>
      </c>
      <c r="L44" s="12">
        <v>31660</v>
      </c>
      <c r="M44" s="12">
        <v>1565</v>
      </c>
      <c r="N44" s="12">
        <v>0</v>
      </c>
      <c r="O44" s="11">
        <v>49547900</v>
      </c>
      <c r="P44" s="11">
        <f t="shared" si="6"/>
        <v>49547900</v>
      </c>
      <c r="Q44" s="73">
        <v>5450269</v>
      </c>
      <c r="R44" s="11">
        <f>P44*1.5%</f>
        <v>743218.5</v>
      </c>
      <c r="S44" s="11">
        <v>0</v>
      </c>
      <c r="T44" s="11">
        <f>P44+Q44-S44-R44</f>
        <v>54254950.5</v>
      </c>
      <c r="U44" s="42">
        <v>31660</v>
      </c>
    </row>
    <row r="45" spans="1:23" s="36" customFormat="1" ht="15.45" x14ac:dyDescent="0.35">
      <c r="A45" s="20" t="s">
        <v>593</v>
      </c>
      <c r="B45" s="9">
        <v>45782</v>
      </c>
      <c r="C45" s="14" t="s">
        <v>1681</v>
      </c>
      <c r="D45" s="10" t="s">
        <v>1682</v>
      </c>
      <c r="E45" s="9">
        <v>45773</v>
      </c>
      <c r="F45" s="10" t="s">
        <v>566</v>
      </c>
      <c r="G45" s="10" t="s">
        <v>1683</v>
      </c>
      <c r="H45" s="10" t="s">
        <v>23</v>
      </c>
      <c r="I45" s="10" t="s">
        <v>886</v>
      </c>
      <c r="J45" s="50" t="s">
        <v>2117</v>
      </c>
      <c r="K45" s="10" t="s">
        <v>1</v>
      </c>
      <c r="L45" s="12">
        <v>50</v>
      </c>
      <c r="M45" s="12">
        <v>227070</v>
      </c>
      <c r="N45" s="12">
        <v>16820</v>
      </c>
      <c r="O45" s="11">
        <v>11353500</v>
      </c>
      <c r="P45" s="11">
        <f t="shared" si="6"/>
        <v>11353500</v>
      </c>
      <c r="Q45" s="73">
        <v>1248885</v>
      </c>
      <c r="R45" s="11"/>
      <c r="S45" s="11">
        <v>0</v>
      </c>
      <c r="T45" s="11">
        <f t="shared" ref="T45:T50" si="9">P45+Q45-S45</f>
        <v>12602385</v>
      </c>
      <c r="U45" s="42">
        <v>50</v>
      </c>
    </row>
    <row r="46" spans="1:23" s="36" customFormat="1" ht="15.45" x14ac:dyDescent="0.35">
      <c r="A46" s="19" t="s">
        <v>101</v>
      </c>
      <c r="B46" s="9">
        <v>45782</v>
      </c>
      <c r="C46" s="14" t="s">
        <v>1684</v>
      </c>
      <c r="D46" s="10" t="s">
        <v>1685</v>
      </c>
      <c r="E46" s="9">
        <v>45777</v>
      </c>
      <c r="F46" s="10" t="s">
        <v>57</v>
      </c>
      <c r="G46" s="10" t="s">
        <v>78</v>
      </c>
      <c r="H46" s="10" t="s">
        <v>23</v>
      </c>
      <c r="I46" s="10" t="s">
        <v>888</v>
      </c>
      <c r="J46" s="10"/>
      <c r="K46" s="10" t="s">
        <v>1</v>
      </c>
      <c r="L46" s="12">
        <v>300</v>
      </c>
      <c r="M46" s="12">
        <v>64000</v>
      </c>
      <c r="N46" s="12">
        <v>0</v>
      </c>
      <c r="O46" s="11">
        <v>19200000</v>
      </c>
      <c r="P46" s="11">
        <f t="shared" si="6"/>
        <v>19200000</v>
      </c>
      <c r="Q46" s="11"/>
      <c r="R46" s="11"/>
      <c r="S46" s="11">
        <v>0</v>
      </c>
      <c r="T46" s="11">
        <f t="shared" si="9"/>
        <v>19200000</v>
      </c>
      <c r="U46" s="42">
        <v>300</v>
      </c>
    </row>
    <row r="47" spans="1:23" s="36" customFormat="1" ht="15.45" x14ac:dyDescent="0.35">
      <c r="A47" s="19" t="s">
        <v>149</v>
      </c>
      <c r="B47" s="9">
        <v>45782</v>
      </c>
      <c r="C47" s="14" t="s">
        <v>1686</v>
      </c>
      <c r="D47" s="10" t="s">
        <v>1687</v>
      </c>
      <c r="E47" s="9">
        <v>45777</v>
      </c>
      <c r="F47" s="10" t="s">
        <v>143</v>
      </c>
      <c r="G47" s="10" t="s">
        <v>1688</v>
      </c>
      <c r="H47" s="10" t="s">
        <v>24</v>
      </c>
      <c r="I47" s="10" t="s">
        <v>61</v>
      </c>
      <c r="J47" s="50" t="s">
        <v>1802</v>
      </c>
      <c r="K47" s="10" t="s">
        <v>10</v>
      </c>
      <c r="L47" s="12">
        <v>5</v>
      </c>
      <c r="M47" s="12">
        <v>54000</v>
      </c>
      <c r="N47" s="12">
        <v>0</v>
      </c>
      <c r="O47" s="11">
        <v>270000</v>
      </c>
      <c r="P47" s="11">
        <f t="shared" si="6"/>
        <v>270000</v>
      </c>
      <c r="Q47" s="73">
        <v>29700</v>
      </c>
      <c r="R47" s="11"/>
      <c r="S47" s="11">
        <v>0</v>
      </c>
      <c r="T47" s="11">
        <f t="shared" si="9"/>
        <v>299700</v>
      </c>
      <c r="U47" s="42">
        <v>5</v>
      </c>
    </row>
    <row r="48" spans="1:23" s="36" customFormat="1" ht="15.45" x14ac:dyDescent="0.35">
      <c r="A48" s="19" t="s">
        <v>149</v>
      </c>
      <c r="B48" s="9">
        <v>45782</v>
      </c>
      <c r="C48" s="14" t="s">
        <v>1686</v>
      </c>
      <c r="D48" s="10" t="s">
        <v>1687</v>
      </c>
      <c r="E48" s="9">
        <v>45777</v>
      </c>
      <c r="F48" s="10" t="s">
        <v>143</v>
      </c>
      <c r="G48" s="10" t="s">
        <v>1689</v>
      </c>
      <c r="H48" s="10" t="s">
        <v>24</v>
      </c>
      <c r="I48" s="10" t="s">
        <v>61</v>
      </c>
      <c r="J48" s="50" t="s">
        <v>1802</v>
      </c>
      <c r="K48" s="10" t="s">
        <v>6</v>
      </c>
      <c r="L48" s="12">
        <v>5</v>
      </c>
      <c r="M48" s="12">
        <v>48000</v>
      </c>
      <c r="N48" s="12">
        <v>0</v>
      </c>
      <c r="O48" s="11">
        <v>240000</v>
      </c>
      <c r="P48" s="11">
        <f t="shared" si="6"/>
        <v>240000</v>
      </c>
      <c r="Q48" s="73">
        <v>26400</v>
      </c>
      <c r="R48" s="11"/>
      <c r="S48" s="11">
        <v>0</v>
      </c>
      <c r="T48" s="11">
        <f t="shared" si="9"/>
        <v>266400</v>
      </c>
      <c r="U48" s="42">
        <v>5</v>
      </c>
    </row>
    <row r="49" spans="1:21" s="36" customFormat="1" ht="15.45" x14ac:dyDescent="0.35">
      <c r="A49" s="19" t="s">
        <v>108</v>
      </c>
      <c r="B49" s="9">
        <v>45782</v>
      </c>
      <c r="C49" s="14" t="s">
        <v>1690</v>
      </c>
      <c r="D49" s="10" t="s">
        <v>1691</v>
      </c>
      <c r="E49" s="9">
        <v>45777</v>
      </c>
      <c r="F49" s="10" t="s">
        <v>51</v>
      </c>
      <c r="G49" s="10" t="s">
        <v>1692</v>
      </c>
      <c r="H49" s="10" t="s">
        <v>24</v>
      </c>
      <c r="I49" s="10" t="s">
        <v>61</v>
      </c>
      <c r="J49" s="50" t="s">
        <v>1800</v>
      </c>
      <c r="K49" s="10" t="s">
        <v>6</v>
      </c>
      <c r="L49" s="12">
        <v>2</v>
      </c>
      <c r="M49" s="12">
        <v>170000</v>
      </c>
      <c r="N49" s="12">
        <v>0</v>
      </c>
      <c r="O49" s="11">
        <v>340000</v>
      </c>
      <c r="P49" s="11">
        <f t="shared" si="6"/>
        <v>340000</v>
      </c>
      <c r="Q49" s="73">
        <v>37400</v>
      </c>
      <c r="R49" s="11"/>
      <c r="S49" s="11">
        <v>0</v>
      </c>
      <c r="T49" s="11">
        <f t="shared" si="9"/>
        <v>377400</v>
      </c>
      <c r="U49" s="42">
        <v>2</v>
      </c>
    </row>
    <row r="50" spans="1:21" s="36" customFormat="1" ht="15.45" x14ac:dyDescent="0.35">
      <c r="A50" s="19" t="s">
        <v>108</v>
      </c>
      <c r="B50" s="9">
        <v>45782</v>
      </c>
      <c r="C50" s="14" t="s">
        <v>1690</v>
      </c>
      <c r="D50" s="10" t="s">
        <v>1691</v>
      </c>
      <c r="E50" s="9">
        <v>45777</v>
      </c>
      <c r="F50" s="10" t="s">
        <v>51</v>
      </c>
      <c r="G50" s="10" t="s">
        <v>1693</v>
      </c>
      <c r="H50" s="10" t="s">
        <v>24</v>
      </c>
      <c r="I50" s="10" t="s">
        <v>61</v>
      </c>
      <c r="J50" s="50" t="s">
        <v>1800</v>
      </c>
      <c r="K50" s="10" t="s">
        <v>6</v>
      </c>
      <c r="L50" s="12">
        <v>20</v>
      </c>
      <c r="M50" s="12">
        <v>50000</v>
      </c>
      <c r="N50" s="12">
        <v>0</v>
      </c>
      <c r="O50" s="11">
        <v>1000000</v>
      </c>
      <c r="P50" s="11">
        <f t="shared" si="6"/>
        <v>1000000</v>
      </c>
      <c r="Q50" s="73">
        <v>110000</v>
      </c>
      <c r="R50" s="11"/>
      <c r="S50" s="11">
        <v>0</v>
      </c>
      <c r="T50" s="11">
        <f t="shared" si="9"/>
        <v>1110000</v>
      </c>
      <c r="U50" s="42">
        <v>20</v>
      </c>
    </row>
    <row r="51" spans="1:21" s="36" customFormat="1" ht="15.45" x14ac:dyDescent="0.35">
      <c r="A51" s="19" t="s">
        <v>98</v>
      </c>
      <c r="B51" s="9">
        <v>45782</v>
      </c>
      <c r="C51" s="14" t="s">
        <v>1694</v>
      </c>
      <c r="D51" s="10" t="s">
        <v>1646</v>
      </c>
      <c r="E51" s="9">
        <v>45778</v>
      </c>
      <c r="F51" s="10" t="s">
        <v>84</v>
      </c>
      <c r="G51" s="10" t="s">
        <v>175</v>
      </c>
      <c r="H51" s="10" t="s">
        <v>25</v>
      </c>
      <c r="I51" s="10" t="s">
        <v>79</v>
      </c>
      <c r="J51" s="50" t="s">
        <v>2045</v>
      </c>
      <c r="K51" s="10" t="s">
        <v>1</v>
      </c>
      <c r="L51" s="12">
        <v>31780</v>
      </c>
      <c r="M51" s="12">
        <v>1250</v>
      </c>
      <c r="N51" s="12">
        <v>0</v>
      </c>
      <c r="O51" s="11">
        <v>39725000</v>
      </c>
      <c r="P51" s="11">
        <f t="shared" si="6"/>
        <v>39725000</v>
      </c>
      <c r="Q51" s="73">
        <v>4369750</v>
      </c>
      <c r="R51" s="11">
        <f>P51*1.5%</f>
        <v>595875</v>
      </c>
      <c r="S51" s="11">
        <v>0</v>
      </c>
      <c r="T51" s="11">
        <f>P51+Q51-S51-R51</f>
        <v>43498875</v>
      </c>
      <c r="U51" s="42">
        <v>31780</v>
      </c>
    </row>
    <row r="52" spans="1:21" s="36" customFormat="1" ht="15.45" x14ac:dyDescent="0.35">
      <c r="A52" s="19" t="s">
        <v>98</v>
      </c>
      <c r="B52" s="9">
        <v>45782</v>
      </c>
      <c r="C52" s="14" t="s">
        <v>1695</v>
      </c>
      <c r="D52" s="10" t="s">
        <v>1696</v>
      </c>
      <c r="E52" s="9">
        <v>45782</v>
      </c>
      <c r="F52" s="10" t="s">
        <v>84</v>
      </c>
      <c r="G52" s="10" t="s">
        <v>89</v>
      </c>
      <c r="H52" s="10" t="s">
        <v>25</v>
      </c>
      <c r="I52" s="10" t="s">
        <v>79</v>
      </c>
      <c r="J52" s="50" t="s">
        <v>2047</v>
      </c>
      <c r="K52" s="10" t="s">
        <v>1</v>
      </c>
      <c r="L52" s="12">
        <v>32890</v>
      </c>
      <c r="M52" s="12">
        <v>1535</v>
      </c>
      <c r="N52" s="12">
        <v>0</v>
      </c>
      <c r="O52" s="11">
        <v>50486150</v>
      </c>
      <c r="P52" s="11">
        <f t="shared" si="6"/>
        <v>50486150</v>
      </c>
      <c r="Q52" s="73">
        <v>5553476.5</v>
      </c>
      <c r="R52" s="11">
        <f>P52*1.5%</f>
        <v>757292.25</v>
      </c>
      <c r="S52" s="11">
        <v>0</v>
      </c>
      <c r="T52" s="11">
        <f>P52+Q52-S52-R52</f>
        <v>55282334.25</v>
      </c>
      <c r="U52" s="42">
        <v>32890</v>
      </c>
    </row>
    <row r="53" spans="1:21" s="36" customFormat="1" ht="15.45" x14ac:dyDescent="0.35">
      <c r="A53" s="19" t="s">
        <v>105</v>
      </c>
      <c r="B53" s="9">
        <v>45783</v>
      </c>
      <c r="C53" s="14" t="s">
        <v>1697</v>
      </c>
      <c r="D53" s="10" t="s">
        <v>1698</v>
      </c>
      <c r="E53" s="9">
        <v>45777</v>
      </c>
      <c r="F53" s="10" t="s">
        <v>85</v>
      </c>
      <c r="G53" s="10" t="s">
        <v>91</v>
      </c>
      <c r="H53" s="10" t="s">
        <v>23</v>
      </c>
      <c r="I53" s="10" t="s">
        <v>886</v>
      </c>
      <c r="J53" s="50" t="s">
        <v>1965</v>
      </c>
      <c r="K53" s="10" t="s">
        <v>1</v>
      </c>
      <c r="L53" s="12">
        <v>100</v>
      </c>
      <c r="M53" s="12">
        <v>80256</v>
      </c>
      <c r="N53" s="12">
        <v>16720</v>
      </c>
      <c r="O53" s="11">
        <v>8025600</v>
      </c>
      <c r="P53" s="11">
        <f t="shared" si="6"/>
        <v>8025600</v>
      </c>
      <c r="Q53" s="73">
        <v>882816</v>
      </c>
      <c r="R53" s="11"/>
      <c r="S53" s="11">
        <v>0</v>
      </c>
      <c r="T53" s="11">
        <f t="shared" ref="T53:T80" si="10">P53+Q53-S53</f>
        <v>8908416</v>
      </c>
      <c r="U53" s="42">
        <v>100</v>
      </c>
    </row>
    <row r="54" spans="1:21" s="36" customFormat="1" ht="15.45" x14ac:dyDescent="0.35">
      <c r="A54" s="19" t="s">
        <v>97</v>
      </c>
      <c r="B54" s="9">
        <v>45783</v>
      </c>
      <c r="C54" s="14" t="s">
        <v>1699</v>
      </c>
      <c r="D54" s="10" t="s">
        <v>1678</v>
      </c>
      <c r="E54" s="9">
        <v>45777</v>
      </c>
      <c r="F54" s="10" t="s">
        <v>63</v>
      </c>
      <c r="G54" s="10" t="s">
        <v>136</v>
      </c>
      <c r="H54" s="10" t="s">
        <v>24</v>
      </c>
      <c r="I54" s="10" t="s">
        <v>888</v>
      </c>
      <c r="J54" s="50" t="s">
        <v>1840</v>
      </c>
      <c r="K54" s="10" t="s">
        <v>5</v>
      </c>
      <c r="L54" s="12">
        <v>489</v>
      </c>
      <c r="M54" s="12">
        <v>39500</v>
      </c>
      <c r="N54" s="12">
        <v>0</v>
      </c>
      <c r="O54" s="11">
        <v>19315500</v>
      </c>
      <c r="P54" s="11">
        <f t="shared" si="6"/>
        <v>19315500</v>
      </c>
      <c r="Q54" s="73">
        <v>2124705</v>
      </c>
      <c r="R54" s="11"/>
      <c r="S54" s="11">
        <v>0</v>
      </c>
      <c r="T54" s="11">
        <f t="shared" si="10"/>
        <v>21440205</v>
      </c>
      <c r="U54" s="42">
        <v>489</v>
      </c>
    </row>
    <row r="55" spans="1:21" s="36" customFormat="1" ht="15.45" x14ac:dyDescent="0.35">
      <c r="A55" s="19" t="s">
        <v>109</v>
      </c>
      <c r="B55" s="9">
        <v>45783</v>
      </c>
      <c r="C55" s="14" t="s">
        <v>1700</v>
      </c>
      <c r="D55" s="10" t="s">
        <v>1648</v>
      </c>
      <c r="E55" s="9">
        <v>45777</v>
      </c>
      <c r="F55" s="10" t="s">
        <v>54</v>
      </c>
      <c r="G55" s="10" t="s">
        <v>49</v>
      </c>
      <c r="H55" s="10" t="s">
        <v>934</v>
      </c>
      <c r="I55" s="10" t="s">
        <v>935</v>
      </c>
      <c r="J55" s="50" t="s">
        <v>1797</v>
      </c>
      <c r="K55" s="10" t="s">
        <v>15</v>
      </c>
      <c r="L55" s="12">
        <v>144</v>
      </c>
      <c r="M55" s="12">
        <v>6454</v>
      </c>
      <c r="N55" s="12">
        <v>0</v>
      </c>
      <c r="O55" s="11">
        <v>929376</v>
      </c>
      <c r="P55" s="11">
        <f t="shared" si="6"/>
        <v>929376</v>
      </c>
      <c r="Q55" s="73">
        <v>102231.36</v>
      </c>
      <c r="R55" s="11"/>
      <c r="S55" s="11">
        <v>0</v>
      </c>
      <c r="T55" s="11">
        <f t="shared" si="10"/>
        <v>1031607.36</v>
      </c>
      <c r="U55" s="42">
        <v>144</v>
      </c>
    </row>
    <row r="56" spans="1:21" s="36" customFormat="1" ht="15.45" x14ac:dyDescent="0.35">
      <c r="A56" s="19" t="s">
        <v>102</v>
      </c>
      <c r="B56" s="9">
        <v>45783</v>
      </c>
      <c r="C56" s="14" t="s">
        <v>1701</v>
      </c>
      <c r="D56" s="10" t="s">
        <v>1702</v>
      </c>
      <c r="E56" s="9">
        <v>45777</v>
      </c>
      <c r="F56" s="10" t="s">
        <v>65</v>
      </c>
      <c r="G56" s="10" t="s">
        <v>48</v>
      </c>
      <c r="H56" s="10" t="s">
        <v>934</v>
      </c>
      <c r="I56" s="10" t="s">
        <v>935</v>
      </c>
      <c r="J56" s="50" t="s">
        <v>1843</v>
      </c>
      <c r="K56" s="10" t="s">
        <v>15</v>
      </c>
      <c r="L56" s="12">
        <v>288</v>
      </c>
      <c r="M56" s="12">
        <v>8200</v>
      </c>
      <c r="N56" s="12">
        <v>0</v>
      </c>
      <c r="O56" s="11">
        <v>2361600</v>
      </c>
      <c r="P56" s="11">
        <f t="shared" si="6"/>
        <v>2361600</v>
      </c>
      <c r="Q56" s="73">
        <v>259776</v>
      </c>
      <c r="R56" s="11"/>
      <c r="S56" s="11">
        <v>0</v>
      </c>
      <c r="T56" s="11">
        <f t="shared" si="10"/>
        <v>2621376</v>
      </c>
      <c r="U56" s="42">
        <v>288</v>
      </c>
    </row>
    <row r="57" spans="1:21" s="36" customFormat="1" ht="15.45" x14ac:dyDescent="0.35">
      <c r="A57" s="19" t="s">
        <v>108</v>
      </c>
      <c r="B57" s="9">
        <v>45783</v>
      </c>
      <c r="C57" s="14" t="s">
        <v>1703</v>
      </c>
      <c r="D57" s="10" t="s">
        <v>1704</v>
      </c>
      <c r="E57" s="9">
        <v>45782</v>
      </c>
      <c r="F57" s="10" t="s">
        <v>51</v>
      </c>
      <c r="G57" s="10" t="s">
        <v>58</v>
      </c>
      <c r="H57" s="10" t="s">
        <v>24</v>
      </c>
      <c r="I57" s="10" t="s">
        <v>61</v>
      </c>
      <c r="J57" s="50" t="s">
        <v>1964</v>
      </c>
      <c r="K57" s="10" t="s">
        <v>6</v>
      </c>
      <c r="L57" s="12">
        <v>20</v>
      </c>
      <c r="M57" s="12">
        <v>80000</v>
      </c>
      <c r="N57" s="12">
        <v>0</v>
      </c>
      <c r="O57" s="11">
        <v>1600000</v>
      </c>
      <c r="P57" s="11">
        <f t="shared" ref="P57:P88" si="11">O57</f>
        <v>1600000</v>
      </c>
      <c r="Q57" s="73">
        <v>176000</v>
      </c>
      <c r="R57" s="11"/>
      <c r="S57" s="11">
        <v>0</v>
      </c>
      <c r="T57" s="11">
        <f t="shared" si="10"/>
        <v>1776000</v>
      </c>
      <c r="U57" s="42">
        <v>20</v>
      </c>
    </row>
    <row r="58" spans="1:21" s="36" customFormat="1" ht="15.45" x14ac:dyDescent="0.35">
      <c r="A58" s="19" t="s">
        <v>105</v>
      </c>
      <c r="B58" s="9">
        <v>45784</v>
      </c>
      <c r="C58" s="14" t="s">
        <v>1705</v>
      </c>
      <c r="D58" s="10" t="s">
        <v>1698</v>
      </c>
      <c r="E58" s="9">
        <v>45777</v>
      </c>
      <c r="F58" s="10" t="s">
        <v>85</v>
      </c>
      <c r="G58" s="10" t="s">
        <v>91</v>
      </c>
      <c r="H58" s="10" t="s">
        <v>23</v>
      </c>
      <c r="I58" s="10" t="s">
        <v>886</v>
      </c>
      <c r="J58" s="50" t="s">
        <v>1966</v>
      </c>
      <c r="K58" s="10" t="s">
        <v>1</v>
      </c>
      <c r="L58" s="12">
        <v>300</v>
      </c>
      <c r="M58" s="12">
        <v>80256</v>
      </c>
      <c r="N58" s="12">
        <v>16720</v>
      </c>
      <c r="O58" s="11">
        <v>24076800</v>
      </c>
      <c r="P58" s="11">
        <f t="shared" si="11"/>
        <v>24076800</v>
      </c>
      <c r="Q58" s="73">
        <v>2648448</v>
      </c>
      <c r="R58" s="11"/>
      <c r="S58" s="11">
        <v>0</v>
      </c>
      <c r="T58" s="11">
        <f t="shared" si="10"/>
        <v>26725248</v>
      </c>
      <c r="U58" s="42">
        <v>300</v>
      </c>
    </row>
    <row r="59" spans="1:21" s="36" customFormat="1" ht="15.45" x14ac:dyDescent="0.35">
      <c r="A59" s="19" t="s">
        <v>99</v>
      </c>
      <c r="B59" s="9">
        <v>45784</v>
      </c>
      <c r="C59" s="14" t="s">
        <v>1706</v>
      </c>
      <c r="D59" s="10" t="s">
        <v>1707</v>
      </c>
      <c r="E59" s="9">
        <v>45784</v>
      </c>
      <c r="F59" s="10" t="s">
        <v>64</v>
      </c>
      <c r="G59" s="10" t="s">
        <v>238</v>
      </c>
      <c r="H59" s="10" t="s">
        <v>23</v>
      </c>
      <c r="I59" s="10" t="s">
        <v>887</v>
      </c>
      <c r="J59" s="50" t="s">
        <v>1963</v>
      </c>
      <c r="K59" s="10" t="s">
        <v>1</v>
      </c>
      <c r="L59" s="12">
        <v>300</v>
      </c>
      <c r="M59" s="12">
        <v>33000</v>
      </c>
      <c r="N59" s="12">
        <v>0</v>
      </c>
      <c r="O59" s="11">
        <v>9900000</v>
      </c>
      <c r="P59" s="11">
        <f t="shared" si="11"/>
        <v>9900000</v>
      </c>
      <c r="Q59" s="73">
        <v>1089000</v>
      </c>
      <c r="R59" s="11"/>
      <c r="S59" s="11">
        <v>0</v>
      </c>
      <c r="T59" s="11">
        <f t="shared" si="10"/>
        <v>10989000</v>
      </c>
      <c r="U59" s="42">
        <v>300</v>
      </c>
    </row>
    <row r="60" spans="1:21" s="36" customFormat="1" ht="15.45" x14ac:dyDescent="0.35">
      <c r="A60" s="19" t="s">
        <v>106</v>
      </c>
      <c r="B60" s="9">
        <v>45784</v>
      </c>
      <c r="C60" s="14" t="s">
        <v>1708</v>
      </c>
      <c r="D60" s="10" t="s">
        <v>1709</v>
      </c>
      <c r="E60" s="9">
        <v>45777</v>
      </c>
      <c r="F60" s="10" t="s">
        <v>66</v>
      </c>
      <c r="G60" s="10" t="s">
        <v>19</v>
      </c>
      <c r="H60" s="10" t="s">
        <v>23</v>
      </c>
      <c r="I60" s="10" t="s">
        <v>888</v>
      </c>
      <c r="J60" s="50" t="s">
        <v>2292</v>
      </c>
      <c r="K60" s="10" t="s">
        <v>4</v>
      </c>
      <c r="L60" s="12">
        <v>200</v>
      </c>
      <c r="M60" s="12">
        <v>18500</v>
      </c>
      <c r="N60" s="12">
        <v>0</v>
      </c>
      <c r="O60" s="11">
        <v>3700000</v>
      </c>
      <c r="P60" s="11">
        <f t="shared" si="11"/>
        <v>3700000</v>
      </c>
      <c r="Q60" s="11">
        <v>407000</v>
      </c>
      <c r="R60" s="11"/>
      <c r="S60" s="11">
        <v>0</v>
      </c>
      <c r="T60" s="11">
        <f t="shared" si="10"/>
        <v>4107000</v>
      </c>
      <c r="U60" s="42">
        <v>200</v>
      </c>
    </row>
    <row r="61" spans="1:21" s="36" customFormat="1" ht="15.45" x14ac:dyDescent="0.35">
      <c r="A61" s="19" t="s">
        <v>1112</v>
      </c>
      <c r="B61" s="9">
        <v>45785</v>
      </c>
      <c r="C61" s="14" t="s">
        <v>1710</v>
      </c>
      <c r="D61" s="10" t="s">
        <v>1711</v>
      </c>
      <c r="E61" s="9">
        <v>45777</v>
      </c>
      <c r="F61" s="10" t="s">
        <v>1098</v>
      </c>
      <c r="G61" s="10" t="s">
        <v>1099</v>
      </c>
      <c r="H61" s="10" t="s">
        <v>23</v>
      </c>
      <c r="I61" s="10" t="s">
        <v>888</v>
      </c>
      <c r="J61" s="50" t="s">
        <v>1798</v>
      </c>
      <c r="K61" s="10" t="s">
        <v>4</v>
      </c>
      <c r="L61" s="12">
        <v>400</v>
      </c>
      <c r="M61" s="12">
        <v>36000</v>
      </c>
      <c r="N61" s="12">
        <v>0</v>
      </c>
      <c r="O61" s="11">
        <v>14400000</v>
      </c>
      <c r="P61" s="11">
        <f t="shared" si="11"/>
        <v>14400000</v>
      </c>
      <c r="Q61" s="73">
        <v>1584000</v>
      </c>
      <c r="R61" s="11"/>
      <c r="S61" s="11">
        <v>0</v>
      </c>
      <c r="T61" s="11">
        <f t="shared" si="10"/>
        <v>15984000</v>
      </c>
      <c r="U61" s="42">
        <v>400</v>
      </c>
    </row>
    <row r="62" spans="1:21" s="36" customFormat="1" ht="15.45" x14ac:dyDescent="0.35">
      <c r="A62" s="19" t="s">
        <v>209</v>
      </c>
      <c r="B62" s="9">
        <v>45785</v>
      </c>
      <c r="C62" s="14" t="s">
        <v>1751</v>
      </c>
      <c r="D62" s="10" t="s">
        <v>1752</v>
      </c>
      <c r="E62" s="9">
        <v>45769</v>
      </c>
      <c r="F62" s="10" t="s">
        <v>208</v>
      </c>
      <c r="G62" s="10" t="s">
        <v>1753</v>
      </c>
      <c r="H62" s="10" t="s">
        <v>24</v>
      </c>
      <c r="I62" s="10" t="s">
        <v>61</v>
      </c>
      <c r="J62" s="10"/>
      <c r="K62" s="10" t="s">
        <v>6</v>
      </c>
      <c r="L62" s="12">
        <v>20</v>
      </c>
      <c r="M62" s="12">
        <v>120000</v>
      </c>
      <c r="N62" s="12">
        <v>0</v>
      </c>
      <c r="O62" s="11">
        <v>2400000</v>
      </c>
      <c r="P62" s="11">
        <f t="shared" si="11"/>
        <v>2400000</v>
      </c>
      <c r="Q62" s="11">
        <v>0</v>
      </c>
      <c r="R62" s="11"/>
      <c r="S62" s="11">
        <v>0</v>
      </c>
      <c r="T62" s="11">
        <f t="shared" si="10"/>
        <v>2400000</v>
      </c>
      <c r="U62" s="42">
        <v>20</v>
      </c>
    </row>
    <row r="63" spans="1:21" s="36" customFormat="1" ht="15.45" x14ac:dyDescent="0.35">
      <c r="A63" s="19" t="s">
        <v>132</v>
      </c>
      <c r="B63" s="9">
        <v>45785</v>
      </c>
      <c r="C63" s="14" t="s">
        <v>1754</v>
      </c>
      <c r="D63" s="10" t="s">
        <v>1755</v>
      </c>
      <c r="E63" s="9">
        <v>45785</v>
      </c>
      <c r="F63" s="10" t="s">
        <v>129</v>
      </c>
      <c r="G63" s="10" t="s">
        <v>1756</v>
      </c>
      <c r="H63" s="10" t="s">
        <v>24</v>
      </c>
      <c r="I63" s="10" t="s">
        <v>61</v>
      </c>
      <c r="J63" s="10"/>
      <c r="K63" s="10" t="s">
        <v>6</v>
      </c>
      <c r="L63" s="12">
        <v>75</v>
      </c>
      <c r="M63" s="12">
        <v>7000</v>
      </c>
      <c r="N63" s="12">
        <v>0</v>
      </c>
      <c r="O63" s="11">
        <v>525000</v>
      </c>
      <c r="P63" s="11">
        <f t="shared" si="11"/>
        <v>525000</v>
      </c>
      <c r="Q63" s="11">
        <v>0</v>
      </c>
      <c r="R63" s="11"/>
      <c r="S63" s="11">
        <v>0</v>
      </c>
      <c r="T63" s="11">
        <f t="shared" si="10"/>
        <v>525000</v>
      </c>
      <c r="U63" s="42">
        <v>75</v>
      </c>
    </row>
    <row r="64" spans="1:21" s="36" customFormat="1" ht="15.45" x14ac:dyDescent="0.35">
      <c r="A64" s="19" t="s">
        <v>132</v>
      </c>
      <c r="B64" s="9">
        <v>45785</v>
      </c>
      <c r="C64" s="14" t="s">
        <v>1754</v>
      </c>
      <c r="D64" s="10" t="s">
        <v>1755</v>
      </c>
      <c r="E64" s="9">
        <v>45785</v>
      </c>
      <c r="F64" s="10" t="s">
        <v>129</v>
      </c>
      <c r="G64" s="10" t="s">
        <v>90</v>
      </c>
      <c r="H64" s="10" t="s">
        <v>24</v>
      </c>
      <c r="I64" s="10" t="s">
        <v>61</v>
      </c>
      <c r="J64" s="10"/>
      <c r="K64" s="10" t="s">
        <v>6</v>
      </c>
      <c r="L64" s="12">
        <v>40</v>
      </c>
      <c r="M64" s="12">
        <v>3250</v>
      </c>
      <c r="N64" s="12">
        <v>0</v>
      </c>
      <c r="O64" s="11">
        <v>130000</v>
      </c>
      <c r="P64" s="11">
        <f t="shared" si="11"/>
        <v>130000</v>
      </c>
      <c r="Q64" s="11">
        <v>0</v>
      </c>
      <c r="R64" s="11"/>
      <c r="S64" s="11">
        <v>0</v>
      </c>
      <c r="T64" s="11">
        <f t="shared" si="10"/>
        <v>130000</v>
      </c>
      <c r="U64" s="42">
        <v>40</v>
      </c>
    </row>
    <row r="65" spans="1:21" s="36" customFormat="1" ht="15.45" x14ac:dyDescent="0.35">
      <c r="A65" s="19" t="s">
        <v>132</v>
      </c>
      <c r="B65" s="9">
        <v>45785</v>
      </c>
      <c r="C65" s="14" t="s">
        <v>1754</v>
      </c>
      <c r="D65" s="10" t="s">
        <v>1755</v>
      </c>
      <c r="E65" s="9">
        <v>45785</v>
      </c>
      <c r="F65" s="10" t="s">
        <v>129</v>
      </c>
      <c r="G65" s="10" t="s">
        <v>631</v>
      </c>
      <c r="H65" s="10" t="s">
        <v>24</v>
      </c>
      <c r="I65" s="10" t="s">
        <v>61</v>
      </c>
      <c r="J65" s="10"/>
      <c r="K65" s="10" t="s">
        <v>6</v>
      </c>
      <c r="L65" s="12">
        <v>100</v>
      </c>
      <c r="M65" s="12">
        <v>295</v>
      </c>
      <c r="N65" s="12">
        <v>0</v>
      </c>
      <c r="O65" s="11">
        <v>29500</v>
      </c>
      <c r="P65" s="11">
        <f t="shared" si="11"/>
        <v>29500</v>
      </c>
      <c r="Q65" s="11">
        <v>0</v>
      </c>
      <c r="R65" s="11"/>
      <c r="S65" s="11">
        <v>0</v>
      </c>
      <c r="T65" s="11">
        <f t="shared" si="10"/>
        <v>29500</v>
      </c>
      <c r="U65" s="42">
        <v>100</v>
      </c>
    </row>
    <row r="66" spans="1:21" s="36" customFormat="1" ht="15.45" x14ac:dyDescent="0.35">
      <c r="A66" s="19" t="s">
        <v>132</v>
      </c>
      <c r="B66" s="9">
        <v>45785</v>
      </c>
      <c r="C66" s="14" t="s">
        <v>1754</v>
      </c>
      <c r="D66" s="10" t="s">
        <v>1755</v>
      </c>
      <c r="E66" s="9">
        <v>45785</v>
      </c>
      <c r="F66" s="10" t="s">
        <v>129</v>
      </c>
      <c r="G66" s="10" t="s">
        <v>671</v>
      </c>
      <c r="H66" s="10" t="s">
        <v>24</v>
      </c>
      <c r="I66" s="10" t="s">
        <v>61</v>
      </c>
      <c r="J66" s="10"/>
      <c r="K66" s="10" t="s">
        <v>6</v>
      </c>
      <c r="L66" s="12">
        <v>5</v>
      </c>
      <c r="M66" s="12">
        <v>13000</v>
      </c>
      <c r="N66" s="12">
        <v>0</v>
      </c>
      <c r="O66" s="11">
        <v>65000</v>
      </c>
      <c r="P66" s="11">
        <f t="shared" si="11"/>
        <v>65000</v>
      </c>
      <c r="Q66" s="11">
        <v>0</v>
      </c>
      <c r="R66" s="11"/>
      <c r="S66" s="11">
        <v>0</v>
      </c>
      <c r="T66" s="11">
        <f t="shared" si="10"/>
        <v>65000</v>
      </c>
      <c r="U66" s="42">
        <v>5</v>
      </c>
    </row>
    <row r="67" spans="1:21" s="36" customFormat="1" ht="15.45" x14ac:dyDescent="0.35">
      <c r="A67" s="19" t="s">
        <v>132</v>
      </c>
      <c r="B67" s="9">
        <v>45785</v>
      </c>
      <c r="C67" s="14" t="s">
        <v>1754</v>
      </c>
      <c r="D67" s="10" t="s">
        <v>1755</v>
      </c>
      <c r="E67" s="9">
        <v>45785</v>
      </c>
      <c r="F67" s="10" t="s">
        <v>129</v>
      </c>
      <c r="G67" s="10" t="s">
        <v>633</v>
      </c>
      <c r="H67" s="10" t="s">
        <v>24</v>
      </c>
      <c r="I67" s="10" t="s">
        <v>61</v>
      </c>
      <c r="J67" s="10"/>
      <c r="K67" s="10" t="s">
        <v>6</v>
      </c>
      <c r="L67" s="12">
        <v>100</v>
      </c>
      <c r="M67" s="12">
        <v>335</v>
      </c>
      <c r="N67" s="12">
        <v>0</v>
      </c>
      <c r="O67" s="11">
        <v>33500</v>
      </c>
      <c r="P67" s="11">
        <f t="shared" si="11"/>
        <v>33500</v>
      </c>
      <c r="Q67" s="11">
        <v>0</v>
      </c>
      <c r="R67" s="11"/>
      <c r="S67" s="11">
        <v>0</v>
      </c>
      <c r="T67" s="11">
        <f t="shared" si="10"/>
        <v>33500</v>
      </c>
      <c r="U67" s="42">
        <v>100</v>
      </c>
    </row>
    <row r="68" spans="1:21" s="36" customFormat="1" ht="15.45" x14ac:dyDescent="0.35">
      <c r="A68" s="19" t="s">
        <v>116</v>
      </c>
      <c r="B68" s="9">
        <v>45785</v>
      </c>
      <c r="C68" s="14" t="s">
        <v>1757</v>
      </c>
      <c r="D68" s="10" t="s">
        <v>1758</v>
      </c>
      <c r="E68" s="9">
        <v>45785</v>
      </c>
      <c r="F68" s="10" t="s">
        <v>40</v>
      </c>
      <c r="G68" s="10" t="s">
        <v>1759</v>
      </c>
      <c r="H68" s="10" t="s">
        <v>24</v>
      </c>
      <c r="I68" s="10" t="s">
        <v>61</v>
      </c>
      <c r="J68" s="10"/>
      <c r="K68" s="10" t="s">
        <v>15</v>
      </c>
      <c r="L68" s="12">
        <v>3</v>
      </c>
      <c r="M68" s="12">
        <v>200000</v>
      </c>
      <c r="N68" s="12">
        <v>0</v>
      </c>
      <c r="O68" s="11">
        <v>600000</v>
      </c>
      <c r="P68" s="11">
        <f t="shared" si="11"/>
        <v>600000</v>
      </c>
      <c r="Q68" s="11">
        <v>0</v>
      </c>
      <c r="R68" s="11"/>
      <c r="S68" s="11">
        <v>0</v>
      </c>
      <c r="T68" s="11">
        <f t="shared" si="10"/>
        <v>600000</v>
      </c>
      <c r="U68" s="42">
        <v>3</v>
      </c>
    </row>
    <row r="69" spans="1:21" s="36" customFormat="1" ht="15.45" x14ac:dyDescent="0.35">
      <c r="A69" s="19" t="s">
        <v>100</v>
      </c>
      <c r="B69" s="9">
        <v>45785</v>
      </c>
      <c r="C69" s="14" t="s">
        <v>1760</v>
      </c>
      <c r="D69" s="10" t="s">
        <v>1761</v>
      </c>
      <c r="E69" s="9">
        <v>45785</v>
      </c>
      <c r="F69" s="10" t="s">
        <v>56</v>
      </c>
      <c r="G69" s="10" t="s">
        <v>1762</v>
      </c>
      <c r="H69" s="10" t="s">
        <v>27</v>
      </c>
      <c r="I69" s="10" t="s">
        <v>69</v>
      </c>
      <c r="J69" s="10"/>
      <c r="K69" s="10" t="s">
        <v>1763</v>
      </c>
      <c r="L69" s="12">
        <v>20</v>
      </c>
      <c r="M69" s="12">
        <v>11500</v>
      </c>
      <c r="N69" s="12">
        <v>0</v>
      </c>
      <c r="O69" s="11">
        <v>230000</v>
      </c>
      <c r="P69" s="11">
        <f t="shared" si="11"/>
        <v>230000</v>
      </c>
      <c r="Q69" s="11">
        <v>0</v>
      </c>
      <c r="R69" s="11"/>
      <c r="S69" s="11">
        <v>0</v>
      </c>
      <c r="T69" s="11">
        <f t="shared" si="10"/>
        <v>230000</v>
      </c>
      <c r="U69" s="42">
        <v>20</v>
      </c>
    </row>
    <row r="70" spans="1:21" s="36" customFormat="1" ht="15.45" x14ac:dyDescent="0.35">
      <c r="A70" s="19" t="s">
        <v>100</v>
      </c>
      <c r="B70" s="9">
        <v>45785</v>
      </c>
      <c r="C70" s="14" t="s">
        <v>1760</v>
      </c>
      <c r="D70" s="10" t="s">
        <v>1761</v>
      </c>
      <c r="E70" s="9">
        <v>45785</v>
      </c>
      <c r="F70" s="10" t="s">
        <v>56</v>
      </c>
      <c r="G70" s="10" t="s">
        <v>179</v>
      </c>
      <c r="H70" s="10" t="s">
        <v>27</v>
      </c>
      <c r="I70" s="10" t="s">
        <v>69</v>
      </c>
      <c r="J70" s="10"/>
      <c r="K70" s="10" t="s">
        <v>11</v>
      </c>
      <c r="L70" s="12">
        <v>20</v>
      </c>
      <c r="M70" s="12">
        <v>17500</v>
      </c>
      <c r="N70" s="12">
        <v>0</v>
      </c>
      <c r="O70" s="11">
        <v>350000</v>
      </c>
      <c r="P70" s="11">
        <f t="shared" si="11"/>
        <v>350000</v>
      </c>
      <c r="Q70" s="11">
        <v>0</v>
      </c>
      <c r="R70" s="11"/>
      <c r="S70" s="11">
        <v>0</v>
      </c>
      <c r="T70" s="11">
        <f t="shared" si="10"/>
        <v>350000</v>
      </c>
      <c r="U70" s="42">
        <v>20</v>
      </c>
    </row>
    <row r="71" spans="1:21" s="36" customFormat="1" ht="15.45" x14ac:dyDescent="0.35">
      <c r="A71" s="19" t="s">
        <v>150</v>
      </c>
      <c r="B71" s="9">
        <v>45785</v>
      </c>
      <c r="C71" s="14" t="s">
        <v>1764</v>
      </c>
      <c r="D71" s="10" t="s">
        <v>1765</v>
      </c>
      <c r="E71" s="9">
        <v>45785</v>
      </c>
      <c r="F71" s="10" t="s">
        <v>147</v>
      </c>
      <c r="G71" s="10" t="s">
        <v>741</v>
      </c>
      <c r="H71" s="10" t="s">
        <v>24</v>
      </c>
      <c r="I71" s="10" t="s">
        <v>61</v>
      </c>
      <c r="J71" s="10"/>
      <c r="K71" s="10" t="s">
        <v>10</v>
      </c>
      <c r="L71" s="12">
        <v>6</v>
      </c>
      <c r="M71" s="12">
        <v>20000</v>
      </c>
      <c r="N71" s="12">
        <v>0</v>
      </c>
      <c r="O71" s="11">
        <v>120000</v>
      </c>
      <c r="P71" s="11">
        <f t="shared" si="11"/>
        <v>120000</v>
      </c>
      <c r="Q71" s="11">
        <v>0</v>
      </c>
      <c r="R71" s="11"/>
      <c r="S71" s="11">
        <v>0</v>
      </c>
      <c r="T71" s="11">
        <f t="shared" si="10"/>
        <v>120000</v>
      </c>
      <c r="U71" s="42">
        <v>6</v>
      </c>
    </row>
    <row r="72" spans="1:21" s="36" customFormat="1" ht="15.45" x14ac:dyDescent="0.35">
      <c r="A72" s="19" t="s">
        <v>150</v>
      </c>
      <c r="B72" s="9">
        <v>45785</v>
      </c>
      <c r="C72" s="14" t="s">
        <v>1764</v>
      </c>
      <c r="D72" s="10" t="s">
        <v>1765</v>
      </c>
      <c r="E72" s="9">
        <v>45785</v>
      </c>
      <c r="F72" s="10" t="s">
        <v>147</v>
      </c>
      <c r="G72" s="10" t="s">
        <v>549</v>
      </c>
      <c r="H72" s="10" t="s">
        <v>24</v>
      </c>
      <c r="I72" s="10" t="s">
        <v>61</v>
      </c>
      <c r="J72" s="10"/>
      <c r="K72" s="10" t="s">
        <v>6</v>
      </c>
      <c r="L72" s="12">
        <v>5</v>
      </c>
      <c r="M72" s="12">
        <v>6500</v>
      </c>
      <c r="N72" s="12">
        <v>0</v>
      </c>
      <c r="O72" s="11">
        <v>32500</v>
      </c>
      <c r="P72" s="11">
        <f t="shared" si="11"/>
        <v>32500</v>
      </c>
      <c r="Q72" s="11">
        <v>0</v>
      </c>
      <c r="R72" s="11"/>
      <c r="S72" s="11">
        <v>0</v>
      </c>
      <c r="T72" s="11">
        <f t="shared" si="10"/>
        <v>32500</v>
      </c>
      <c r="U72" s="42">
        <v>5</v>
      </c>
    </row>
    <row r="73" spans="1:21" s="36" customFormat="1" ht="15.45" x14ac:dyDescent="0.35">
      <c r="A73" s="19" t="s">
        <v>150</v>
      </c>
      <c r="B73" s="9">
        <v>45785</v>
      </c>
      <c r="C73" s="14" t="s">
        <v>1764</v>
      </c>
      <c r="D73" s="10" t="s">
        <v>1765</v>
      </c>
      <c r="E73" s="9">
        <v>45785</v>
      </c>
      <c r="F73" s="10" t="s">
        <v>147</v>
      </c>
      <c r="G73" s="10" t="s">
        <v>1766</v>
      </c>
      <c r="H73" s="10" t="s">
        <v>24</v>
      </c>
      <c r="I73" s="10" t="s">
        <v>61</v>
      </c>
      <c r="J73" s="10"/>
      <c r="K73" s="10" t="s">
        <v>145</v>
      </c>
      <c r="L73" s="12">
        <v>20</v>
      </c>
      <c r="M73" s="12">
        <v>4000</v>
      </c>
      <c r="N73" s="12">
        <v>0</v>
      </c>
      <c r="O73" s="11">
        <v>80000</v>
      </c>
      <c r="P73" s="11">
        <f t="shared" si="11"/>
        <v>80000</v>
      </c>
      <c r="Q73" s="11">
        <v>0</v>
      </c>
      <c r="R73" s="11"/>
      <c r="S73" s="11">
        <v>0</v>
      </c>
      <c r="T73" s="11">
        <f t="shared" si="10"/>
        <v>80000</v>
      </c>
      <c r="U73" s="42">
        <v>20</v>
      </c>
    </row>
    <row r="74" spans="1:21" s="36" customFormat="1" ht="15.45" x14ac:dyDescent="0.35">
      <c r="A74" s="19" t="s">
        <v>117</v>
      </c>
      <c r="B74" s="9">
        <v>45785</v>
      </c>
      <c r="C74" s="14" t="s">
        <v>1767</v>
      </c>
      <c r="D74" s="10" t="s">
        <v>1768</v>
      </c>
      <c r="E74" s="9">
        <v>45785</v>
      </c>
      <c r="F74" s="10" t="s">
        <v>68</v>
      </c>
      <c r="G74" s="10" t="s">
        <v>125</v>
      </c>
      <c r="H74" s="10" t="s">
        <v>24</v>
      </c>
      <c r="I74" s="10" t="s">
        <v>61</v>
      </c>
      <c r="J74" s="50" t="s">
        <v>1984</v>
      </c>
      <c r="K74" s="10" t="s">
        <v>3</v>
      </c>
      <c r="L74" s="12">
        <v>5</v>
      </c>
      <c r="M74" s="12">
        <v>81982</v>
      </c>
      <c r="N74" s="12">
        <v>0</v>
      </c>
      <c r="O74" s="11">
        <v>409910</v>
      </c>
      <c r="P74" s="11">
        <f t="shared" si="11"/>
        <v>409910</v>
      </c>
      <c r="Q74" s="73">
        <v>45090.1</v>
      </c>
      <c r="R74" s="11"/>
      <c r="S74" s="11">
        <v>0</v>
      </c>
      <c r="T74" s="11">
        <f t="shared" si="10"/>
        <v>455000.1</v>
      </c>
      <c r="U74" s="42">
        <v>5</v>
      </c>
    </row>
    <row r="75" spans="1:21" s="36" customFormat="1" ht="15.45" x14ac:dyDescent="0.35">
      <c r="A75" s="19" t="s">
        <v>97</v>
      </c>
      <c r="B75" s="9">
        <v>45786</v>
      </c>
      <c r="C75" s="14" t="s">
        <v>1769</v>
      </c>
      <c r="D75" s="10" t="s">
        <v>1770</v>
      </c>
      <c r="E75" s="9">
        <v>45764</v>
      </c>
      <c r="F75" s="10" t="s">
        <v>63</v>
      </c>
      <c r="G75" s="10" t="s">
        <v>570</v>
      </c>
      <c r="H75" s="10" t="s">
        <v>23</v>
      </c>
      <c r="I75" s="10" t="s">
        <v>2122</v>
      </c>
      <c r="J75" s="50" t="s">
        <v>1841</v>
      </c>
      <c r="K75" s="10" t="s">
        <v>1</v>
      </c>
      <c r="L75" s="12">
        <v>50</v>
      </c>
      <c r="M75" s="12">
        <v>201876</v>
      </c>
      <c r="N75" s="12">
        <v>16823</v>
      </c>
      <c r="O75" s="11">
        <v>10093800</v>
      </c>
      <c r="P75" s="11">
        <f t="shared" si="11"/>
        <v>10093800</v>
      </c>
      <c r="Q75" s="73">
        <v>1110318</v>
      </c>
      <c r="R75" s="11"/>
      <c r="S75" s="11">
        <v>0</v>
      </c>
      <c r="T75" s="11">
        <f t="shared" si="10"/>
        <v>11204118</v>
      </c>
      <c r="U75" s="42">
        <v>50</v>
      </c>
    </row>
    <row r="76" spans="1:21" s="36" customFormat="1" ht="15.45" x14ac:dyDescent="0.35">
      <c r="A76" s="19" t="s">
        <v>110</v>
      </c>
      <c r="B76" s="9">
        <v>45786</v>
      </c>
      <c r="C76" s="14" t="s">
        <v>1771</v>
      </c>
      <c r="D76" s="10" t="s">
        <v>1661</v>
      </c>
      <c r="E76" s="9">
        <v>45773</v>
      </c>
      <c r="F76" s="10" t="s">
        <v>72</v>
      </c>
      <c r="G76" s="10" t="s">
        <v>29</v>
      </c>
      <c r="H76" s="10" t="s">
        <v>23</v>
      </c>
      <c r="I76" s="10" t="s">
        <v>887</v>
      </c>
      <c r="J76" s="50" t="s">
        <v>1847</v>
      </c>
      <c r="K76" s="10" t="s">
        <v>1</v>
      </c>
      <c r="L76" s="12">
        <v>5000</v>
      </c>
      <c r="M76" s="12">
        <v>5500</v>
      </c>
      <c r="N76" s="12">
        <v>0</v>
      </c>
      <c r="O76" s="11">
        <v>27500000</v>
      </c>
      <c r="P76" s="11">
        <f t="shared" si="11"/>
        <v>27500000</v>
      </c>
      <c r="Q76" s="73">
        <v>3025000</v>
      </c>
      <c r="R76" s="11"/>
      <c r="S76" s="11">
        <v>0</v>
      </c>
      <c r="T76" s="11">
        <f t="shared" si="10"/>
        <v>30525000</v>
      </c>
      <c r="U76" s="42">
        <v>5000</v>
      </c>
    </row>
    <row r="77" spans="1:21" s="36" customFormat="1" ht="15.45" x14ac:dyDescent="0.35">
      <c r="A77" s="19" t="s">
        <v>114</v>
      </c>
      <c r="B77" s="9">
        <v>45786</v>
      </c>
      <c r="C77" s="14" t="s">
        <v>1772</v>
      </c>
      <c r="D77" s="10" t="s">
        <v>1673</v>
      </c>
      <c r="E77" s="9">
        <v>45769</v>
      </c>
      <c r="F77" s="10" t="s">
        <v>71</v>
      </c>
      <c r="G77" s="10" t="s">
        <v>76</v>
      </c>
      <c r="H77" s="10" t="s">
        <v>23</v>
      </c>
      <c r="I77" s="10" t="s">
        <v>978</v>
      </c>
      <c r="J77" s="50" t="s">
        <v>2248</v>
      </c>
      <c r="K77" s="10" t="s">
        <v>1</v>
      </c>
      <c r="L77" s="12">
        <v>1000</v>
      </c>
      <c r="M77" s="12">
        <v>31150.3</v>
      </c>
      <c r="N77" s="12">
        <v>16838</v>
      </c>
      <c r="O77" s="11">
        <v>31150300</v>
      </c>
      <c r="P77" s="11">
        <f t="shared" si="11"/>
        <v>31150300</v>
      </c>
      <c r="Q77" s="73">
        <v>3426533</v>
      </c>
      <c r="R77" s="11"/>
      <c r="S77" s="11">
        <v>0</v>
      </c>
      <c r="T77" s="11">
        <f t="shared" si="10"/>
        <v>34576833</v>
      </c>
      <c r="U77" s="42">
        <v>1000</v>
      </c>
    </row>
    <row r="78" spans="1:21" s="36" customFormat="1" ht="15.45" x14ac:dyDescent="0.35">
      <c r="A78" s="19" t="s">
        <v>109</v>
      </c>
      <c r="B78" s="9">
        <v>45786</v>
      </c>
      <c r="C78" s="14" t="s">
        <v>1773</v>
      </c>
      <c r="D78" s="10" t="s">
        <v>1648</v>
      </c>
      <c r="E78" s="9">
        <v>45777</v>
      </c>
      <c r="F78" s="10" t="s">
        <v>54</v>
      </c>
      <c r="G78" s="10" t="s">
        <v>49</v>
      </c>
      <c r="H78" s="10" t="s">
        <v>934</v>
      </c>
      <c r="I78" s="10" t="s">
        <v>935</v>
      </c>
      <c r="J78" s="50" t="s">
        <v>1846</v>
      </c>
      <c r="K78" s="10" t="s">
        <v>15</v>
      </c>
      <c r="L78" s="12">
        <v>144</v>
      </c>
      <c r="M78" s="12">
        <v>6454</v>
      </c>
      <c r="N78" s="12">
        <v>0</v>
      </c>
      <c r="O78" s="11">
        <v>929376</v>
      </c>
      <c r="P78" s="11">
        <f t="shared" si="11"/>
        <v>929376</v>
      </c>
      <c r="Q78" s="73">
        <v>102231.36</v>
      </c>
      <c r="R78" s="11"/>
      <c r="S78" s="11">
        <v>0</v>
      </c>
      <c r="T78" s="11">
        <f t="shared" si="10"/>
        <v>1031607.36</v>
      </c>
      <c r="U78" s="42">
        <v>144</v>
      </c>
    </row>
    <row r="79" spans="1:21" s="36" customFormat="1" ht="15.45" x14ac:dyDescent="0.35">
      <c r="A79" s="19" t="s">
        <v>109</v>
      </c>
      <c r="B79" s="9">
        <v>45786</v>
      </c>
      <c r="C79" s="14" t="s">
        <v>1773</v>
      </c>
      <c r="D79" s="10" t="s">
        <v>1648</v>
      </c>
      <c r="E79" s="9">
        <v>45777</v>
      </c>
      <c r="F79" s="10" t="s">
        <v>54</v>
      </c>
      <c r="G79" s="10" t="s">
        <v>1774</v>
      </c>
      <c r="H79" s="10" t="s">
        <v>934</v>
      </c>
      <c r="I79" s="10" t="s">
        <v>935</v>
      </c>
      <c r="J79" s="50" t="s">
        <v>1846</v>
      </c>
      <c r="K79" s="10" t="s">
        <v>15</v>
      </c>
      <c r="L79" s="12">
        <v>20</v>
      </c>
      <c r="M79" s="12">
        <v>15000</v>
      </c>
      <c r="N79" s="12">
        <v>0</v>
      </c>
      <c r="O79" s="11">
        <v>300000</v>
      </c>
      <c r="P79" s="11">
        <f t="shared" si="11"/>
        <v>300000</v>
      </c>
      <c r="Q79" s="73">
        <v>33000</v>
      </c>
      <c r="R79" s="11"/>
      <c r="S79" s="11">
        <v>0</v>
      </c>
      <c r="T79" s="11">
        <f t="shared" si="10"/>
        <v>333000</v>
      </c>
      <c r="U79" s="42">
        <v>20</v>
      </c>
    </row>
    <row r="80" spans="1:21" s="36" customFormat="1" ht="15.45" x14ac:dyDescent="0.35">
      <c r="A80" s="19" t="s">
        <v>105</v>
      </c>
      <c r="B80" s="9">
        <v>45786</v>
      </c>
      <c r="C80" s="14" t="s">
        <v>1775</v>
      </c>
      <c r="D80" s="10" t="s">
        <v>1776</v>
      </c>
      <c r="E80" s="9">
        <v>45785</v>
      </c>
      <c r="F80" s="10" t="s">
        <v>85</v>
      </c>
      <c r="G80" s="10" t="s">
        <v>660</v>
      </c>
      <c r="H80" s="10" t="s">
        <v>23</v>
      </c>
      <c r="I80" s="10" t="s">
        <v>890</v>
      </c>
      <c r="J80" s="50" t="s">
        <v>1967</v>
      </c>
      <c r="K80" s="10" t="s">
        <v>1</v>
      </c>
      <c r="L80" s="12">
        <v>1200</v>
      </c>
      <c r="M80" s="12">
        <v>24735</v>
      </c>
      <c r="N80" s="12">
        <v>16490</v>
      </c>
      <c r="O80" s="11">
        <v>29682000</v>
      </c>
      <c r="P80" s="11">
        <f t="shared" si="11"/>
        <v>29682000</v>
      </c>
      <c r="Q80" s="73">
        <v>3265020</v>
      </c>
      <c r="R80" s="11"/>
      <c r="S80" s="11">
        <v>0</v>
      </c>
      <c r="T80" s="11">
        <f t="shared" si="10"/>
        <v>32947020</v>
      </c>
      <c r="U80" s="42">
        <v>1200</v>
      </c>
    </row>
    <row r="81" spans="1:21" s="36" customFormat="1" ht="15.45" x14ac:dyDescent="0.35">
      <c r="A81" s="19" t="s">
        <v>115</v>
      </c>
      <c r="B81" s="9">
        <v>45785</v>
      </c>
      <c r="C81" s="14" t="s">
        <v>1777</v>
      </c>
      <c r="D81" s="10" t="s">
        <v>1680</v>
      </c>
      <c r="E81" s="9">
        <v>45780</v>
      </c>
      <c r="F81" s="10" t="s">
        <v>81</v>
      </c>
      <c r="G81" s="10" t="s">
        <v>89</v>
      </c>
      <c r="H81" s="10" t="s">
        <v>25</v>
      </c>
      <c r="I81" s="10" t="s">
        <v>79</v>
      </c>
      <c r="J81" s="50" t="s">
        <v>2119</v>
      </c>
      <c r="K81" s="10" t="s">
        <v>1</v>
      </c>
      <c r="L81" s="12">
        <v>28240</v>
      </c>
      <c r="M81" s="12">
        <v>1565</v>
      </c>
      <c r="N81" s="12">
        <v>0</v>
      </c>
      <c r="O81" s="11">
        <v>44195600</v>
      </c>
      <c r="P81" s="11">
        <f t="shared" si="11"/>
        <v>44195600</v>
      </c>
      <c r="Q81" s="73">
        <v>4861516</v>
      </c>
      <c r="R81" s="11">
        <f>P81*1.5%</f>
        <v>662934</v>
      </c>
      <c r="S81" s="11">
        <v>0</v>
      </c>
      <c r="T81" s="11">
        <f>P81+Q81-S81-R81</f>
        <v>48394182</v>
      </c>
      <c r="U81" s="42">
        <v>28240</v>
      </c>
    </row>
    <row r="82" spans="1:21" s="36" customFormat="1" ht="15.45" x14ac:dyDescent="0.35">
      <c r="A82" s="19" t="s">
        <v>160</v>
      </c>
      <c r="B82" s="9">
        <v>45785</v>
      </c>
      <c r="C82" s="14" t="s">
        <v>1778</v>
      </c>
      <c r="D82" s="10" t="s">
        <v>1779</v>
      </c>
      <c r="E82" s="9">
        <v>45784</v>
      </c>
      <c r="F82" s="10" t="s">
        <v>153</v>
      </c>
      <c r="G82" s="10" t="s">
        <v>154</v>
      </c>
      <c r="H82" s="10" t="s">
        <v>24</v>
      </c>
      <c r="I82" s="10" t="s">
        <v>61</v>
      </c>
      <c r="J82" s="50" t="s">
        <v>1961</v>
      </c>
      <c r="K82" s="10" t="s">
        <v>4</v>
      </c>
      <c r="L82" s="12">
        <v>40</v>
      </c>
      <c r="M82" s="12">
        <v>337500</v>
      </c>
      <c r="N82" s="12">
        <v>0</v>
      </c>
      <c r="O82" s="11">
        <v>13500000</v>
      </c>
      <c r="P82" s="11">
        <f t="shared" si="11"/>
        <v>13500000</v>
      </c>
      <c r="Q82" s="73">
        <v>1485000</v>
      </c>
      <c r="R82" s="11">
        <f>P82*0.3%</f>
        <v>40500</v>
      </c>
      <c r="S82" s="11">
        <v>0</v>
      </c>
      <c r="T82" s="11">
        <f>P82+Q82-S82+R82</f>
        <v>15025500</v>
      </c>
      <c r="U82" s="42">
        <v>40</v>
      </c>
    </row>
    <row r="83" spans="1:21" s="36" customFormat="1" ht="15.45" x14ac:dyDescent="0.35">
      <c r="A83" s="19" t="s">
        <v>98</v>
      </c>
      <c r="B83" s="9">
        <v>45788</v>
      </c>
      <c r="C83" s="14" t="s">
        <v>1780</v>
      </c>
      <c r="D83" s="10" t="s">
        <v>1646</v>
      </c>
      <c r="E83" s="9">
        <v>45778</v>
      </c>
      <c r="F83" s="10" t="s">
        <v>84</v>
      </c>
      <c r="G83" s="10" t="s">
        <v>175</v>
      </c>
      <c r="H83" s="10" t="s">
        <v>25</v>
      </c>
      <c r="I83" s="10" t="s">
        <v>79</v>
      </c>
      <c r="J83" s="50" t="s">
        <v>2045</v>
      </c>
      <c r="K83" s="10" t="s">
        <v>1</v>
      </c>
      <c r="L83" s="12">
        <v>30630</v>
      </c>
      <c r="M83" s="12">
        <v>1250</v>
      </c>
      <c r="N83" s="12">
        <v>0</v>
      </c>
      <c r="O83" s="11">
        <v>38287500</v>
      </c>
      <c r="P83" s="11">
        <f t="shared" si="11"/>
        <v>38287500</v>
      </c>
      <c r="Q83" s="73">
        <v>4211625</v>
      </c>
      <c r="R83" s="11">
        <f>P83*1.5%</f>
        <v>574312.5</v>
      </c>
      <c r="S83" s="11">
        <v>0</v>
      </c>
      <c r="T83" s="11">
        <f>P83+Q83-S83-R83</f>
        <v>41924812.5</v>
      </c>
      <c r="U83" s="42">
        <v>30630</v>
      </c>
    </row>
    <row r="84" spans="1:21" s="36" customFormat="1" ht="15.45" x14ac:dyDescent="0.35">
      <c r="A84" s="19" t="s">
        <v>236</v>
      </c>
      <c r="B84" s="9">
        <v>45790</v>
      </c>
      <c r="C84" s="14" t="s">
        <v>1804</v>
      </c>
      <c r="D84" s="10" t="s">
        <v>1805</v>
      </c>
      <c r="E84" s="9">
        <v>45784</v>
      </c>
      <c r="F84" s="10" t="s">
        <v>235</v>
      </c>
      <c r="G84" s="10" t="s">
        <v>155</v>
      </c>
      <c r="H84" s="10" t="s">
        <v>24</v>
      </c>
      <c r="I84" s="10" t="s">
        <v>61</v>
      </c>
      <c r="J84" s="10"/>
      <c r="K84" s="10" t="s">
        <v>156</v>
      </c>
      <c r="L84" s="12">
        <f t="shared" ref="L84:L105" si="12">IF(LEFT(C84,2)="RP",U84*-1,U84)</f>
        <v>5</v>
      </c>
      <c r="M84" s="12">
        <v>730000</v>
      </c>
      <c r="N84" s="12">
        <v>0</v>
      </c>
      <c r="O84" s="11">
        <v>3650000</v>
      </c>
      <c r="P84" s="11">
        <f t="shared" si="11"/>
        <v>3650000</v>
      </c>
      <c r="Q84" s="11">
        <v>0</v>
      </c>
      <c r="R84" s="11"/>
      <c r="S84" s="11">
        <v>0</v>
      </c>
      <c r="T84" s="11">
        <f>P84+Q84-S84</f>
        <v>3650000</v>
      </c>
      <c r="U84" s="42">
        <v>5</v>
      </c>
    </row>
    <row r="85" spans="1:21" s="36" customFormat="1" ht="15.45" x14ac:dyDescent="0.35">
      <c r="A85" s="19" t="s">
        <v>148</v>
      </c>
      <c r="B85" s="9">
        <v>45790</v>
      </c>
      <c r="C85" s="14" t="s">
        <v>1806</v>
      </c>
      <c r="D85" s="10" t="s">
        <v>1667</v>
      </c>
      <c r="E85" s="9">
        <v>45777</v>
      </c>
      <c r="F85" s="10" t="s">
        <v>141</v>
      </c>
      <c r="G85" s="10" t="s">
        <v>142</v>
      </c>
      <c r="H85" s="10" t="s">
        <v>23</v>
      </c>
      <c r="I85" s="10" t="s">
        <v>887</v>
      </c>
      <c r="J85" s="50" t="s">
        <v>2110</v>
      </c>
      <c r="K85" s="10" t="s">
        <v>1</v>
      </c>
      <c r="L85" s="12">
        <f t="shared" si="12"/>
        <v>250</v>
      </c>
      <c r="M85" s="12">
        <v>14750</v>
      </c>
      <c r="N85" s="12">
        <v>0</v>
      </c>
      <c r="O85" s="11">
        <v>3687500</v>
      </c>
      <c r="P85" s="11">
        <f t="shared" si="11"/>
        <v>3687500</v>
      </c>
      <c r="Q85" s="73">
        <v>405625</v>
      </c>
      <c r="R85" s="11"/>
      <c r="S85" s="11">
        <v>0</v>
      </c>
      <c r="T85" s="11">
        <f>P85+Q85-S85</f>
        <v>4093125</v>
      </c>
      <c r="U85" s="42">
        <v>250</v>
      </c>
    </row>
    <row r="86" spans="1:21" s="36" customFormat="1" ht="15.45" x14ac:dyDescent="0.35">
      <c r="A86" s="19" t="s">
        <v>115</v>
      </c>
      <c r="B86" s="9">
        <v>45790</v>
      </c>
      <c r="C86" s="14" t="s">
        <v>1807</v>
      </c>
      <c r="D86" s="10" t="s">
        <v>1680</v>
      </c>
      <c r="E86" s="9">
        <v>45780</v>
      </c>
      <c r="F86" s="10" t="s">
        <v>81</v>
      </c>
      <c r="G86" s="10" t="s">
        <v>89</v>
      </c>
      <c r="H86" s="10" t="s">
        <v>25</v>
      </c>
      <c r="I86" s="10" t="s">
        <v>79</v>
      </c>
      <c r="J86" s="50" t="s">
        <v>2120</v>
      </c>
      <c r="K86" s="10" t="s">
        <v>1</v>
      </c>
      <c r="L86" s="12">
        <f t="shared" si="12"/>
        <v>35830</v>
      </c>
      <c r="M86" s="12">
        <v>1565</v>
      </c>
      <c r="N86" s="12">
        <v>0</v>
      </c>
      <c r="O86" s="11">
        <v>56073950</v>
      </c>
      <c r="P86" s="11">
        <f t="shared" si="11"/>
        <v>56073950</v>
      </c>
      <c r="Q86" s="73">
        <v>6168134.5</v>
      </c>
      <c r="R86" s="11">
        <f>P86*1.5%</f>
        <v>841109.25</v>
      </c>
      <c r="S86" s="11">
        <v>0</v>
      </c>
      <c r="T86" s="11">
        <f>P86+Q86-S86-R86</f>
        <v>61400975.25</v>
      </c>
      <c r="U86" s="42">
        <v>35830</v>
      </c>
    </row>
    <row r="87" spans="1:21" s="36" customFormat="1" ht="15.45" x14ac:dyDescent="0.35">
      <c r="A87" s="19" t="s">
        <v>102</v>
      </c>
      <c r="B87" s="9">
        <v>45791</v>
      </c>
      <c r="C87" s="14" t="s">
        <v>1808</v>
      </c>
      <c r="D87" s="10" t="s">
        <v>1702</v>
      </c>
      <c r="E87" s="9">
        <v>45777</v>
      </c>
      <c r="F87" s="10" t="s">
        <v>65</v>
      </c>
      <c r="G87" s="10" t="s">
        <v>48</v>
      </c>
      <c r="H87" s="10" t="s">
        <v>934</v>
      </c>
      <c r="I87" s="10" t="s">
        <v>935</v>
      </c>
      <c r="J87" s="50" t="s">
        <v>1842</v>
      </c>
      <c r="K87" s="10" t="s">
        <v>15</v>
      </c>
      <c r="L87" s="12">
        <f t="shared" si="12"/>
        <v>288</v>
      </c>
      <c r="M87" s="12">
        <v>8200</v>
      </c>
      <c r="N87" s="12">
        <v>0</v>
      </c>
      <c r="O87" s="11">
        <v>2361600</v>
      </c>
      <c r="P87" s="11">
        <f t="shared" si="11"/>
        <v>2361600</v>
      </c>
      <c r="Q87" s="73">
        <v>259776</v>
      </c>
      <c r="R87" s="11"/>
      <c r="S87" s="11">
        <v>0</v>
      </c>
      <c r="T87" s="11">
        <f>P87+Q87-S87</f>
        <v>2621376</v>
      </c>
      <c r="U87" s="42">
        <v>288</v>
      </c>
    </row>
    <row r="88" spans="1:21" s="36" customFormat="1" ht="15.45" x14ac:dyDescent="0.35">
      <c r="A88" s="19" t="s">
        <v>105</v>
      </c>
      <c r="B88" s="9">
        <v>45791</v>
      </c>
      <c r="C88" s="14" t="s">
        <v>1809</v>
      </c>
      <c r="D88" s="10" t="s">
        <v>1776</v>
      </c>
      <c r="E88" s="9">
        <v>45785</v>
      </c>
      <c r="F88" s="10" t="s">
        <v>85</v>
      </c>
      <c r="G88" s="10" t="s">
        <v>660</v>
      </c>
      <c r="H88" s="10" t="s">
        <v>23</v>
      </c>
      <c r="I88" s="10" t="s">
        <v>890</v>
      </c>
      <c r="J88" s="50" t="s">
        <v>1983</v>
      </c>
      <c r="K88" s="10" t="s">
        <v>1</v>
      </c>
      <c r="L88" s="12">
        <f t="shared" si="12"/>
        <v>1200</v>
      </c>
      <c r="M88" s="12">
        <v>24735</v>
      </c>
      <c r="N88" s="12">
        <v>16490</v>
      </c>
      <c r="O88" s="11">
        <v>29682000</v>
      </c>
      <c r="P88" s="11">
        <f t="shared" si="11"/>
        <v>29682000</v>
      </c>
      <c r="Q88" s="73">
        <v>3265020</v>
      </c>
      <c r="R88" s="11"/>
      <c r="S88" s="11">
        <v>0</v>
      </c>
      <c r="T88" s="11">
        <f>P88+Q88-S88</f>
        <v>32947020</v>
      </c>
      <c r="U88" s="42">
        <v>1200</v>
      </c>
    </row>
    <row r="89" spans="1:21" s="36" customFormat="1" ht="15.45" x14ac:dyDescent="0.35">
      <c r="A89" s="19" t="s">
        <v>107</v>
      </c>
      <c r="B89" s="9">
        <v>45791</v>
      </c>
      <c r="C89" s="14" t="s">
        <v>1810</v>
      </c>
      <c r="D89" s="10" t="s">
        <v>1811</v>
      </c>
      <c r="E89" s="9">
        <v>45777</v>
      </c>
      <c r="F89" s="10" t="s">
        <v>60</v>
      </c>
      <c r="G89" s="10" t="s">
        <v>82</v>
      </c>
      <c r="H89" s="10" t="s">
        <v>24</v>
      </c>
      <c r="I89" s="10" t="s">
        <v>61</v>
      </c>
      <c r="J89" s="50" t="s">
        <v>1972</v>
      </c>
      <c r="K89" s="10" t="s">
        <v>1</v>
      </c>
      <c r="L89" s="12">
        <f t="shared" si="12"/>
        <v>554.20000000000005</v>
      </c>
      <c r="M89" s="12">
        <v>25000</v>
      </c>
      <c r="N89" s="12">
        <v>0</v>
      </c>
      <c r="O89" s="11">
        <v>13855000</v>
      </c>
      <c r="P89" s="11">
        <f t="shared" ref="P89:P120" si="13">O89</f>
        <v>13855000</v>
      </c>
      <c r="Q89" s="73">
        <v>1524050</v>
      </c>
      <c r="R89" s="11"/>
      <c r="S89" s="11">
        <v>0</v>
      </c>
      <c r="T89" s="11">
        <f>P89+Q89-S89</f>
        <v>15379050</v>
      </c>
      <c r="U89" s="42">
        <v>554.20000000000005</v>
      </c>
    </row>
    <row r="90" spans="1:21" s="36" customFormat="1" ht="15.45" x14ac:dyDescent="0.35">
      <c r="A90" s="19" t="s">
        <v>98</v>
      </c>
      <c r="B90" s="9">
        <v>45788</v>
      </c>
      <c r="C90" s="14" t="s">
        <v>1812</v>
      </c>
      <c r="D90" s="10" t="s">
        <v>1813</v>
      </c>
      <c r="E90" s="9">
        <v>45792</v>
      </c>
      <c r="F90" s="10" t="s">
        <v>84</v>
      </c>
      <c r="G90" s="10" t="s">
        <v>89</v>
      </c>
      <c r="H90" s="10" t="s">
        <v>25</v>
      </c>
      <c r="I90" s="10" t="s">
        <v>79</v>
      </c>
      <c r="J90" s="50" t="s">
        <v>2048</v>
      </c>
      <c r="K90" s="10" t="s">
        <v>1</v>
      </c>
      <c r="L90" s="12">
        <f t="shared" si="12"/>
        <v>33500</v>
      </c>
      <c r="M90" s="12">
        <v>1535</v>
      </c>
      <c r="N90" s="12">
        <v>0</v>
      </c>
      <c r="O90" s="11">
        <v>51422500</v>
      </c>
      <c r="P90" s="11">
        <f t="shared" si="13"/>
        <v>51422500</v>
      </c>
      <c r="Q90" s="73">
        <v>5656475</v>
      </c>
      <c r="R90" s="11">
        <f>P90*1.5%</f>
        <v>771337.5</v>
      </c>
      <c r="S90" s="11">
        <v>0</v>
      </c>
      <c r="T90" s="11">
        <f>P90+Q90-S90-R90</f>
        <v>56307637.5</v>
      </c>
      <c r="U90" s="42">
        <v>33500</v>
      </c>
    </row>
    <row r="91" spans="1:21" s="36" customFormat="1" ht="15.45" x14ac:dyDescent="0.35">
      <c r="A91" s="19" t="s">
        <v>109</v>
      </c>
      <c r="B91" s="9">
        <v>45792</v>
      </c>
      <c r="C91" s="14" t="s">
        <v>1814</v>
      </c>
      <c r="D91" s="10" t="s">
        <v>1648</v>
      </c>
      <c r="E91" s="9">
        <v>45777</v>
      </c>
      <c r="F91" s="10" t="s">
        <v>54</v>
      </c>
      <c r="G91" s="10" t="s">
        <v>49</v>
      </c>
      <c r="H91" s="10" t="s">
        <v>934</v>
      </c>
      <c r="I91" s="10" t="s">
        <v>935</v>
      </c>
      <c r="J91" s="50" t="s">
        <v>1838</v>
      </c>
      <c r="K91" s="10" t="s">
        <v>15</v>
      </c>
      <c r="L91" s="12">
        <f t="shared" si="12"/>
        <v>144</v>
      </c>
      <c r="M91" s="12">
        <v>6454</v>
      </c>
      <c r="N91" s="12">
        <v>0</v>
      </c>
      <c r="O91" s="11">
        <v>929376</v>
      </c>
      <c r="P91" s="11">
        <f t="shared" si="13"/>
        <v>929376</v>
      </c>
      <c r="Q91" s="73">
        <v>102231.36</v>
      </c>
      <c r="R91" s="11"/>
      <c r="S91" s="11">
        <v>0</v>
      </c>
      <c r="T91" s="11">
        <f>P91+Q91-S91</f>
        <v>1031607.36</v>
      </c>
      <c r="U91" s="42">
        <v>144</v>
      </c>
    </row>
    <row r="92" spans="1:21" s="36" customFormat="1" ht="15.45" x14ac:dyDescent="0.35">
      <c r="A92" s="19" t="s">
        <v>218</v>
      </c>
      <c r="B92" s="9">
        <v>45792</v>
      </c>
      <c r="C92" s="14" t="s">
        <v>1815</v>
      </c>
      <c r="D92" s="10" t="s">
        <v>1467</v>
      </c>
      <c r="E92" s="9">
        <v>45764</v>
      </c>
      <c r="F92" s="10" t="s">
        <v>44</v>
      </c>
      <c r="G92" s="10" t="s">
        <v>41</v>
      </c>
      <c r="H92" s="10" t="s">
        <v>23</v>
      </c>
      <c r="I92" s="10" t="s">
        <v>890</v>
      </c>
      <c r="J92" s="50" t="s">
        <v>1978</v>
      </c>
      <c r="K92" s="10" t="s">
        <v>1</v>
      </c>
      <c r="L92" s="12">
        <f t="shared" si="12"/>
        <v>2500</v>
      </c>
      <c r="M92" s="12">
        <v>21870</v>
      </c>
      <c r="N92" s="12">
        <v>16823</v>
      </c>
      <c r="O92" s="11">
        <v>54675000</v>
      </c>
      <c r="P92" s="11">
        <f t="shared" si="13"/>
        <v>54675000</v>
      </c>
      <c r="Q92" s="73">
        <v>6014250</v>
      </c>
      <c r="R92" s="11"/>
      <c r="S92" s="11">
        <v>0</v>
      </c>
      <c r="T92" s="11">
        <f>P92+Q92-S92</f>
        <v>60689250</v>
      </c>
      <c r="U92" s="42">
        <v>2500</v>
      </c>
    </row>
    <row r="93" spans="1:21" s="36" customFormat="1" ht="15.45" x14ac:dyDescent="0.35">
      <c r="A93" s="19" t="s">
        <v>1837</v>
      </c>
      <c r="B93" s="9">
        <v>45792</v>
      </c>
      <c r="C93" s="14" t="s">
        <v>1816</v>
      </c>
      <c r="D93" s="10" t="s">
        <v>1817</v>
      </c>
      <c r="E93" s="9">
        <v>45784</v>
      </c>
      <c r="F93" s="10" t="s">
        <v>1818</v>
      </c>
      <c r="G93" s="10" t="s">
        <v>1819</v>
      </c>
      <c r="H93" s="10" t="s">
        <v>24</v>
      </c>
      <c r="I93" s="10" t="s">
        <v>61</v>
      </c>
      <c r="J93" s="10"/>
      <c r="K93" s="10" t="s">
        <v>828</v>
      </c>
      <c r="L93" s="12">
        <f t="shared" si="12"/>
        <v>1</v>
      </c>
      <c r="M93" s="12">
        <v>14500000</v>
      </c>
      <c r="N93" s="12">
        <v>0</v>
      </c>
      <c r="O93" s="11">
        <v>14500000</v>
      </c>
      <c r="P93" s="11">
        <f t="shared" si="13"/>
        <v>14500000</v>
      </c>
      <c r="Q93" s="11">
        <v>0</v>
      </c>
      <c r="R93" s="11"/>
      <c r="S93" s="11">
        <v>0</v>
      </c>
      <c r="T93" s="11">
        <f>P93+Q93-S93</f>
        <v>14500000</v>
      </c>
      <c r="U93" s="42">
        <v>1</v>
      </c>
    </row>
    <row r="94" spans="1:21" s="36" customFormat="1" ht="15.45" x14ac:dyDescent="0.35">
      <c r="A94" s="20" t="s">
        <v>184</v>
      </c>
      <c r="B94" s="9">
        <v>45792</v>
      </c>
      <c r="C94" s="14" t="s">
        <v>1820</v>
      </c>
      <c r="D94" s="10" t="s">
        <v>1821</v>
      </c>
      <c r="E94" s="9">
        <v>45791</v>
      </c>
      <c r="F94" s="10" t="s">
        <v>183</v>
      </c>
      <c r="G94" s="10" t="s">
        <v>1822</v>
      </c>
      <c r="H94" s="10" t="s">
        <v>23</v>
      </c>
      <c r="I94" s="10" t="s">
        <v>886</v>
      </c>
      <c r="J94" s="50" t="s">
        <v>1992</v>
      </c>
      <c r="K94" s="10" t="s">
        <v>1</v>
      </c>
      <c r="L94" s="12">
        <f t="shared" si="12"/>
        <v>30</v>
      </c>
      <c r="M94" s="12">
        <v>181995</v>
      </c>
      <c r="N94" s="12">
        <v>16545</v>
      </c>
      <c r="O94" s="11">
        <v>5459850</v>
      </c>
      <c r="P94" s="11">
        <f t="shared" si="13"/>
        <v>5459850</v>
      </c>
      <c r="Q94" s="73">
        <v>600583.5</v>
      </c>
      <c r="R94" s="11"/>
      <c r="S94" s="11">
        <v>0</v>
      </c>
      <c r="T94" s="11">
        <f>P94+Q94-S94</f>
        <v>6060433.5</v>
      </c>
      <c r="U94" s="42">
        <v>30</v>
      </c>
    </row>
    <row r="95" spans="1:21" s="36" customFormat="1" ht="15.45" x14ac:dyDescent="0.35">
      <c r="A95" s="19" t="s">
        <v>184</v>
      </c>
      <c r="B95" s="9">
        <v>45792</v>
      </c>
      <c r="C95" s="14" t="s">
        <v>1820</v>
      </c>
      <c r="D95" s="10" t="s">
        <v>1821</v>
      </c>
      <c r="E95" s="9">
        <v>45791</v>
      </c>
      <c r="F95" s="10" t="s">
        <v>183</v>
      </c>
      <c r="G95" s="10" t="s">
        <v>1823</v>
      </c>
      <c r="H95" s="10" t="s">
        <v>23</v>
      </c>
      <c r="I95" s="10" t="s">
        <v>886</v>
      </c>
      <c r="J95" s="50" t="s">
        <v>1992</v>
      </c>
      <c r="K95" s="10" t="s">
        <v>1</v>
      </c>
      <c r="L95" s="12">
        <f t="shared" si="12"/>
        <v>30</v>
      </c>
      <c r="M95" s="12">
        <v>138978</v>
      </c>
      <c r="N95" s="12">
        <v>16545</v>
      </c>
      <c r="O95" s="11">
        <v>4169340</v>
      </c>
      <c r="P95" s="11">
        <f t="shared" si="13"/>
        <v>4169340</v>
      </c>
      <c r="Q95" s="73">
        <v>458627.4</v>
      </c>
      <c r="R95" s="11"/>
      <c r="S95" s="11">
        <v>0</v>
      </c>
      <c r="T95" s="11">
        <f>P95+Q95-S95</f>
        <v>4627967.4000000004</v>
      </c>
      <c r="U95" s="42">
        <v>30</v>
      </c>
    </row>
    <row r="96" spans="1:21" s="36" customFormat="1" ht="15.45" x14ac:dyDescent="0.35">
      <c r="A96" s="19" t="s">
        <v>98</v>
      </c>
      <c r="B96" s="9">
        <v>45792</v>
      </c>
      <c r="C96" s="14" t="s">
        <v>1824</v>
      </c>
      <c r="D96" s="10" t="s">
        <v>1646</v>
      </c>
      <c r="E96" s="9">
        <v>45778</v>
      </c>
      <c r="F96" s="10" t="s">
        <v>84</v>
      </c>
      <c r="G96" s="10" t="s">
        <v>175</v>
      </c>
      <c r="H96" s="10" t="s">
        <v>25</v>
      </c>
      <c r="I96" s="10" t="s">
        <v>79</v>
      </c>
      <c r="J96" s="50" t="s">
        <v>2045</v>
      </c>
      <c r="K96" s="10" t="s">
        <v>1</v>
      </c>
      <c r="L96" s="12">
        <f t="shared" si="12"/>
        <v>30160</v>
      </c>
      <c r="M96" s="12">
        <v>1250</v>
      </c>
      <c r="N96" s="12">
        <v>0</v>
      </c>
      <c r="O96" s="11">
        <v>37700000</v>
      </c>
      <c r="P96" s="11">
        <f t="shared" si="13"/>
        <v>37700000</v>
      </c>
      <c r="Q96" s="73">
        <v>4147000</v>
      </c>
      <c r="R96" s="11">
        <f>P96*1.5%</f>
        <v>565500</v>
      </c>
      <c r="S96" s="11">
        <v>0</v>
      </c>
      <c r="T96" s="11">
        <f>P96+Q96-S96-R96</f>
        <v>41281500</v>
      </c>
      <c r="U96" s="42">
        <v>30160</v>
      </c>
    </row>
    <row r="97" spans="1:21" s="36" customFormat="1" ht="15.45" x14ac:dyDescent="0.35">
      <c r="A97" s="19" t="s">
        <v>110</v>
      </c>
      <c r="B97" s="9">
        <v>45793</v>
      </c>
      <c r="C97" s="14" t="s">
        <v>1825</v>
      </c>
      <c r="D97" s="10" t="s">
        <v>1661</v>
      </c>
      <c r="E97" s="9">
        <v>45773</v>
      </c>
      <c r="F97" s="10" t="s">
        <v>72</v>
      </c>
      <c r="G97" s="10" t="s">
        <v>29</v>
      </c>
      <c r="H97" s="10" t="s">
        <v>23</v>
      </c>
      <c r="I97" s="10" t="s">
        <v>887</v>
      </c>
      <c r="J97" s="50" t="s">
        <v>1970</v>
      </c>
      <c r="K97" s="10" t="s">
        <v>1</v>
      </c>
      <c r="L97" s="12">
        <f t="shared" si="12"/>
        <v>5000</v>
      </c>
      <c r="M97" s="12">
        <v>5500</v>
      </c>
      <c r="N97" s="12">
        <v>0</v>
      </c>
      <c r="O97" s="11">
        <v>27500000</v>
      </c>
      <c r="P97" s="11">
        <f t="shared" si="13"/>
        <v>27500000</v>
      </c>
      <c r="Q97" s="73">
        <v>3025000</v>
      </c>
      <c r="R97" s="11"/>
      <c r="S97" s="11">
        <v>0</v>
      </c>
      <c r="T97" s="11">
        <f>P97+Q97-S97</f>
        <v>30525000</v>
      </c>
      <c r="U97" s="42">
        <v>5000</v>
      </c>
    </row>
    <row r="98" spans="1:21" s="36" customFormat="1" ht="15.45" x14ac:dyDescent="0.35">
      <c r="A98" s="19" t="s">
        <v>110</v>
      </c>
      <c r="B98" s="9">
        <v>45793</v>
      </c>
      <c r="C98" s="14" t="s">
        <v>1826</v>
      </c>
      <c r="D98" s="10" t="s">
        <v>1827</v>
      </c>
      <c r="E98" s="9">
        <v>45791</v>
      </c>
      <c r="F98" s="10" t="s">
        <v>72</v>
      </c>
      <c r="G98" s="10" t="s">
        <v>77</v>
      </c>
      <c r="H98" s="10" t="s">
        <v>23</v>
      </c>
      <c r="I98" s="10" t="s">
        <v>887</v>
      </c>
      <c r="J98" s="50" t="s">
        <v>1969</v>
      </c>
      <c r="K98" s="10" t="s">
        <v>1</v>
      </c>
      <c r="L98" s="12">
        <f t="shared" si="12"/>
        <v>400</v>
      </c>
      <c r="M98" s="12">
        <v>30500</v>
      </c>
      <c r="N98" s="12">
        <v>0</v>
      </c>
      <c r="O98" s="11">
        <v>12200000</v>
      </c>
      <c r="P98" s="11">
        <f t="shared" si="13"/>
        <v>12200000</v>
      </c>
      <c r="Q98" s="73">
        <v>1342000</v>
      </c>
      <c r="R98" s="11"/>
      <c r="S98" s="11">
        <v>0</v>
      </c>
      <c r="T98" s="11">
        <f>P98+Q98-S98</f>
        <v>13542000</v>
      </c>
      <c r="U98" s="42">
        <v>400</v>
      </c>
    </row>
    <row r="99" spans="1:21" s="36" customFormat="1" ht="15.45" x14ac:dyDescent="0.35">
      <c r="A99" s="19" t="s">
        <v>138</v>
      </c>
      <c r="B99" s="9">
        <v>45793</v>
      </c>
      <c r="C99" s="14" t="s">
        <v>1828</v>
      </c>
      <c r="D99" s="10" t="s">
        <v>1829</v>
      </c>
      <c r="E99" s="9">
        <v>45791</v>
      </c>
      <c r="F99" s="10" t="s">
        <v>137</v>
      </c>
      <c r="G99" s="10" t="s">
        <v>53</v>
      </c>
      <c r="H99" s="10" t="s">
        <v>23</v>
      </c>
      <c r="I99" s="10" t="s">
        <v>978</v>
      </c>
      <c r="J99" s="50" t="s">
        <v>1991</v>
      </c>
      <c r="K99" s="10" t="s">
        <v>1</v>
      </c>
      <c r="L99" s="12">
        <f t="shared" si="12"/>
        <v>1000</v>
      </c>
      <c r="M99" s="12">
        <v>11500</v>
      </c>
      <c r="N99" s="12">
        <v>0</v>
      </c>
      <c r="O99" s="11">
        <v>11500000</v>
      </c>
      <c r="P99" s="11">
        <f t="shared" si="13"/>
        <v>11500000</v>
      </c>
      <c r="Q99" s="73">
        <v>1265000</v>
      </c>
      <c r="R99" s="11"/>
      <c r="S99" s="11">
        <v>0</v>
      </c>
      <c r="T99" s="11">
        <f>P99+Q99-S99</f>
        <v>12765000</v>
      </c>
      <c r="U99" s="42">
        <v>1000</v>
      </c>
    </row>
    <row r="100" spans="1:21" s="36" customFormat="1" ht="15.45" x14ac:dyDescent="0.35">
      <c r="A100" s="19" t="s">
        <v>107</v>
      </c>
      <c r="B100" s="9">
        <v>45793</v>
      </c>
      <c r="C100" s="14" t="s">
        <v>1830</v>
      </c>
      <c r="D100" s="10" t="s">
        <v>1811</v>
      </c>
      <c r="E100" s="9">
        <v>45777</v>
      </c>
      <c r="F100" s="10" t="s">
        <v>60</v>
      </c>
      <c r="G100" s="10" t="s">
        <v>82</v>
      </c>
      <c r="H100" s="10" t="s">
        <v>24</v>
      </c>
      <c r="I100" s="10" t="s">
        <v>61</v>
      </c>
      <c r="J100" s="50" t="s">
        <v>1973</v>
      </c>
      <c r="K100" s="10" t="s">
        <v>1</v>
      </c>
      <c r="L100" s="12">
        <f t="shared" si="12"/>
        <v>247.55</v>
      </c>
      <c r="M100" s="12">
        <v>25000</v>
      </c>
      <c r="N100" s="12">
        <v>0</v>
      </c>
      <c r="O100" s="11">
        <v>6188750</v>
      </c>
      <c r="P100" s="11">
        <f t="shared" si="13"/>
        <v>6188750</v>
      </c>
      <c r="Q100" s="73">
        <v>680762.5</v>
      </c>
      <c r="R100" s="11"/>
      <c r="S100" s="11">
        <v>0</v>
      </c>
      <c r="T100" s="11">
        <f>P100+Q100-S100</f>
        <v>6869512.5</v>
      </c>
      <c r="U100" s="42">
        <v>247.55</v>
      </c>
    </row>
    <row r="101" spans="1:21" s="36" customFormat="1" ht="15.45" x14ac:dyDescent="0.35">
      <c r="A101" s="19" t="s">
        <v>115</v>
      </c>
      <c r="B101" s="9">
        <v>45793</v>
      </c>
      <c r="C101" s="14" t="s">
        <v>1831</v>
      </c>
      <c r="D101" s="10" t="s">
        <v>1680</v>
      </c>
      <c r="E101" s="9">
        <v>45780</v>
      </c>
      <c r="F101" s="10" t="s">
        <v>81</v>
      </c>
      <c r="G101" s="10" t="s">
        <v>89</v>
      </c>
      <c r="H101" s="10" t="s">
        <v>25</v>
      </c>
      <c r="I101" s="10" t="s">
        <v>79</v>
      </c>
      <c r="J101" s="50" t="s">
        <v>2120</v>
      </c>
      <c r="K101" s="10" t="s">
        <v>1</v>
      </c>
      <c r="L101" s="12">
        <f t="shared" si="12"/>
        <v>27880</v>
      </c>
      <c r="M101" s="12">
        <v>1565</v>
      </c>
      <c r="N101" s="12">
        <v>0</v>
      </c>
      <c r="O101" s="11">
        <v>43632200</v>
      </c>
      <c r="P101" s="11">
        <f t="shared" si="13"/>
        <v>43632200</v>
      </c>
      <c r="Q101" s="73">
        <v>4799542</v>
      </c>
      <c r="R101" s="11">
        <f>P101*1.5%</f>
        <v>654483</v>
      </c>
      <c r="S101" s="11">
        <v>0</v>
      </c>
      <c r="T101" s="11">
        <f>P101+Q101-S101-R101</f>
        <v>47777259</v>
      </c>
      <c r="U101" s="42">
        <v>27880</v>
      </c>
    </row>
    <row r="102" spans="1:21" s="36" customFormat="1" ht="15.45" x14ac:dyDescent="0.35">
      <c r="A102" s="19" t="s">
        <v>113</v>
      </c>
      <c r="B102" s="9">
        <v>45793</v>
      </c>
      <c r="C102" s="14" t="s">
        <v>1832</v>
      </c>
      <c r="D102" s="10" t="s">
        <v>1833</v>
      </c>
      <c r="E102" s="9">
        <v>45793</v>
      </c>
      <c r="F102" s="10" t="s">
        <v>42</v>
      </c>
      <c r="G102" s="10" t="s">
        <v>227</v>
      </c>
      <c r="H102" s="10" t="s">
        <v>24</v>
      </c>
      <c r="I102" s="10" t="s">
        <v>61</v>
      </c>
      <c r="J102" s="10"/>
      <c r="K102" s="10" t="s">
        <v>8</v>
      </c>
      <c r="L102" s="12">
        <f t="shared" si="12"/>
        <v>24</v>
      </c>
      <c r="M102" s="12">
        <v>4584</v>
      </c>
      <c r="N102" s="12">
        <v>0</v>
      </c>
      <c r="O102" s="11">
        <v>110016</v>
      </c>
      <c r="P102" s="11">
        <f t="shared" si="13"/>
        <v>110016</v>
      </c>
      <c r="Q102" s="11">
        <v>0</v>
      </c>
      <c r="R102" s="11"/>
      <c r="S102" s="11">
        <v>0</v>
      </c>
      <c r="T102" s="11">
        <f>P102+Q102-S102</f>
        <v>110016</v>
      </c>
      <c r="U102" s="42">
        <v>24</v>
      </c>
    </row>
    <row r="103" spans="1:21" s="36" customFormat="1" ht="15.45" x14ac:dyDescent="0.35">
      <c r="A103" s="19" t="s">
        <v>113</v>
      </c>
      <c r="B103" s="9">
        <v>45793</v>
      </c>
      <c r="C103" s="14" t="s">
        <v>1832</v>
      </c>
      <c r="D103" s="10" t="s">
        <v>1833</v>
      </c>
      <c r="E103" s="9">
        <v>45793</v>
      </c>
      <c r="F103" s="10" t="s">
        <v>42</v>
      </c>
      <c r="G103" s="10" t="s">
        <v>626</v>
      </c>
      <c r="H103" s="10" t="s">
        <v>24</v>
      </c>
      <c r="I103" s="10" t="s">
        <v>61</v>
      </c>
      <c r="J103" s="10"/>
      <c r="K103" s="10" t="s">
        <v>8</v>
      </c>
      <c r="L103" s="12">
        <f t="shared" si="12"/>
        <v>10</v>
      </c>
      <c r="M103" s="12">
        <v>65000</v>
      </c>
      <c r="N103" s="12">
        <v>0</v>
      </c>
      <c r="O103" s="11">
        <v>650000</v>
      </c>
      <c r="P103" s="11">
        <f t="shared" si="13"/>
        <v>650000</v>
      </c>
      <c r="Q103" s="11">
        <v>0</v>
      </c>
      <c r="R103" s="11"/>
      <c r="S103" s="11">
        <v>0</v>
      </c>
      <c r="T103" s="11">
        <f>P103+Q103-S103</f>
        <v>650000</v>
      </c>
      <c r="U103" s="42">
        <v>10</v>
      </c>
    </row>
    <row r="104" spans="1:21" s="36" customFormat="1" ht="15.45" x14ac:dyDescent="0.35">
      <c r="A104" s="19" t="s">
        <v>111</v>
      </c>
      <c r="B104" s="9">
        <v>45793</v>
      </c>
      <c r="C104" s="14" t="s">
        <v>1834</v>
      </c>
      <c r="D104" s="10" t="s">
        <v>1835</v>
      </c>
      <c r="E104" s="9">
        <v>45793</v>
      </c>
      <c r="F104" s="10" t="s">
        <v>55</v>
      </c>
      <c r="G104" s="10" t="s">
        <v>197</v>
      </c>
      <c r="H104" s="10" t="s">
        <v>24</v>
      </c>
      <c r="I104" s="10" t="s">
        <v>61</v>
      </c>
      <c r="J104" s="10"/>
      <c r="K104" s="10" t="s">
        <v>6</v>
      </c>
      <c r="L104" s="12">
        <f t="shared" si="12"/>
        <v>100</v>
      </c>
      <c r="M104" s="12">
        <v>2500</v>
      </c>
      <c r="N104" s="12">
        <v>0</v>
      </c>
      <c r="O104" s="11">
        <v>250000</v>
      </c>
      <c r="P104" s="11">
        <f t="shared" si="13"/>
        <v>250000</v>
      </c>
      <c r="Q104" s="11">
        <v>0</v>
      </c>
      <c r="R104" s="11"/>
      <c r="S104" s="11">
        <v>0</v>
      </c>
      <c r="T104" s="11">
        <f>P104+Q104-S104</f>
        <v>250000</v>
      </c>
      <c r="U104" s="42">
        <v>100</v>
      </c>
    </row>
    <row r="105" spans="1:21" s="36" customFormat="1" ht="15.45" x14ac:dyDescent="0.35">
      <c r="A105" s="19" t="s">
        <v>111</v>
      </c>
      <c r="B105" s="9">
        <v>45793</v>
      </c>
      <c r="C105" s="14" t="s">
        <v>1834</v>
      </c>
      <c r="D105" s="10" t="s">
        <v>1835</v>
      </c>
      <c r="E105" s="9">
        <v>45793</v>
      </c>
      <c r="F105" s="10" t="s">
        <v>55</v>
      </c>
      <c r="G105" s="10" t="s">
        <v>1836</v>
      </c>
      <c r="H105" s="10" t="s">
        <v>24</v>
      </c>
      <c r="I105" s="10" t="s">
        <v>61</v>
      </c>
      <c r="J105" s="10"/>
      <c r="K105" s="10" t="s">
        <v>6</v>
      </c>
      <c r="L105" s="12">
        <f t="shared" si="12"/>
        <v>30</v>
      </c>
      <c r="M105" s="12">
        <v>35000</v>
      </c>
      <c r="N105" s="12">
        <v>0</v>
      </c>
      <c r="O105" s="11">
        <v>1050000</v>
      </c>
      <c r="P105" s="11">
        <f t="shared" si="13"/>
        <v>1050000</v>
      </c>
      <c r="Q105" s="11">
        <v>0</v>
      </c>
      <c r="R105" s="11"/>
      <c r="S105" s="11">
        <v>0</v>
      </c>
      <c r="T105" s="11">
        <f>P105+Q105-S105</f>
        <v>1050000</v>
      </c>
      <c r="U105" s="42">
        <v>30</v>
      </c>
    </row>
    <row r="106" spans="1:21" s="36" customFormat="1" ht="15.45" x14ac:dyDescent="0.35">
      <c r="A106" s="19" t="s">
        <v>118</v>
      </c>
      <c r="B106" s="9">
        <v>45783</v>
      </c>
      <c r="C106" s="14" t="s">
        <v>1794</v>
      </c>
      <c r="D106" s="10"/>
      <c r="E106" s="9"/>
      <c r="F106" s="10" t="s">
        <v>217</v>
      </c>
      <c r="G106" s="10" t="s">
        <v>1795</v>
      </c>
      <c r="H106" s="10" t="s">
        <v>119</v>
      </c>
      <c r="I106" s="10" t="s">
        <v>120</v>
      </c>
      <c r="J106" s="10"/>
      <c r="K106" s="10" t="s">
        <v>135</v>
      </c>
      <c r="L106" s="12">
        <v>525</v>
      </c>
      <c r="M106" s="12">
        <v>8500</v>
      </c>
      <c r="N106" s="12"/>
      <c r="O106" s="11">
        <f>L106*M106</f>
        <v>4462500</v>
      </c>
      <c r="P106" s="11">
        <f t="shared" si="13"/>
        <v>4462500</v>
      </c>
      <c r="Q106" s="11">
        <v>0</v>
      </c>
      <c r="R106" s="11"/>
      <c r="S106" s="11"/>
      <c r="T106" s="11">
        <f>P106</f>
        <v>4462500</v>
      </c>
      <c r="U106" s="42"/>
    </row>
    <row r="107" spans="1:21" s="36" customFormat="1" ht="15.45" x14ac:dyDescent="0.35">
      <c r="A107" s="19" t="s">
        <v>218</v>
      </c>
      <c r="B107" s="9">
        <v>45786</v>
      </c>
      <c r="C107" s="14" t="s">
        <v>1850</v>
      </c>
      <c r="D107" s="10" t="s">
        <v>1467</v>
      </c>
      <c r="E107" s="9">
        <v>45764</v>
      </c>
      <c r="F107" s="10" t="s">
        <v>44</v>
      </c>
      <c r="G107" s="10" t="s">
        <v>41</v>
      </c>
      <c r="H107" s="10" t="s">
        <v>23</v>
      </c>
      <c r="I107" s="10" t="s">
        <v>890</v>
      </c>
      <c r="J107" s="50" t="s">
        <v>1979</v>
      </c>
      <c r="K107" s="10" t="s">
        <v>1</v>
      </c>
      <c r="L107" s="12">
        <f t="shared" ref="L107:L138" si="14">IF(LEFT(C107,2)="RP",U107*-1,U107)</f>
        <v>2500</v>
      </c>
      <c r="M107" s="12">
        <v>21870</v>
      </c>
      <c r="N107" s="12">
        <v>16823</v>
      </c>
      <c r="O107" s="11">
        <v>54675000</v>
      </c>
      <c r="P107" s="11">
        <f t="shared" si="13"/>
        <v>54675000</v>
      </c>
      <c r="Q107" s="73">
        <v>6014250</v>
      </c>
      <c r="R107" s="11"/>
      <c r="S107" s="11">
        <v>0</v>
      </c>
      <c r="T107" s="11">
        <f t="shared" ref="T107:T118" si="15">P107+Q107-S107</f>
        <v>60689250</v>
      </c>
      <c r="U107" s="42">
        <v>2500</v>
      </c>
    </row>
    <row r="108" spans="1:21" s="36" customFormat="1" ht="15.45" x14ac:dyDescent="0.35">
      <c r="A108" s="19" t="s">
        <v>593</v>
      </c>
      <c r="B108" s="9">
        <v>45796</v>
      </c>
      <c r="C108" s="14" t="s">
        <v>1851</v>
      </c>
      <c r="D108" s="10" t="s">
        <v>1852</v>
      </c>
      <c r="E108" s="9">
        <v>45791</v>
      </c>
      <c r="F108" s="10" t="s">
        <v>566</v>
      </c>
      <c r="G108" s="10" t="s">
        <v>567</v>
      </c>
      <c r="H108" s="10" t="s">
        <v>23</v>
      </c>
      <c r="I108" s="59" t="s">
        <v>885</v>
      </c>
      <c r="J108" s="50" t="s">
        <v>2118</v>
      </c>
      <c r="K108" s="10" t="s">
        <v>1</v>
      </c>
      <c r="L108" s="12">
        <f t="shared" si="14"/>
        <v>60</v>
      </c>
      <c r="M108" s="12">
        <v>69489</v>
      </c>
      <c r="N108" s="12">
        <v>16545</v>
      </c>
      <c r="O108" s="11">
        <v>4169340</v>
      </c>
      <c r="P108" s="11">
        <f t="shared" si="13"/>
        <v>4169340</v>
      </c>
      <c r="Q108" s="73">
        <v>458627.4</v>
      </c>
      <c r="R108" s="11"/>
      <c r="S108" s="11">
        <v>0</v>
      </c>
      <c r="T108" s="11">
        <f t="shared" si="15"/>
        <v>4627967.4000000004</v>
      </c>
      <c r="U108" s="42">
        <v>60</v>
      </c>
    </row>
    <row r="109" spans="1:21" s="36" customFormat="1" ht="15.45" x14ac:dyDescent="0.35">
      <c r="A109" s="19" t="s">
        <v>592</v>
      </c>
      <c r="B109" s="9">
        <v>45796</v>
      </c>
      <c r="C109" s="14" t="s">
        <v>1853</v>
      </c>
      <c r="D109" s="10" t="s">
        <v>1854</v>
      </c>
      <c r="E109" s="9">
        <v>45791</v>
      </c>
      <c r="F109" s="10" t="s">
        <v>585</v>
      </c>
      <c r="G109" s="10" t="s">
        <v>586</v>
      </c>
      <c r="H109" s="10" t="s">
        <v>23</v>
      </c>
      <c r="I109" s="59" t="s">
        <v>886</v>
      </c>
      <c r="J109" s="50" t="s">
        <v>2112</v>
      </c>
      <c r="K109" s="10" t="s">
        <v>1</v>
      </c>
      <c r="L109" s="12">
        <f t="shared" si="14"/>
        <v>400</v>
      </c>
      <c r="M109" s="12">
        <v>54648</v>
      </c>
      <c r="N109" s="12">
        <v>16560</v>
      </c>
      <c r="O109" s="11">
        <v>21859200</v>
      </c>
      <c r="P109" s="11">
        <f t="shared" si="13"/>
        <v>21859200</v>
      </c>
      <c r="Q109" s="73">
        <v>2404512</v>
      </c>
      <c r="R109" s="11"/>
      <c r="S109" s="11">
        <v>0</v>
      </c>
      <c r="T109" s="11">
        <f t="shared" si="15"/>
        <v>24263712</v>
      </c>
      <c r="U109" s="42">
        <v>400</v>
      </c>
    </row>
    <row r="110" spans="1:21" s="36" customFormat="1" ht="15.45" x14ac:dyDescent="0.35">
      <c r="A110" s="19" t="s">
        <v>817</v>
      </c>
      <c r="B110" s="9">
        <v>45796</v>
      </c>
      <c r="C110" s="14" t="s">
        <v>1855</v>
      </c>
      <c r="D110" s="10" t="s">
        <v>1856</v>
      </c>
      <c r="E110" s="9">
        <v>45769</v>
      </c>
      <c r="F110" s="10" t="s">
        <v>808</v>
      </c>
      <c r="G110" s="10" t="s">
        <v>1857</v>
      </c>
      <c r="H110" s="10" t="s">
        <v>26</v>
      </c>
      <c r="I110" s="10" t="s">
        <v>80</v>
      </c>
      <c r="J110" s="10"/>
      <c r="K110" s="10" t="s">
        <v>16</v>
      </c>
      <c r="L110" s="12">
        <f t="shared" si="14"/>
        <v>1</v>
      </c>
      <c r="M110" s="12">
        <v>3000000</v>
      </c>
      <c r="N110" s="12">
        <v>0</v>
      </c>
      <c r="O110" s="11">
        <v>3000000</v>
      </c>
      <c r="P110" s="11">
        <f t="shared" si="13"/>
        <v>3000000</v>
      </c>
      <c r="Q110" s="11">
        <v>0</v>
      </c>
      <c r="R110" s="11"/>
      <c r="S110" s="11">
        <v>0</v>
      </c>
      <c r="T110" s="11">
        <f t="shared" si="15"/>
        <v>3000000</v>
      </c>
      <c r="U110" s="42">
        <v>1</v>
      </c>
    </row>
    <row r="111" spans="1:21" s="36" customFormat="1" ht="15.45" x14ac:dyDescent="0.35">
      <c r="A111" s="19" t="s">
        <v>105</v>
      </c>
      <c r="B111" s="9">
        <v>45796</v>
      </c>
      <c r="C111" s="14" t="s">
        <v>1858</v>
      </c>
      <c r="D111" s="10" t="s">
        <v>1585</v>
      </c>
      <c r="E111" s="9">
        <v>45763</v>
      </c>
      <c r="F111" s="10" t="s">
        <v>85</v>
      </c>
      <c r="G111" s="10" t="s">
        <v>1586</v>
      </c>
      <c r="H111" s="10" t="s">
        <v>23</v>
      </c>
      <c r="I111" s="10" t="s">
        <v>886</v>
      </c>
      <c r="J111" s="50" t="s">
        <v>2114</v>
      </c>
      <c r="K111" s="10" t="s">
        <v>1</v>
      </c>
      <c r="L111" s="12">
        <f t="shared" si="14"/>
        <v>400</v>
      </c>
      <c r="M111" s="12">
        <v>52992.45</v>
      </c>
      <c r="N111" s="12">
        <v>16823</v>
      </c>
      <c r="O111" s="11">
        <v>21196980</v>
      </c>
      <c r="P111" s="11">
        <f t="shared" si="13"/>
        <v>21196980</v>
      </c>
      <c r="Q111" s="73">
        <v>2331667.7999999998</v>
      </c>
      <c r="R111" s="11"/>
      <c r="S111" s="11">
        <v>0</v>
      </c>
      <c r="T111" s="11">
        <f t="shared" si="15"/>
        <v>23528647.800000001</v>
      </c>
      <c r="U111" s="42">
        <v>400</v>
      </c>
    </row>
    <row r="112" spans="1:21" s="36" customFormat="1" ht="15.45" x14ac:dyDescent="0.35">
      <c r="A112" s="19" t="s">
        <v>105</v>
      </c>
      <c r="B112" s="9">
        <v>45796</v>
      </c>
      <c r="C112" s="14" t="s">
        <v>1859</v>
      </c>
      <c r="D112" s="10" t="s">
        <v>1698</v>
      </c>
      <c r="E112" s="9">
        <v>45777</v>
      </c>
      <c r="F112" s="10" t="s">
        <v>85</v>
      </c>
      <c r="G112" s="10" t="s">
        <v>91</v>
      </c>
      <c r="H112" s="10" t="s">
        <v>23</v>
      </c>
      <c r="I112" s="10" t="s">
        <v>886</v>
      </c>
      <c r="J112" s="50" t="s">
        <v>2115</v>
      </c>
      <c r="K112" s="10" t="s">
        <v>1</v>
      </c>
      <c r="L112" s="12">
        <f t="shared" si="14"/>
        <v>400</v>
      </c>
      <c r="M112" s="12">
        <v>80256</v>
      </c>
      <c r="N112" s="12">
        <v>16720</v>
      </c>
      <c r="O112" s="11">
        <v>32102400</v>
      </c>
      <c r="P112" s="11">
        <f t="shared" si="13"/>
        <v>32102400</v>
      </c>
      <c r="Q112" s="73">
        <v>3531264</v>
      </c>
      <c r="R112" s="11"/>
      <c r="S112" s="11">
        <v>0</v>
      </c>
      <c r="T112" s="11">
        <f t="shared" si="15"/>
        <v>35633664</v>
      </c>
      <c r="U112" s="42">
        <v>400</v>
      </c>
    </row>
    <row r="113" spans="1:21" s="36" customFormat="1" ht="15.45" x14ac:dyDescent="0.35">
      <c r="A113" s="19" t="s">
        <v>225</v>
      </c>
      <c r="B113" s="9">
        <v>45796</v>
      </c>
      <c r="C113" s="14" t="s">
        <v>1860</v>
      </c>
      <c r="D113" s="10" t="s">
        <v>1663</v>
      </c>
      <c r="E113" s="9">
        <v>45773</v>
      </c>
      <c r="F113" s="10" t="s">
        <v>221</v>
      </c>
      <c r="G113" s="10" t="s">
        <v>222</v>
      </c>
      <c r="H113" s="10" t="s">
        <v>23</v>
      </c>
      <c r="I113" s="10" t="s">
        <v>885</v>
      </c>
      <c r="J113" s="50" t="s">
        <v>1968</v>
      </c>
      <c r="K113" s="10" t="s">
        <v>1</v>
      </c>
      <c r="L113" s="12">
        <f t="shared" si="14"/>
        <v>200</v>
      </c>
      <c r="M113" s="12">
        <v>9419.2000000000007</v>
      </c>
      <c r="N113" s="12">
        <v>16820</v>
      </c>
      <c r="O113" s="11">
        <v>1883840</v>
      </c>
      <c r="P113" s="11">
        <f t="shared" si="13"/>
        <v>1883840</v>
      </c>
      <c r="Q113" s="73">
        <v>207222.39999999999</v>
      </c>
      <c r="R113" s="11"/>
      <c r="S113" s="11">
        <v>0</v>
      </c>
      <c r="T113" s="11">
        <f t="shared" si="15"/>
        <v>2091062.4</v>
      </c>
      <c r="U113" s="42">
        <v>200</v>
      </c>
    </row>
    <row r="114" spans="1:21" s="36" customFormat="1" ht="15.45" x14ac:dyDescent="0.35">
      <c r="A114" s="19" t="s">
        <v>107</v>
      </c>
      <c r="B114" s="9">
        <v>45796</v>
      </c>
      <c r="C114" s="14" t="s">
        <v>1861</v>
      </c>
      <c r="D114" s="10" t="s">
        <v>1811</v>
      </c>
      <c r="E114" s="9">
        <v>45777</v>
      </c>
      <c r="F114" s="10" t="s">
        <v>60</v>
      </c>
      <c r="G114" s="10" t="s">
        <v>82</v>
      </c>
      <c r="H114" s="10" t="s">
        <v>24</v>
      </c>
      <c r="I114" s="10" t="s">
        <v>61</v>
      </c>
      <c r="J114" s="50" t="s">
        <v>1971</v>
      </c>
      <c r="K114" s="10" t="s">
        <v>1</v>
      </c>
      <c r="L114" s="12">
        <f t="shared" si="14"/>
        <v>202.85</v>
      </c>
      <c r="M114" s="12">
        <v>25000</v>
      </c>
      <c r="N114" s="12">
        <v>0</v>
      </c>
      <c r="O114" s="11">
        <v>5071250</v>
      </c>
      <c r="P114" s="11">
        <f t="shared" si="13"/>
        <v>5071250</v>
      </c>
      <c r="Q114" s="73">
        <v>557837.5</v>
      </c>
      <c r="R114" s="11"/>
      <c r="S114" s="11">
        <v>0</v>
      </c>
      <c r="T114" s="11">
        <f t="shared" si="15"/>
        <v>5629087.5</v>
      </c>
      <c r="U114" s="42">
        <v>202.85</v>
      </c>
    </row>
    <row r="115" spans="1:21" s="36" customFormat="1" ht="15.45" x14ac:dyDescent="0.35">
      <c r="A115" s="19" t="s">
        <v>114</v>
      </c>
      <c r="B115" s="9">
        <v>45797</v>
      </c>
      <c r="C115" s="14" t="s">
        <v>1862</v>
      </c>
      <c r="D115" s="10" t="s">
        <v>1863</v>
      </c>
      <c r="E115" s="9">
        <v>45793</v>
      </c>
      <c r="F115" s="10" t="s">
        <v>71</v>
      </c>
      <c r="G115" s="10" t="s">
        <v>76</v>
      </c>
      <c r="H115" s="10" t="s">
        <v>23</v>
      </c>
      <c r="I115" s="59" t="s">
        <v>978</v>
      </c>
      <c r="J115" s="50" t="s">
        <v>2249</v>
      </c>
      <c r="K115" s="10" t="s">
        <v>1</v>
      </c>
      <c r="L115" s="12">
        <f t="shared" si="14"/>
        <v>500</v>
      </c>
      <c r="M115" s="12">
        <v>30344</v>
      </c>
      <c r="N115" s="12">
        <v>16402</v>
      </c>
      <c r="O115" s="11">
        <v>15172000</v>
      </c>
      <c r="P115" s="11">
        <f t="shared" si="13"/>
        <v>15172000</v>
      </c>
      <c r="Q115" s="73">
        <v>1668920</v>
      </c>
      <c r="R115" s="11"/>
      <c r="S115" s="11">
        <v>0</v>
      </c>
      <c r="T115" s="11">
        <f t="shared" si="15"/>
        <v>16840920</v>
      </c>
      <c r="U115" s="42">
        <v>500</v>
      </c>
    </row>
    <row r="116" spans="1:21" s="36" customFormat="1" ht="15.45" x14ac:dyDescent="0.35">
      <c r="A116" s="19" t="s">
        <v>99</v>
      </c>
      <c r="B116" s="9">
        <v>45797</v>
      </c>
      <c r="C116" s="14" t="s">
        <v>1864</v>
      </c>
      <c r="D116" s="10" t="s">
        <v>1865</v>
      </c>
      <c r="E116" s="9">
        <v>45793</v>
      </c>
      <c r="F116" s="10" t="s">
        <v>64</v>
      </c>
      <c r="G116" s="10" t="s">
        <v>238</v>
      </c>
      <c r="H116" s="10" t="s">
        <v>23</v>
      </c>
      <c r="I116" s="10" t="s">
        <v>887</v>
      </c>
      <c r="J116" s="50" t="s">
        <v>1982</v>
      </c>
      <c r="K116" s="10" t="s">
        <v>1</v>
      </c>
      <c r="L116" s="12">
        <f t="shared" si="14"/>
        <v>300</v>
      </c>
      <c r="M116" s="12">
        <v>33000</v>
      </c>
      <c r="N116" s="12">
        <v>0</v>
      </c>
      <c r="O116" s="11">
        <v>9900000</v>
      </c>
      <c r="P116" s="11">
        <f t="shared" si="13"/>
        <v>9900000</v>
      </c>
      <c r="Q116" s="73">
        <v>1089000</v>
      </c>
      <c r="R116" s="11"/>
      <c r="S116" s="11">
        <v>0</v>
      </c>
      <c r="T116" s="11">
        <f t="shared" si="15"/>
        <v>10989000</v>
      </c>
      <c r="U116" s="42">
        <v>300</v>
      </c>
    </row>
    <row r="117" spans="1:21" s="36" customFormat="1" ht="15.45" x14ac:dyDescent="0.35">
      <c r="A117" s="19" t="s">
        <v>99</v>
      </c>
      <c r="B117" s="9">
        <v>45797</v>
      </c>
      <c r="C117" s="14" t="s">
        <v>1864</v>
      </c>
      <c r="D117" s="10" t="s">
        <v>1865</v>
      </c>
      <c r="E117" s="9">
        <v>45793</v>
      </c>
      <c r="F117" s="10" t="s">
        <v>64</v>
      </c>
      <c r="G117" s="10" t="s">
        <v>237</v>
      </c>
      <c r="H117" s="10" t="s">
        <v>23</v>
      </c>
      <c r="I117" s="10" t="s">
        <v>887</v>
      </c>
      <c r="J117" s="50" t="s">
        <v>1982</v>
      </c>
      <c r="K117" s="10" t="s">
        <v>1</v>
      </c>
      <c r="L117" s="12">
        <f t="shared" si="14"/>
        <v>300</v>
      </c>
      <c r="M117" s="12">
        <v>47500</v>
      </c>
      <c r="N117" s="12">
        <v>0</v>
      </c>
      <c r="O117" s="11">
        <v>14250000</v>
      </c>
      <c r="P117" s="11">
        <f t="shared" si="13"/>
        <v>14250000</v>
      </c>
      <c r="Q117" s="73">
        <v>1567500</v>
      </c>
      <c r="R117" s="11"/>
      <c r="S117" s="11">
        <v>0</v>
      </c>
      <c r="T117" s="11">
        <f t="shared" si="15"/>
        <v>15817500</v>
      </c>
      <c r="U117" s="42">
        <v>300</v>
      </c>
    </row>
    <row r="118" spans="1:21" s="36" customFormat="1" ht="15.45" x14ac:dyDescent="0.35">
      <c r="A118" s="19" t="s">
        <v>109</v>
      </c>
      <c r="B118" s="9">
        <v>45797</v>
      </c>
      <c r="C118" s="14" t="s">
        <v>1866</v>
      </c>
      <c r="D118" s="10" t="s">
        <v>1648</v>
      </c>
      <c r="E118" s="9">
        <v>45777</v>
      </c>
      <c r="F118" s="10" t="s">
        <v>54</v>
      </c>
      <c r="G118" s="10" t="s">
        <v>49</v>
      </c>
      <c r="H118" s="10" t="s">
        <v>934</v>
      </c>
      <c r="I118" s="10" t="s">
        <v>935</v>
      </c>
      <c r="J118" s="50" t="s">
        <v>1974</v>
      </c>
      <c r="K118" s="10" t="s">
        <v>15</v>
      </c>
      <c r="L118" s="12">
        <f t="shared" si="14"/>
        <v>144</v>
      </c>
      <c r="M118" s="12">
        <v>6454</v>
      </c>
      <c r="N118" s="12">
        <v>0</v>
      </c>
      <c r="O118" s="11">
        <v>929376</v>
      </c>
      <c r="P118" s="11">
        <f t="shared" si="13"/>
        <v>929376</v>
      </c>
      <c r="Q118" s="73">
        <v>102231.36</v>
      </c>
      <c r="R118" s="11"/>
      <c r="S118" s="11">
        <v>0</v>
      </c>
      <c r="T118" s="11">
        <f t="shared" si="15"/>
        <v>1031607.36</v>
      </c>
      <c r="U118" s="42">
        <v>144</v>
      </c>
    </row>
    <row r="119" spans="1:21" s="36" customFormat="1" ht="15.45" x14ac:dyDescent="0.35">
      <c r="A119" s="19" t="s">
        <v>98</v>
      </c>
      <c r="B119" s="9">
        <v>45797</v>
      </c>
      <c r="C119" s="14" t="s">
        <v>1867</v>
      </c>
      <c r="D119" s="10" t="s">
        <v>1646</v>
      </c>
      <c r="E119" s="9">
        <v>45778</v>
      </c>
      <c r="F119" s="10" t="s">
        <v>84</v>
      </c>
      <c r="G119" s="10" t="s">
        <v>175</v>
      </c>
      <c r="H119" s="10" t="s">
        <v>25</v>
      </c>
      <c r="I119" s="10" t="s">
        <v>79</v>
      </c>
      <c r="J119" s="50" t="s">
        <v>2045</v>
      </c>
      <c r="K119" s="10" t="s">
        <v>1</v>
      </c>
      <c r="L119" s="12">
        <f t="shared" si="14"/>
        <v>29100</v>
      </c>
      <c r="M119" s="12">
        <v>1250</v>
      </c>
      <c r="N119" s="12">
        <v>0</v>
      </c>
      <c r="O119" s="11">
        <v>36375000</v>
      </c>
      <c r="P119" s="11">
        <f t="shared" si="13"/>
        <v>36375000</v>
      </c>
      <c r="Q119" s="73">
        <v>4001250</v>
      </c>
      <c r="R119" s="11">
        <f>P119*1.5%</f>
        <v>545625</v>
      </c>
      <c r="S119" s="11">
        <v>0</v>
      </c>
      <c r="T119" s="11">
        <f>P119+Q119-S119-R119</f>
        <v>39830625</v>
      </c>
      <c r="U119" s="42">
        <v>29100</v>
      </c>
    </row>
    <row r="120" spans="1:21" s="36" customFormat="1" ht="15.45" x14ac:dyDescent="0.35">
      <c r="A120" s="19" t="s">
        <v>98</v>
      </c>
      <c r="B120" s="9">
        <v>45797</v>
      </c>
      <c r="C120" s="14" t="s">
        <v>1868</v>
      </c>
      <c r="D120" s="10" t="s">
        <v>1869</v>
      </c>
      <c r="E120" s="9">
        <v>45797</v>
      </c>
      <c r="F120" s="10" t="s">
        <v>84</v>
      </c>
      <c r="G120" s="10" t="s">
        <v>89</v>
      </c>
      <c r="H120" s="10" t="s">
        <v>25</v>
      </c>
      <c r="I120" s="10" t="s">
        <v>79</v>
      </c>
      <c r="J120" s="50" t="s">
        <v>2049</v>
      </c>
      <c r="K120" s="10" t="s">
        <v>1</v>
      </c>
      <c r="L120" s="12">
        <f t="shared" si="14"/>
        <v>32680</v>
      </c>
      <c r="M120" s="12">
        <v>1535</v>
      </c>
      <c r="N120" s="12">
        <v>0</v>
      </c>
      <c r="O120" s="11">
        <v>50163800</v>
      </c>
      <c r="P120" s="11">
        <f t="shared" si="13"/>
        <v>50163800</v>
      </c>
      <c r="Q120" s="73">
        <v>5518018</v>
      </c>
      <c r="R120" s="11">
        <f>P120*1.5%</f>
        <v>752457</v>
      </c>
      <c r="S120" s="11">
        <v>0</v>
      </c>
      <c r="T120" s="11">
        <f>P120+Q120-S120-R120</f>
        <v>54929361</v>
      </c>
      <c r="U120" s="42">
        <v>32680</v>
      </c>
    </row>
    <row r="121" spans="1:21" s="36" customFormat="1" ht="15.45" x14ac:dyDescent="0.35">
      <c r="A121" s="19" t="s">
        <v>149</v>
      </c>
      <c r="B121" s="9">
        <v>45798</v>
      </c>
      <c r="C121" s="14" t="s">
        <v>1870</v>
      </c>
      <c r="D121" s="10" t="s">
        <v>1871</v>
      </c>
      <c r="E121" s="9">
        <v>45796</v>
      </c>
      <c r="F121" s="10" t="s">
        <v>143</v>
      </c>
      <c r="G121" s="10" t="s">
        <v>1872</v>
      </c>
      <c r="H121" s="10" t="s">
        <v>24</v>
      </c>
      <c r="I121" s="10" t="s">
        <v>61</v>
      </c>
      <c r="J121" s="50" t="s">
        <v>1985</v>
      </c>
      <c r="K121" s="10" t="s">
        <v>6</v>
      </c>
      <c r="L121" s="12">
        <f t="shared" si="14"/>
        <v>10</v>
      </c>
      <c r="M121" s="12">
        <v>10000</v>
      </c>
      <c r="N121" s="12">
        <v>0</v>
      </c>
      <c r="O121" s="11">
        <v>100000</v>
      </c>
      <c r="P121" s="11">
        <f t="shared" ref="P121:P152" si="16">O121</f>
        <v>100000</v>
      </c>
      <c r="Q121" s="73">
        <v>11000</v>
      </c>
      <c r="R121" s="11"/>
      <c r="S121" s="11">
        <v>0</v>
      </c>
      <c r="T121" s="11">
        <f t="shared" ref="T121:T150" si="17">P121+Q121-S121</f>
        <v>111000</v>
      </c>
      <c r="U121" s="42">
        <v>10</v>
      </c>
    </row>
    <row r="122" spans="1:21" s="36" customFormat="1" ht="15.45" x14ac:dyDescent="0.35">
      <c r="A122" s="19" t="s">
        <v>134</v>
      </c>
      <c r="B122" s="9">
        <v>45798</v>
      </c>
      <c r="C122" s="14" t="s">
        <v>1873</v>
      </c>
      <c r="D122" s="10" t="s">
        <v>1874</v>
      </c>
      <c r="E122" s="9">
        <v>45793</v>
      </c>
      <c r="F122" s="77" t="s">
        <v>127</v>
      </c>
      <c r="G122" s="10" t="s">
        <v>128</v>
      </c>
      <c r="H122" s="10" t="s">
        <v>23</v>
      </c>
      <c r="I122" s="10" t="s">
        <v>891</v>
      </c>
      <c r="J122" s="50" t="s">
        <v>2121</v>
      </c>
      <c r="K122" s="10" t="s">
        <v>1</v>
      </c>
      <c r="L122" s="12">
        <f t="shared" si="14"/>
        <v>120</v>
      </c>
      <c r="M122" s="12">
        <v>12302</v>
      </c>
      <c r="N122" s="12">
        <v>16402</v>
      </c>
      <c r="O122" s="11">
        <v>1476240</v>
      </c>
      <c r="P122" s="11">
        <f t="shared" si="16"/>
        <v>1476240</v>
      </c>
      <c r="Q122" s="11">
        <v>162386.4</v>
      </c>
      <c r="R122" s="11"/>
      <c r="S122" s="11">
        <v>0</v>
      </c>
      <c r="T122" s="11">
        <f t="shared" si="17"/>
        <v>1638626.4</v>
      </c>
      <c r="U122" s="42">
        <v>120</v>
      </c>
    </row>
    <row r="123" spans="1:21" s="36" customFormat="1" ht="15.45" x14ac:dyDescent="0.35">
      <c r="A123" s="19" t="s">
        <v>112</v>
      </c>
      <c r="B123" s="9">
        <v>45798</v>
      </c>
      <c r="C123" s="14" t="s">
        <v>1875</v>
      </c>
      <c r="D123" s="10" t="s">
        <v>1876</v>
      </c>
      <c r="E123" s="9">
        <v>45797</v>
      </c>
      <c r="F123" s="10" t="s">
        <v>50</v>
      </c>
      <c r="G123" s="10" t="s">
        <v>1877</v>
      </c>
      <c r="H123" s="10" t="s">
        <v>23</v>
      </c>
      <c r="I123" s="10" t="s">
        <v>885</v>
      </c>
      <c r="J123" s="50" t="s">
        <v>2257</v>
      </c>
      <c r="K123" s="10" t="s">
        <v>1</v>
      </c>
      <c r="L123" s="12">
        <f t="shared" si="14"/>
        <v>200</v>
      </c>
      <c r="M123" s="12">
        <v>29502</v>
      </c>
      <c r="N123" s="12">
        <v>16390</v>
      </c>
      <c r="O123" s="11">
        <v>5900400</v>
      </c>
      <c r="P123" s="11">
        <f t="shared" si="16"/>
        <v>5900400</v>
      </c>
      <c r="Q123" s="73">
        <v>649044</v>
      </c>
      <c r="R123" s="11"/>
      <c r="S123" s="11">
        <v>0</v>
      </c>
      <c r="T123" s="11">
        <f t="shared" si="17"/>
        <v>6549444</v>
      </c>
      <c r="U123" s="42">
        <v>200</v>
      </c>
    </row>
    <row r="124" spans="1:21" s="36" customFormat="1" ht="15.45" x14ac:dyDescent="0.35">
      <c r="A124" s="19" t="s">
        <v>114</v>
      </c>
      <c r="B124" s="9">
        <v>45798</v>
      </c>
      <c r="C124" s="14" t="s">
        <v>1878</v>
      </c>
      <c r="D124" s="10" t="s">
        <v>1863</v>
      </c>
      <c r="E124" s="9">
        <v>45793</v>
      </c>
      <c r="F124" s="10" t="s">
        <v>71</v>
      </c>
      <c r="G124" s="10" t="s">
        <v>76</v>
      </c>
      <c r="H124" s="10" t="s">
        <v>23</v>
      </c>
      <c r="I124" s="10" t="s">
        <v>978</v>
      </c>
      <c r="J124" s="50" t="s">
        <v>2250</v>
      </c>
      <c r="K124" s="10" t="s">
        <v>1</v>
      </c>
      <c r="L124" s="12">
        <f t="shared" si="14"/>
        <v>500</v>
      </c>
      <c r="M124" s="12">
        <v>30344</v>
      </c>
      <c r="N124" s="12">
        <v>16402</v>
      </c>
      <c r="O124" s="11">
        <v>15172000</v>
      </c>
      <c r="P124" s="11">
        <f t="shared" si="16"/>
        <v>15172000</v>
      </c>
      <c r="Q124" s="73">
        <v>1668920</v>
      </c>
      <c r="R124" s="11"/>
      <c r="S124" s="11">
        <v>0</v>
      </c>
      <c r="T124" s="11">
        <f t="shared" si="17"/>
        <v>16840920</v>
      </c>
      <c r="U124" s="42">
        <v>500</v>
      </c>
    </row>
    <row r="125" spans="1:21" s="36" customFormat="1" ht="15.45" x14ac:dyDescent="0.35">
      <c r="A125" s="19" t="s">
        <v>102</v>
      </c>
      <c r="B125" s="9">
        <v>45798</v>
      </c>
      <c r="C125" s="14" t="s">
        <v>1879</v>
      </c>
      <c r="D125" s="10" t="s">
        <v>1702</v>
      </c>
      <c r="E125" s="9">
        <v>45777</v>
      </c>
      <c r="F125" s="10" t="s">
        <v>65</v>
      </c>
      <c r="G125" s="10" t="s">
        <v>48</v>
      </c>
      <c r="H125" s="10" t="s">
        <v>934</v>
      </c>
      <c r="I125" s="10" t="s">
        <v>935</v>
      </c>
      <c r="J125" s="50" t="s">
        <v>1977</v>
      </c>
      <c r="K125" s="10" t="s">
        <v>15</v>
      </c>
      <c r="L125" s="12">
        <f t="shared" si="14"/>
        <v>288</v>
      </c>
      <c r="M125" s="12">
        <v>8200</v>
      </c>
      <c r="N125" s="12">
        <v>0</v>
      </c>
      <c r="O125" s="11">
        <v>2361600</v>
      </c>
      <c r="P125" s="11">
        <f t="shared" si="16"/>
        <v>2361600</v>
      </c>
      <c r="Q125" s="73">
        <v>259776</v>
      </c>
      <c r="R125" s="11"/>
      <c r="S125" s="11">
        <v>0</v>
      </c>
      <c r="T125" s="11">
        <f t="shared" si="17"/>
        <v>2621376</v>
      </c>
      <c r="U125" s="42">
        <v>288</v>
      </c>
    </row>
    <row r="126" spans="1:21" s="36" customFormat="1" ht="15.45" x14ac:dyDescent="0.35">
      <c r="A126" s="19" t="s">
        <v>149</v>
      </c>
      <c r="B126" s="9">
        <v>45799</v>
      </c>
      <c r="C126" s="14" t="s">
        <v>1880</v>
      </c>
      <c r="D126" s="10" t="s">
        <v>1871</v>
      </c>
      <c r="E126" s="9">
        <v>45796</v>
      </c>
      <c r="F126" s="10" t="s">
        <v>143</v>
      </c>
      <c r="G126" s="10" t="s">
        <v>763</v>
      </c>
      <c r="H126" s="10" t="s">
        <v>24</v>
      </c>
      <c r="I126" s="10" t="s">
        <v>61</v>
      </c>
      <c r="J126" s="50" t="s">
        <v>1986</v>
      </c>
      <c r="K126" s="10" t="s">
        <v>10</v>
      </c>
      <c r="L126" s="12">
        <f t="shared" si="14"/>
        <v>20</v>
      </c>
      <c r="M126" s="12">
        <v>24700</v>
      </c>
      <c r="N126" s="12">
        <v>0</v>
      </c>
      <c r="O126" s="11">
        <v>494000</v>
      </c>
      <c r="P126" s="11">
        <f t="shared" si="16"/>
        <v>494000</v>
      </c>
      <c r="Q126" s="73">
        <v>54340</v>
      </c>
      <c r="R126" s="11"/>
      <c r="S126" s="11">
        <v>0</v>
      </c>
      <c r="T126" s="11">
        <f t="shared" si="17"/>
        <v>548340</v>
      </c>
      <c r="U126" s="42">
        <v>20</v>
      </c>
    </row>
    <row r="127" spans="1:21" s="36" customFormat="1" ht="15.45" x14ac:dyDescent="0.35">
      <c r="A127" s="19" t="s">
        <v>97</v>
      </c>
      <c r="B127" s="9">
        <v>45799</v>
      </c>
      <c r="C127" s="14" t="s">
        <v>1881</v>
      </c>
      <c r="D127" s="10" t="s">
        <v>1882</v>
      </c>
      <c r="E127" s="9">
        <v>45797</v>
      </c>
      <c r="F127" s="10" t="s">
        <v>63</v>
      </c>
      <c r="G127" s="10" t="s">
        <v>83</v>
      </c>
      <c r="H127" s="10" t="s">
        <v>24</v>
      </c>
      <c r="I127" s="10" t="s">
        <v>888</v>
      </c>
      <c r="J127" s="50" t="s">
        <v>1994</v>
      </c>
      <c r="K127" s="10" t="s">
        <v>5</v>
      </c>
      <c r="L127" s="12">
        <f t="shared" si="14"/>
        <v>1000</v>
      </c>
      <c r="M127" s="12">
        <v>27000</v>
      </c>
      <c r="N127" s="12">
        <v>0</v>
      </c>
      <c r="O127" s="11">
        <v>27000000</v>
      </c>
      <c r="P127" s="11">
        <f t="shared" si="16"/>
        <v>27000000</v>
      </c>
      <c r="Q127" s="73">
        <v>2970000</v>
      </c>
      <c r="R127" s="11"/>
      <c r="S127" s="11">
        <v>0</v>
      </c>
      <c r="T127" s="11">
        <f t="shared" si="17"/>
        <v>29970000</v>
      </c>
      <c r="U127" s="42">
        <v>1000</v>
      </c>
    </row>
    <row r="128" spans="1:21" s="36" customFormat="1" ht="15.45" x14ac:dyDescent="0.35">
      <c r="A128" s="19" t="s">
        <v>225</v>
      </c>
      <c r="B128" s="9">
        <v>45799</v>
      </c>
      <c r="C128" s="14" t="s">
        <v>1883</v>
      </c>
      <c r="D128" s="10" t="s">
        <v>1884</v>
      </c>
      <c r="E128" s="9">
        <v>45797</v>
      </c>
      <c r="F128" s="10" t="s">
        <v>221</v>
      </c>
      <c r="G128" s="10" t="s">
        <v>222</v>
      </c>
      <c r="H128" s="10" t="s">
        <v>23</v>
      </c>
      <c r="I128" s="10" t="s">
        <v>885</v>
      </c>
      <c r="J128" s="50" t="s">
        <v>1989</v>
      </c>
      <c r="K128" s="10" t="s">
        <v>1</v>
      </c>
      <c r="L128" s="12">
        <f t="shared" si="14"/>
        <v>400</v>
      </c>
      <c r="M128" s="12">
        <v>9178</v>
      </c>
      <c r="N128" s="12">
        <v>16390</v>
      </c>
      <c r="O128" s="11">
        <v>3671200</v>
      </c>
      <c r="P128" s="11">
        <f t="shared" si="16"/>
        <v>3671200</v>
      </c>
      <c r="Q128" s="73">
        <v>403832</v>
      </c>
      <c r="R128" s="11"/>
      <c r="S128" s="11">
        <v>0</v>
      </c>
      <c r="T128" s="11">
        <f t="shared" si="17"/>
        <v>4075032</v>
      </c>
      <c r="U128" s="42">
        <v>400</v>
      </c>
    </row>
    <row r="129" spans="1:21" s="36" customFormat="1" ht="15.45" x14ac:dyDescent="0.35">
      <c r="A129" s="19" t="s">
        <v>103</v>
      </c>
      <c r="B129" s="9">
        <v>45799</v>
      </c>
      <c r="C129" s="14" t="s">
        <v>1885</v>
      </c>
      <c r="D129" s="10" t="s">
        <v>1886</v>
      </c>
      <c r="E129" s="9">
        <v>45797</v>
      </c>
      <c r="F129" s="10" t="s">
        <v>70</v>
      </c>
      <c r="G129" s="10" t="s">
        <v>46</v>
      </c>
      <c r="H129" s="10" t="s">
        <v>23</v>
      </c>
      <c r="I129" s="10" t="s">
        <v>889</v>
      </c>
      <c r="J129" s="50" t="s">
        <v>1990</v>
      </c>
      <c r="K129" s="10" t="s">
        <v>1</v>
      </c>
      <c r="L129" s="12">
        <f t="shared" si="14"/>
        <v>240</v>
      </c>
      <c r="M129" s="12">
        <v>24000</v>
      </c>
      <c r="N129" s="12">
        <v>0</v>
      </c>
      <c r="O129" s="11">
        <v>5760000</v>
      </c>
      <c r="P129" s="11">
        <f t="shared" si="16"/>
        <v>5760000</v>
      </c>
      <c r="Q129" s="73">
        <v>633600</v>
      </c>
      <c r="R129" s="11"/>
      <c r="S129" s="11">
        <v>0</v>
      </c>
      <c r="T129" s="11">
        <f t="shared" si="17"/>
        <v>6393600</v>
      </c>
      <c r="U129" s="42">
        <v>240</v>
      </c>
    </row>
    <row r="130" spans="1:21" s="36" customFormat="1" ht="15.45" x14ac:dyDescent="0.35">
      <c r="A130" s="19" t="s">
        <v>103</v>
      </c>
      <c r="B130" s="9">
        <v>45799</v>
      </c>
      <c r="C130" s="14" t="s">
        <v>1885</v>
      </c>
      <c r="D130" s="10" t="s">
        <v>1886</v>
      </c>
      <c r="E130" s="9">
        <v>45797</v>
      </c>
      <c r="F130" s="10" t="s">
        <v>70</v>
      </c>
      <c r="G130" s="10" t="s">
        <v>47</v>
      </c>
      <c r="H130" s="10" t="s">
        <v>23</v>
      </c>
      <c r="I130" s="10" t="s">
        <v>889</v>
      </c>
      <c r="J130" s="50" t="s">
        <v>1990</v>
      </c>
      <c r="K130" s="10" t="s">
        <v>1</v>
      </c>
      <c r="L130" s="12">
        <f t="shared" si="14"/>
        <v>240</v>
      </c>
      <c r="M130" s="12">
        <v>23000</v>
      </c>
      <c r="N130" s="12">
        <v>0</v>
      </c>
      <c r="O130" s="11">
        <v>5520000</v>
      </c>
      <c r="P130" s="11">
        <f t="shared" si="16"/>
        <v>5520000</v>
      </c>
      <c r="Q130" s="73">
        <v>607200</v>
      </c>
      <c r="R130" s="11"/>
      <c r="S130" s="11">
        <v>0</v>
      </c>
      <c r="T130" s="11">
        <f t="shared" si="17"/>
        <v>6127200</v>
      </c>
      <c r="U130" s="42">
        <v>240</v>
      </c>
    </row>
    <row r="131" spans="1:21" s="36" customFormat="1" ht="15.45" x14ac:dyDescent="0.35">
      <c r="A131" s="19" t="s">
        <v>149</v>
      </c>
      <c r="B131" s="9">
        <v>45799</v>
      </c>
      <c r="C131" s="14" t="s">
        <v>1887</v>
      </c>
      <c r="D131" s="10" t="s">
        <v>1888</v>
      </c>
      <c r="E131" s="9">
        <v>45797</v>
      </c>
      <c r="F131" s="10" t="s">
        <v>143</v>
      </c>
      <c r="G131" s="10" t="s">
        <v>1889</v>
      </c>
      <c r="H131" s="10" t="s">
        <v>24</v>
      </c>
      <c r="I131" s="10" t="s">
        <v>61</v>
      </c>
      <c r="J131" s="50" t="s">
        <v>1987</v>
      </c>
      <c r="K131" s="10" t="s">
        <v>6</v>
      </c>
      <c r="L131" s="12">
        <f t="shared" si="14"/>
        <v>5</v>
      </c>
      <c r="M131" s="12">
        <v>76950</v>
      </c>
      <c r="N131" s="12">
        <v>0</v>
      </c>
      <c r="O131" s="11">
        <v>384750</v>
      </c>
      <c r="P131" s="11">
        <f t="shared" si="16"/>
        <v>384750</v>
      </c>
      <c r="Q131" s="73">
        <v>42322.5</v>
      </c>
      <c r="R131" s="11"/>
      <c r="S131" s="11">
        <v>0</v>
      </c>
      <c r="T131" s="11">
        <f t="shared" si="17"/>
        <v>427072.5</v>
      </c>
      <c r="U131" s="42">
        <v>5</v>
      </c>
    </row>
    <row r="132" spans="1:21" s="36" customFormat="1" ht="15.45" x14ac:dyDescent="0.35">
      <c r="A132" s="19" t="s">
        <v>149</v>
      </c>
      <c r="B132" s="9">
        <v>45799</v>
      </c>
      <c r="C132" s="14" t="s">
        <v>1887</v>
      </c>
      <c r="D132" s="10" t="s">
        <v>1888</v>
      </c>
      <c r="E132" s="9">
        <v>45797</v>
      </c>
      <c r="F132" s="10" t="s">
        <v>143</v>
      </c>
      <c r="G132" s="10" t="s">
        <v>763</v>
      </c>
      <c r="H132" s="10" t="s">
        <v>24</v>
      </c>
      <c r="I132" s="10" t="s">
        <v>61</v>
      </c>
      <c r="J132" s="50" t="s">
        <v>1987</v>
      </c>
      <c r="K132" s="10" t="s">
        <v>10</v>
      </c>
      <c r="L132" s="12">
        <f t="shared" si="14"/>
        <v>20</v>
      </c>
      <c r="M132" s="12">
        <v>24700</v>
      </c>
      <c r="N132" s="12">
        <v>0</v>
      </c>
      <c r="O132" s="11">
        <v>494000</v>
      </c>
      <c r="P132" s="11">
        <f t="shared" si="16"/>
        <v>494000</v>
      </c>
      <c r="Q132" s="73">
        <v>54340</v>
      </c>
      <c r="R132" s="11"/>
      <c r="S132" s="11">
        <v>0</v>
      </c>
      <c r="T132" s="11">
        <f t="shared" si="17"/>
        <v>548340</v>
      </c>
      <c r="U132" s="42">
        <v>20</v>
      </c>
    </row>
    <row r="133" spans="1:21" s="36" customFormat="1" ht="15.45" x14ac:dyDescent="0.35">
      <c r="A133" s="19" t="s">
        <v>149</v>
      </c>
      <c r="B133" s="9">
        <v>45799</v>
      </c>
      <c r="C133" s="14" t="s">
        <v>1887</v>
      </c>
      <c r="D133" s="10" t="s">
        <v>1888</v>
      </c>
      <c r="E133" s="9">
        <v>45797</v>
      </c>
      <c r="F133" s="10" t="s">
        <v>143</v>
      </c>
      <c r="G133" s="10" t="s">
        <v>1890</v>
      </c>
      <c r="H133" s="10" t="s">
        <v>24</v>
      </c>
      <c r="I133" s="10" t="s">
        <v>61</v>
      </c>
      <c r="J133" s="50" t="s">
        <v>1987</v>
      </c>
      <c r="K133" s="10" t="s">
        <v>10</v>
      </c>
      <c r="L133" s="12">
        <f t="shared" si="14"/>
        <v>5</v>
      </c>
      <c r="M133" s="12">
        <v>50000</v>
      </c>
      <c r="N133" s="12">
        <v>0</v>
      </c>
      <c r="O133" s="11">
        <v>250000</v>
      </c>
      <c r="P133" s="11">
        <f t="shared" si="16"/>
        <v>250000</v>
      </c>
      <c r="Q133" s="73">
        <v>27500</v>
      </c>
      <c r="R133" s="11"/>
      <c r="S133" s="11">
        <v>0</v>
      </c>
      <c r="T133" s="11">
        <f t="shared" si="17"/>
        <v>277500</v>
      </c>
      <c r="U133" s="42">
        <v>5</v>
      </c>
    </row>
    <row r="134" spans="1:21" s="36" customFormat="1" ht="15.45" x14ac:dyDescent="0.35">
      <c r="A134" s="19" t="s">
        <v>149</v>
      </c>
      <c r="B134" s="9">
        <v>45799</v>
      </c>
      <c r="C134" s="14" t="s">
        <v>1887</v>
      </c>
      <c r="D134" s="10" t="s">
        <v>1888</v>
      </c>
      <c r="E134" s="9">
        <v>45797</v>
      </c>
      <c r="F134" s="10" t="s">
        <v>143</v>
      </c>
      <c r="G134" s="10" t="s">
        <v>1688</v>
      </c>
      <c r="H134" s="10" t="s">
        <v>24</v>
      </c>
      <c r="I134" s="10" t="s">
        <v>61</v>
      </c>
      <c r="J134" s="50" t="s">
        <v>1987</v>
      </c>
      <c r="K134" s="10" t="s">
        <v>10</v>
      </c>
      <c r="L134" s="12">
        <f t="shared" si="14"/>
        <v>5</v>
      </c>
      <c r="M134" s="12">
        <v>54000</v>
      </c>
      <c r="N134" s="12">
        <v>0</v>
      </c>
      <c r="O134" s="11">
        <v>270000</v>
      </c>
      <c r="P134" s="11">
        <f t="shared" si="16"/>
        <v>270000</v>
      </c>
      <c r="Q134" s="73">
        <v>29700</v>
      </c>
      <c r="R134" s="11"/>
      <c r="S134" s="11">
        <v>0</v>
      </c>
      <c r="T134" s="11">
        <f t="shared" si="17"/>
        <v>299700</v>
      </c>
      <c r="U134" s="42">
        <v>5</v>
      </c>
    </row>
    <row r="135" spans="1:21" s="36" customFormat="1" ht="15.45" x14ac:dyDescent="0.35">
      <c r="A135" s="19" t="s">
        <v>692</v>
      </c>
      <c r="B135" s="9">
        <v>45799</v>
      </c>
      <c r="C135" s="14" t="s">
        <v>1891</v>
      </c>
      <c r="D135" s="10" t="s">
        <v>1892</v>
      </c>
      <c r="E135" s="9">
        <v>45797</v>
      </c>
      <c r="F135" s="10" t="s">
        <v>676</v>
      </c>
      <c r="G135" s="10" t="s">
        <v>1893</v>
      </c>
      <c r="H135" s="10" t="s">
        <v>24</v>
      </c>
      <c r="I135" s="10" t="s">
        <v>61</v>
      </c>
      <c r="J135" s="50" t="s">
        <v>1976</v>
      </c>
      <c r="K135" s="10" t="s">
        <v>1</v>
      </c>
      <c r="L135" s="12">
        <f t="shared" si="14"/>
        <v>10</v>
      </c>
      <c r="M135" s="12">
        <v>46200</v>
      </c>
      <c r="N135" s="12">
        <v>0</v>
      </c>
      <c r="O135" s="11">
        <v>462000</v>
      </c>
      <c r="P135" s="11">
        <f t="shared" si="16"/>
        <v>462000</v>
      </c>
      <c r="Q135" s="73">
        <v>50820</v>
      </c>
      <c r="R135" s="11"/>
      <c r="S135" s="11">
        <v>0</v>
      </c>
      <c r="T135" s="11">
        <f t="shared" si="17"/>
        <v>512820</v>
      </c>
      <c r="U135" s="42">
        <v>10</v>
      </c>
    </row>
    <row r="136" spans="1:21" s="36" customFormat="1" ht="15.45" x14ac:dyDescent="0.35">
      <c r="A136" s="19" t="s">
        <v>692</v>
      </c>
      <c r="B136" s="9">
        <v>45799</v>
      </c>
      <c r="C136" s="14" t="s">
        <v>1891</v>
      </c>
      <c r="D136" s="10" t="s">
        <v>1892</v>
      </c>
      <c r="E136" s="9">
        <v>45797</v>
      </c>
      <c r="F136" s="10" t="s">
        <v>676</v>
      </c>
      <c r="G136" s="10" t="s">
        <v>1894</v>
      </c>
      <c r="H136" s="10" t="s">
        <v>24</v>
      </c>
      <c r="I136" s="10" t="s">
        <v>61</v>
      </c>
      <c r="J136" s="50" t="s">
        <v>1976</v>
      </c>
      <c r="K136" s="10" t="s">
        <v>6</v>
      </c>
      <c r="L136" s="12">
        <f t="shared" si="14"/>
        <v>100</v>
      </c>
      <c r="M136" s="12">
        <v>200</v>
      </c>
      <c r="N136" s="12">
        <v>0</v>
      </c>
      <c r="O136" s="11">
        <v>20000</v>
      </c>
      <c r="P136" s="11">
        <f t="shared" si="16"/>
        <v>20000</v>
      </c>
      <c r="Q136" s="73">
        <v>2200</v>
      </c>
      <c r="R136" s="11"/>
      <c r="S136" s="11">
        <v>0</v>
      </c>
      <c r="T136" s="11">
        <f t="shared" si="17"/>
        <v>22200</v>
      </c>
      <c r="U136" s="42">
        <v>100</v>
      </c>
    </row>
    <row r="137" spans="1:21" s="36" customFormat="1" ht="15.45" x14ac:dyDescent="0.35">
      <c r="A137" s="19" t="s">
        <v>692</v>
      </c>
      <c r="B137" s="9">
        <v>45799</v>
      </c>
      <c r="C137" s="14" t="s">
        <v>1891</v>
      </c>
      <c r="D137" s="10" t="s">
        <v>1892</v>
      </c>
      <c r="E137" s="9">
        <v>45797</v>
      </c>
      <c r="F137" s="10" t="s">
        <v>676</v>
      </c>
      <c r="G137" s="10" t="s">
        <v>1012</v>
      </c>
      <c r="H137" s="10" t="s">
        <v>24</v>
      </c>
      <c r="I137" s="10" t="s">
        <v>61</v>
      </c>
      <c r="J137" s="50" t="s">
        <v>1976</v>
      </c>
      <c r="K137" s="10" t="s">
        <v>941</v>
      </c>
      <c r="L137" s="12">
        <f t="shared" si="14"/>
        <v>1</v>
      </c>
      <c r="M137" s="12">
        <v>171900</v>
      </c>
      <c r="N137" s="12">
        <v>0</v>
      </c>
      <c r="O137" s="11">
        <v>171900</v>
      </c>
      <c r="P137" s="11">
        <f t="shared" si="16"/>
        <v>171900</v>
      </c>
      <c r="Q137" s="73">
        <v>18909</v>
      </c>
      <c r="R137" s="11"/>
      <c r="S137" s="11">
        <v>0</v>
      </c>
      <c r="T137" s="11">
        <f t="shared" si="17"/>
        <v>190809</v>
      </c>
      <c r="U137" s="42">
        <v>1</v>
      </c>
    </row>
    <row r="138" spans="1:21" s="36" customFormat="1" ht="15.45" x14ac:dyDescent="0.35">
      <c r="A138" s="19" t="s">
        <v>692</v>
      </c>
      <c r="B138" s="9">
        <v>45799</v>
      </c>
      <c r="C138" s="14" t="s">
        <v>1891</v>
      </c>
      <c r="D138" s="10" t="s">
        <v>1892</v>
      </c>
      <c r="E138" s="9">
        <v>45797</v>
      </c>
      <c r="F138" s="10" t="s">
        <v>676</v>
      </c>
      <c r="G138" s="10" t="s">
        <v>1013</v>
      </c>
      <c r="H138" s="10" t="s">
        <v>24</v>
      </c>
      <c r="I138" s="10" t="s">
        <v>61</v>
      </c>
      <c r="J138" s="50" t="s">
        <v>1976</v>
      </c>
      <c r="K138" s="10" t="s">
        <v>6</v>
      </c>
      <c r="L138" s="12">
        <f t="shared" si="14"/>
        <v>10</v>
      </c>
      <c r="M138" s="12">
        <v>7900</v>
      </c>
      <c r="N138" s="12">
        <v>0</v>
      </c>
      <c r="O138" s="11">
        <v>79000</v>
      </c>
      <c r="P138" s="11">
        <f t="shared" si="16"/>
        <v>79000</v>
      </c>
      <c r="Q138" s="73">
        <v>8690</v>
      </c>
      <c r="R138" s="11"/>
      <c r="S138" s="11">
        <v>0</v>
      </c>
      <c r="T138" s="11">
        <f t="shared" si="17"/>
        <v>87690</v>
      </c>
      <c r="U138" s="42">
        <v>10</v>
      </c>
    </row>
    <row r="139" spans="1:21" s="36" customFormat="1" ht="15.45" x14ac:dyDescent="0.35">
      <c r="A139" s="19" t="s">
        <v>692</v>
      </c>
      <c r="B139" s="9">
        <v>45799</v>
      </c>
      <c r="C139" s="14" t="s">
        <v>1891</v>
      </c>
      <c r="D139" s="10" t="s">
        <v>1892</v>
      </c>
      <c r="E139" s="9">
        <v>45797</v>
      </c>
      <c r="F139" s="10" t="s">
        <v>676</v>
      </c>
      <c r="G139" s="10" t="s">
        <v>630</v>
      </c>
      <c r="H139" s="10" t="s">
        <v>24</v>
      </c>
      <c r="I139" s="10" t="s">
        <v>61</v>
      </c>
      <c r="J139" s="50" t="s">
        <v>1976</v>
      </c>
      <c r="K139" s="10" t="s">
        <v>1</v>
      </c>
      <c r="L139" s="12">
        <f t="shared" ref="L139:L165" si="18">IF(LEFT(C139,2)="RP",U139*-1,U139)</f>
        <v>10</v>
      </c>
      <c r="M139" s="12">
        <v>47000</v>
      </c>
      <c r="N139" s="12">
        <v>0</v>
      </c>
      <c r="O139" s="11">
        <v>470000</v>
      </c>
      <c r="P139" s="11">
        <f t="shared" si="16"/>
        <v>470000</v>
      </c>
      <c r="Q139" s="73">
        <v>51700</v>
      </c>
      <c r="R139" s="11"/>
      <c r="S139" s="11">
        <v>0</v>
      </c>
      <c r="T139" s="11">
        <f t="shared" si="17"/>
        <v>521700</v>
      </c>
      <c r="U139" s="42">
        <v>10</v>
      </c>
    </row>
    <row r="140" spans="1:21" s="36" customFormat="1" ht="15.45" x14ac:dyDescent="0.35">
      <c r="A140" s="19" t="s">
        <v>692</v>
      </c>
      <c r="B140" s="9">
        <v>45799</v>
      </c>
      <c r="C140" s="14" t="s">
        <v>1891</v>
      </c>
      <c r="D140" s="10" t="s">
        <v>1892</v>
      </c>
      <c r="E140" s="9">
        <v>45797</v>
      </c>
      <c r="F140" s="10" t="s">
        <v>676</v>
      </c>
      <c r="G140" s="10" t="s">
        <v>411</v>
      </c>
      <c r="H140" s="10" t="s">
        <v>24</v>
      </c>
      <c r="I140" s="10" t="s">
        <v>61</v>
      </c>
      <c r="J140" s="50" t="s">
        <v>1976</v>
      </c>
      <c r="K140" s="10" t="s">
        <v>10</v>
      </c>
      <c r="L140" s="12">
        <f t="shared" si="18"/>
        <v>100</v>
      </c>
      <c r="M140" s="12">
        <v>1400</v>
      </c>
      <c r="N140" s="12">
        <v>0</v>
      </c>
      <c r="O140" s="11">
        <v>140000</v>
      </c>
      <c r="P140" s="11">
        <f t="shared" si="16"/>
        <v>140000</v>
      </c>
      <c r="Q140" s="73">
        <v>15400</v>
      </c>
      <c r="R140" s="11"/>
      <c r="S140" s="11">
        <v>0</v>
      </c>
      <c r="T140" s="11">
        <f t="shared" si="17"/>
        <v>155400</v>
      </c>
      <c r="U140" s="42">
        <v>100</v>
      </c>
    </row>
    <row r="141" spans="1:21" s="36" customFormat="1" ht="15.45" x14ac:dyDescent="0.35">
      <c r="A141" s="19" t="s">
        <v>159</v>
      </c>
      <c r="B141" s="9">
        <v>45799</v>
      </c>
      <c r="C141" s="14" t="s">
        <v>1895</v>
      </c>
      <c r="D141" s="10" t="s">
        <v>1896</v>
      </c>
      <c r="E141" s="9">
        <v>45798</v>
      </c>
      <c r="F141" s="10" t="s">
        <v>157</v>
      </c>
      <c r="G141" s="10" t="s">
        <v>158</v>
      </c>
      <c r="H141" s="10" t="s">
        <v>23</v>
      </c>
      <c r="I141" s="10" t="s">
        <v>888</v>
      </c>
      <c r="J141" s="50" t="s">
        <v>2246</v>
      </c>
      <c r="K141" s="10" t="s">
        <v>1</v>
      </c>
      <c r="L141" s="12">
        <f t="shared" si="18"/>
        <v>25</v>
      </c>
      <c r="M141" s="12">
        <v>75000</v>
      </c>
      <c r="N141" s="12">
        <v>0</v>
      </c>
      <c r="O141" s="11">
        <v>1875000</v>
      </c>
      <c r="P141" s="11">
        <f t="shared" si="16"/>
        <v>1875000</v>
      </c>
      <c r="Q141" s="73">
        <v>206250</v>
      </c>
      <c r="R141" s="11"/>
      <c r="S141" s="11">
        <v>0</v>
      </c>
      <c r="T141" s="11">
        <f t="shared" si="17"/>
        <v>2081250</v>
      </c>
      <c r="U141" s="42">
        <v>25</v>
      </c>
    </row>
    <row r="142" spans="1:21" s="36" customFormat="1" ht="15.45" x14ac:dyDescent="0.35">
      <c r="A142" s="19" t="s">
        <v>105</v>
      </c>
      <c r="B142" s="9">
        <v>45799</v>
      </c>
      <c r="C142" s="14" t="s">
        <v>1897</v>
      </c>
      <c r="D142" s="10" t="s">
        <v>1898</v>
      </c>
      <c r="E142" s="9">
        <v>45798</v>
      </c>
      <c r="F142" s="10" t="s">
        <v>85</v>
      </c>
      <c r="G142" s="10" t="s">
        <v>1899</v>
      </c>
      <c r="H142" s="10" t="s">
        <v>23</v>
      </c>
      <c r="I142" s="10" t="s">
        <v>886</v>
      </c>
      <c r="J142" s="50" t="s">
        <v>2255</v>
      </c>
      <c r="K142" s="10" t="s">
        <v>1</v>
      </c>
      <c r="L142" s="12">
        <f t="shared" si="18"/>
        <v>50</v>
      </c>
      <c r="M142" s="12">
        <v>368888</v>
      </c>
      <c r="N142" s="12">
        <v>0</v>
      </c>
      <c r="O142" s="11">
        <v>18444400</v>
      </c>
      <c r="P142" s="11">
        <f t="shared" si="16"/>
        <v>18444400</v>
      </c>
      <c r="Q142" s="73">
        <v>2028884</v>
      </c>
      <c r="R142" s="11"/>
      <c r="S142" s="11">
        <v>0</v>
      </c>
      <c r="T142" s="11">
        <f t="shared" si="17"/>
        <v>20473284</v>
      </c>
      <c r="U142" s="42">
        <v>50</v>
      </c>
    </row>
    <row r="143" spans="1:21" s="36" customFormat="1" ht="15.45" x14ac:dyDescent="0.35">
      <c r="A143" s="19" t="s">
        <v>97</v>
      </c>
      <c r="B143" s="9">
        <v>45799</v>
      </c>
      <c r="C143" s="14" t="s">
        <v>1900</v>
      </c>
      <c r="D143" s="10" t="s">
        <v>1901</v>
      </c>
      <c r="E143" s="9">
        <v>45798</v>
      </c>
      <c r="F143" s="10" t="s">
        <v>63</v>
      </c>
      <c r="G143" s="10" t="s">
        <v>88</v>
      </c>
      <c r="H143" s="10" t="s">
        <v>24</v>
      </c>
      <c r="I143" s="10" t="s">
        <v>61</v>
      </c>
      <c r="J143" s="50" t="s">
        <v>1995</v>
      </c>
      <c r="K143" s="10" t="s">
        <v>6</v>
      </c>
      <c r="L143" s="12">
        <f t="shared" si="18"/>
        <v>5</v>
      </c>
      <c r="M143" s="12">
        <v>285000</v>
      </c>
      <c r="N143" s="12">
        <v>0</v>
      </c>
      <c r="O143" s="11">
        <v>1425000</v>
      </c>
      <c r="P143" s="11">
        <f t="shared" si="16"/>
        <v>1425000</v>
      </c>
      <c r="Q143" s="73">
        <v>156750</v>
      </c>
      <c r="R143" s="11"/>
      <c r="S143" s="11">
        <v>0</v>
      </c>
      <c r="T143" s="11">
        <f t="shared" si="17"/>
        <v>1581750</v>
      </c>
      <c r="U143" s="42">
        <v>5</v>
      </c>
    </row>
    <row r="144" spans="1:21" s="36" customFormat="1" ht="15.45" x14ac:dyDescent="0.35">
      <c r="A144" s="19" t="s">
        <v>97</v>
      </c>
      <c r="B144" s="9">
        <v>45799</v>
      </c>
      <c r="C144" s="14" t="s">
        <v>1900</v>
      </c>
      <c r="D144" s="10" t="s">
        <v>1901</v>
      </c>
      <c r="E144" s="9">
        <v>45798</v>
      </c>
      <c r="F144" s="10" t="s">
        <v>63</v>
      </c>
      <c r="G144" s="10" t="s">
        <v>74</v>
      </c>
      <c r="H144" s="10" t="s">
        <v>24</v>
      </c>
      <c r="I144" s="10" t="s">
        <v>61</v>
      </c>
      <c r="J144" s="50" t="s">
        <v>1995</v>
      </c>
      <c r="K144" s="10" t="s">
        <v>6</v>
      </c>
      <c r="L144" s="12">
        <f t="shared" si="18"/>
        <v>5</v>
      </c>
      <c r="M144" s="12">
        <v>250000</v>
      </c>
      <c r="N144" s="12">
        <v>0</v>
      </c>
      <c r="O144" s="11">
        <v>1250000</v>
      </c>
      <c r="P144" s="11">
        <f t="shared" si="16"/>
        <v>1250000</v>
      </c>
      <c r="Q144" s="73">
        <v>137500</v>
      </c>
      <c r="R144" s="11"/>
      <c r="S144" s="11">
        <v>0</v>
      </c>
      <c r="T144" s="11">
        <f t="shared" si="17"/>
        <v>1387500</v>
      </c>
      <c r="U144" s="42">
        <v>5</v>
      </c>
    </row>
    <row r="145" spans="1:21" s="36" customFormat="1" ht="15.45" x14ac:dyDescent="0.35">
      <c r="A145" s="19" t="s">
        <v>691</v>
      </c>
      <c r="B145" s="9">
        <v>45799</v>
      </c>
      <c r="C145" s="14" t="s">
        <v>1902</v>
      </c>
      <c r="D145" s="10" t="s">
        <v>1903</v>
      </c>
      <c r="E145" s="9">
        <v>45798</v>
      </c>
      <c r="F145" s="10" t="s">
        <v>619</v>
      </c>
      <c r="G145" s="10" t="s">
        <v>1002</v>
      </c>
      <c r="H145" s="10" t="s">
        <v>23</v>
      </c>
      <c r="I145" s="10" t="s">
        <v>885</v>
      </c>
      <c r="J145" s="50" t="s">
        <v>1988</v>
      </c>
      <c r="K145" s="10" t="s">
        <v>1</v>
      </c>
      <c r="L145" s="12">
        <f t="shared" si="18"/>
        <v>50</v>
      </c>
      <c r="M145" s="12">
        <v>262320</v>
      </c>
      <c r="N145" s="12">
        <v>16395</v>
      </c>
      <c r="O145" s="11">
        <v>13116000</v>
      </c>
      <c r="P145" s="11">
        <f t="shared" si="16"/>
        <v>13116000</v>
      </c>
      <c r="Q145" s="73">
        <v>1442760</v>
      </c>
      <c r="R145" s="11"/>
      <c r="S145" s="11">
        <v>0</v>
      </c>
      <c r="T145" s="11">
        <f t="shared" si="17"/>
        <v>14558760</v>
      </c>
      <c r="U145" s="42">
        <v>50</v>
      </c>
    </row>
    <row r="146" spans="1:21" s="36" customFormat="1" ht="15.45" x14ac:dyDescent="0.35">
      <c r="A146" s="19" t="s">
        <v>112</v>
      </c>
      <c r="B146" s="9">
        <v>45799</v>
      </c>
      <c r="C146" s="14" t="s">
        <v>1904</v>
      </c>
      <c r="D146" s="10" t="s">
        <v>1905</v>
      </c>
      <c r="E146" s="9">
        <v>45798</v>
      </c>
      <c r="F146" s="10" t="s">
        <v>50</v>
      </c>
      <c r="G146" s="10" t="s">
        <v>35</v>
      </c>
      <c r="H146" s="10" t="s">
        <v>23</v>
      </c>
      <c r="I146" s="10" t="s">
        <v>885</v>
      </c>
      <c r="J146" s="50" t="s">
        <v>2258</v>
      </c>
      <c r="K146" s="10" t="s">
        <v>1</v>
      </c>
      <c r="L146" s="12">
        <f t="shared" si="18"/>
        <v>120</v>
      </c>
      <c r="M146" s="12">
        <v>21314</v>
      </c>
      <c r="N146" s="12">
        <v>16395</v>
      </c>
      <c r="O146" s="11">
        <v>2557680</v>
      </c>
      <c r="P146" s="11">
        <f t="shared" si="16"/>
        <v>2557680</v>
      </c>
      <c r="Q146" s="73">
        <v>281344.8</v>
      </c>
      <c r="R146" s="11"/>
      <c r="S146" s="11">
        <v>0</v>
      </c>
      <c r="T146" s="11">
        <f t="shared" si="17"/>
        <v>2839024.8</v>
      </c>
      <c r="U146" s="42">
        <v>120</v>
      </c>
    </row>
    <row r="147" spans="1:21" s="36" customFormat="1" ht="15.45" x14ac:dyDescent="0.35">
      <c r="A147" s="19" t="s">
        <v>116</v>
      </c>
      <c r="B147" s="9">
        <v>45799</v>
      </c>
      <c r="C147" s="14" t="s">
        <v>1906</v>
      </c>
      <c r="D147" s="10" t="s">
        <v>1907</v>
      </c>
      <c r="E147" s="9">
        <v>45799</v>
      </c>
      <c r="F147" s="10" t="s">
        <v>40</v>
      </c>
      <c r="G147" s="10" t="s">
        <v>559</v>
      </c>
      <c r="H147" s="10" t="s">
        <v>24</v>
      </c>
      <c r="I147" s="10" t="s">
        <v>61</v>
      </c>
      <c r="J147" s="10"/>
      <c r="K147" s="10" t="s">
        <v>6</v>
      </c>
      <c r="L147" s="12">
        <f t="shared" si="18"/>
        <v>4</v>
      </c>
      <c r="M147" s="12">
        <v>430000</v>
      </c>
      <c r="N147" s="12">
        <v>0</v>
      </c>
      <c r="O147" s="11">
        <v>1720000</v>
      </c>
      <c r="P147" s="11">
        <f t="shared" si="16"/>
        <v>1720000</v>
      </c>
      <c r="Q147" s="11">
        <v>0</v>
      </c>
      <c r="R147" s="11"/>
      <c r="S147" s="11">
        <v>0</v>
      </c>
      <c r="T147" s="11">
        <f t="shared" si="17"/>
        <v>1720000</v>
      </c>
      <c r="U147" s="42">
        <v>4</v>
      </c>
    </row>
    <row r="148" spans="1:21" s="36" customFormat="1" ht="15.45" x14ac:dyDescent="0.35">
      <c r="A148" s="19" t="s">
        <v>111</v>
      </c>
      <c r="B148" s="9">
        <v>45799</v>
      </c>
      <c r="C148" s="14" t="s">
        <v>1908</v>
      </c>
      <c r="D148" s="10" t="s">
        <v>1909</v>
      </c>
      <c r="E148" s="9">
        <v>45799</v>
      </c>
      <c r="F148" s="10" t="s">
        <v>55</v>
      </c>
      <c r="G148" s="10" t="s">
        <v>1910</v>
      </c>
      <c r="H148" s="10" t="s">
        <v>26</v>
      </c>
      <c r="I148" s="10" t="s">
        <v>80</v>
      </c>
      <c r="J148" s="10"/>
      <c r="K148" s="10" t="s">
        <v>6</v>
      </c>
      <c r="L148" s="12">
        <f t="shared" si="18"/>
        <v>152</v>
      </c>
      <c r="M148" s="12">
        <v>7500</v>
      </c>
      <c r="N148" s="12">
        <v>0</v>
      </c>
      <c r="O148" s="11">
        <v>1140000</v>
      </c>
      <c r="P148" s="11">
        <f t="shared" si="16"/>
        <v>1140000</v>
      </c>
      <c r="Q148" s="11">
        <v>0</v>
      </c>
      <c r="R148" s="11"/>
      <c r="S148" s="11">
        <v>0</v>
      </c>
      <c r="T148" s="11">
        <f t="shared" si="17"/>
        <v>1140000</v>
      </c>
      <c r="U148" s="42">
        <v>152</v>
      </c>
    </row>
    <row r="149" spans="1:21" s="36" customFormat="1" ht="15.45" x14ac:dyDescent="0.35">
      <c r="A149" s="19" t="s">
        <v>111</v>
      </c>
      <c r="B149" s="9">
        <v>45799</v>
      </c>
      <c r="C149" s="14" t="s">
        <v>1911</v>
      </c>
      <c r="D149" s="10" t="s">
        <v>1912</v>
      </c>
      <c r="E149" s="9">
        <v>45799</v>
      </c>
      <c r="F149" s="10" t="s">
        <v>55</v>
      </c>
      <c r="G149" s="10" t="s">
        <v>1913</v>
      </c>
      <c r="H149" s="10" t="s">
        <v>24</v>
      </c>
      <c r="I149" s="10" t="s">
        <v>61</v>
      </c>
      <c r="J149" s="10"/>
      <c r="K149" s="10" t="s">
        <v>6</v>
      </c>
      <c r="L149" s="12">
        <f t="shared" si="18"/>
        <v>5</v>
      </c>
      <c r="M149" s="12">
        <v>40000</v>
      </c>
      <c r="N149" s="12">
        <v>0</v>
      </c>
      <c r="O149" s="11">
        <v>200000</v>
      </c>
      <c r="P149" s="11">
        <f t="shared" si="16"/>
        <v>200000</v>
      </c>
      <c r="Q149" s="11">
        <v>0</v>
      </c>
      <c r="R149" s="11"/>
      <c r="S149" s="11">
        <v>0</v>
      </c>
      <c r="T149" s="11">
        <f t="shared" si="17"/>
        <v>200000</v>
      </c>
      <c r="U149" s="42">
        <v>5</v>
      </c>
    </row>
    <row r="150" spans="1:21" s="36" customFormat="1" ht="15.45" x14ac:dyDescent="0.35">
      <c r="A150" s="19" t="s">
        <v>111</v>
      </c>
      <c r="B150" s="9">
        <v>45799</v>
      </c>
      <c r="C150" s="14" t="s">
        <v>1911</v>
      </c>
      <c r="D150" s="10" t="s">
        <v>1912</v>
      </c>
      <c r="E150" s="9">
        <v>45799</v>
      </c>
      <c r="F150" s="10" t="s">
        <v>55</v>
      </c>
      <c r="G150" s="10" t="s">
        <v>1914</v>
      </c>
      <c r="H150" s="10" t="s">
        <v>24</v>
      </c>
      <c r="I150" s="10" t="s">
        <v>61</v>
      </c>
      <c r="J150" s="10"/>
      <c r="K150" s="10" t="s">
        <v>6</v>
      </c>
      <c r="L150" s="12">
        <f t="shared" si="18"/>
        <v>5</v>
      </c>
      <c r="M150" s="12">
        <v>35000</v>
      </c>
      <c r="N150" s="12">
        <v>0</v>
      </c>
      <c r="O150" s="11">
        <v>175000</v>
      </c>
      <c r="P150" s="11">
        <f t="shared" si="16"/>
        <v>175000</v>
      </c>
      <c r="Q150" s="11">
        <v>0</v>
      </c>
      <c r="R150" s="11"/>
      <c r="S150" s="11">
        <v>0</v>
      </c>
      <c r="T150" s="11">
        <f t="shared" si="17"/>
        <v>175000</v>
      </c>
      <c r="U150" s="42">
        <v>5</v>
      </c>
    </row>
    <row r="151" spans="1:21" s="36" customFormat="1" ht="15.45" x14ac:dyDescent="0.35">
      <c r="A151" s="19" t="s">
        <v>115</v>
      </c>
      <c r="B151" s="9">
        <v>45799</v>
      </c>
      <c r="C151" s="14" t="s">
        <v>1915</v>
      </c>
      <c r="D151" s="10" t="s">
        <v>1680</v>
      </c>
      <c r="E151" s="9">
        <v>45780</v>
      </c>
      <c r="F151" s="10" t="s">
        <v>81</v>
      </c>
      <c r="G151" s="10" t="s">
        <v>89</v>
      </c>
      <c r="H151" s="10" t="s">
        <v>25</v>
      </c>
      <c r="I151" s="10" t="s">
        <v>79</v>
      </c>
      <c r="J151" s="50" t="s">
        <v>2288</v>
      </c>
      <c r="K151" s="10" t="s">
        <v>1</v>
      </c>
      <c r="L151" s="12">
        <f t="shared" si="18"/>
        <v>30150</v>
      </c>
      <c r="M151" s="12">
        <v>1565</v>
      </c>
      <c r="N151" s="12">
        <v>0</v>
      </c>
      <c r="O151" s="11">
        <v>47184750</v>
      </c>
      <c r="P151" s="11">
        <f t="shared" si="16"/>
        <v>47184750</v>
      </c>
      <c r="Q151" s="73">
        <v>5190322.5</v>
      </c>
      <c r="R151" s="11">
        <f>P151*1.5%</f>
        <v>707771.25</v>
      </c>
      <c r="S151" s="11">
        <v>0</v>
      </c>
      <c r="T151" s="11">
        <f>P151+Q151-S151-R151</f>
        <v>51667301.25</v>
      </c>
      <c r="U151" s="42">
        <v>30150</v>
      </c>
    </row>
    <row r="152" spans="1:21" s="36" customFormat="1" ht="15.45" x14ac:dyDescent="0.35">
      <c r="A152" s="19" t="s">
        <v>150</v>
      </c>
      <c r="B152" s="9">
        <v>45799</v>
      </c>
      <c r="C152" s="14" t="s">
        <v>1916</v>
      </c>
      <c r="D152" s="10" t="s">
        <v>1917</v>
      </c>
      <c r="E152" s="9">
        <v>45799</v>
      </c>
      <c r="F152" s="10" t="s">
        <v>147</v>
      </c>
      <c r="G152" s="10" t="s">
        <v>838</v>
      </c>
      <c r="H152" s="10" t="s">
        <v>24</v>
      </c>
      <c r="I152" s="10" t="s">
        <v>61</v>
      </c>
      <c r="J152" s="10"/>
      <c r="K152" s="10" t="s">
        <v>839</v>
      </c>
      <c r="L152" s="12">
        <f t="shared" si="18"/>
        <v>20</v>
      </c>
      <c r="M152" s="12">
        <v>27500</v>
      </c>
      <c r="N152" s="12">
        <v>0</v>
      </c>
      <c r="O152" s="11">
        <v>550000</v>
      </c>
      <c r="P152" s="11">
        <f t="shared" si="16"/>
        <v>550000</v>
      </c>
      <c r="Q152" s="11">
        <v>0</v>
      </c>
      <c r="R152" s="11"/>
      <c r="S152" s="11">
        <v>0</v>
      </c>
      <c r="T152" s="11">
        <f t="shared" ref="T152:T165" si="19">P152+Q152-S152</f>
        <v>550000</v>
      </c>
      <c r="U152" s="42">
        <v>20</v>
      </c>
    </row>
    <row r="153" spans="1:21" s="36" customFormat="1" ht="15.45" x14ac:dyDescent="0.35">
      <c r="A153" s="19" t="s">
        <v>109</v>
      </c>
      <c r="B153" s="9">
        <v>45800</v>
      </c>
      <c r="C153" s="14" t="s">
        <v>1918</v>
      </c>
      <c r="D153" s="10" t="s">
        <v>1648</v>
      </c>
      <c r="E153" s="9">
        <v>45777</v>
      </c>
      <c r="F153" s="10" t="s">
        <v>54</v>
      </c>
      <c r="G153" s="10" t="s">
        <v>49</v>
      </c>
      <c r="H153" s="10" t="s">
        <v>934</v>
      </c>
      <c r="I153" s="10" t="s">
        <v>935</v>
      </c>
      <c r="J153" s="50" t="s">
        <v>1975</v>
      </c>
      <c r="K153" s="10" t="s">
        <v>15</v>
      </c>
      <c r="L153" s="12">
        <f t="shared" si="18"/>
        <v>144</v>
      </c>
      <c r="M153" s="12">
        <v>6454</v>
      </c>
      <c r="N153" s="12">
        <v>0</v>
      </c>
      <c r="O153" s="11">
        <v>929376</v>
      </c>
      <c r="P153" s="11">
        <f t="shared" ref="P153:P165" si="20">O153</f>
        <v>929376</v>
      </c>
      <c r="Q153" s="73">
        <v>102231.36</v>
      </c>
      <c r="R153" s="11"/>
      <c r="S153" s="11">
        <v>0</v>
      </c>
      <c r="T153" s="11">
        <f t="shared" si="19"/>
        <v>1031607.36</v>
      </c>
      <c r="U153" s="42">
        <v>144</v>
      </c>
    </row>
    <row r="154" spans="1:21" s="36" customFormat="1" ht="15.45" x14ac:dyDescent="0.35">
      <c r="A154" s="19" t="s">
        <v>218</v>
      </c>
      <c r="B154" s="9">
        <v>45800</v>
      </c>
      <c r="C154" s="14" t="s">
        <v>1919</v>
      </c>
      <c r="D154" s="10" t="s">
        <v>1467</v>
      </c>
      <c r="E154" s="9">
        <v>45764</v>
      </c>
      <c r="F154" s="10" t="s">
        <v>44</v>
      </c>
      <c r="G154" s="10" t="s">
        <v>41</v>
      </c>
      <c r="H154" s="10" t="s">
        <v>23</v>
      </c>
      <c r="I154" s="10" t="s">
        <v>890</v>
      </c>
      <c r="J154" s="50" t="s">
        <v>1993</v>
      </c>
      <c r="K154" s="10" t="s">
        <v>1</v>
      </c>
      <c r="L154" s="12">
        <f t="shared" si="18"/>
        <v>1150</v>
      </c>
      <c r="M154" s="12">
        <v>21870</v>
      </c>
      <c r="N154" s="12">
        <v>16823</v>
      </c>
      <c r="O154" s="11">
        <v>25150500</v>
      </c>
      <c r="P154" s="11">
        <f t="shared" si="20"/>
        <v>25150500</v>
      </c>
      <c r="Q154" s="73">
        <v>2766555</v>
      </c>
      <c r="R154" s="11"/>
      <c r="S154" s="11">
        <v>0</v>
      </c>
      <c r="T154" s="11">
        <f t="shared" si="19"/>
        <v>27917055</v>
      </c>
      <c r="U154" s="42">
        <v>1150</v>
      </c>
    </row>
    <row r="155" spans="1:21" s="36" customFormat="1" ht="15.45" x14ac:dyDescent="0.35">
      <c r="A155" s="19" t="s">
        <v>218</v>
      </c>
      <c r="B155" s="9">
        <v>45800</v>
      </c>
      <c r="C155" s="14" t="s">
        <v>1920</v>
      </c>
      <c r="D155" s="10" t="s">
        <v>1921</v>
      </c>
      <c r="E155" s="9">
        <v>45797</v>
      </c>
      <c r="F155" s="10" t="s">
        <v>44</v>
      </c>
      <c r="G155" s="10" t="s">
        <v>1922</v>
      </c>
      <c r="H155" s="10" t="s">
        <v>23</v>
      </c>
      <c r="I155" s="10" t="s">
        <v>885</v>
      </c>
      <c r="J155" s="50" t="s">
        <v>1993</v>
      </c>
      <c r="K155" s="10" t="s">
        <v>1</v>
      </c>
      <c r="L155" s="12">
        <f t="shared" si="18"/>
        <v>250</v>
      </c>
      <c r="M155" s="12">
        <v>25405</v>
      </c>
      <c r="N155" s="12">
        <v>16390</v>
      </c>
      <c r="O155" s="11">
        <v>6351250</v>
      </c>
      <c r="P155" s="11">
        <f t="shared" si="20"/>
        <v>6351250</v>
      </c>
      <c r="Q155" s="73">
        <v>698637.5</v>
      </c>
      <c r="R155" s="11"/>
      <c r="S155" s="11">
        <v>0</v>
      </c>
      <c r="T155" s="11">
        <f t="shared" si="19"/>
        <v>7049887.5</v>
      </c>
      <c r="U155" s="42">
        <v>250</v>
      </c>
    </row>
    <row r="156" spans="1:21" s="36" customFormat="1" ht="15.45" x14ac:dyDescent="0.35">
      <c r="A156" s="19" t="s">
        <v>200</v>
      </c>
      <c r="B156" s="9">
        <v>45800</v>
      </c>
      <c r="C156" s="14" t="s">
        <v>1923</v>
      </c>
      <c r="D156" s="10" t="s">
        <v>1924</v>
      </c>
      <c r="E156" s="9">
        <v>45798</v>
      </c>
      <c r="F156" s="10" t="s">
        <v>194</v>
      </c>
      <c r="G156" s="10" t="s">
        <v>195</v>
      </c>
      <c r="H156" s="10" t="s">
        <v>23</v>
      </c>
      <c r="I156" s="10" t="s">
        <v>888</v>
      </c>
      <c r="J156" s="50" t="s">
        <v>2330</v>
      </c>
      <c r="K156" s="10" t="s">
        <v>1</v>
      </c>
      <c r="L156" s="12">
        <f t="shared" si="18"/>
        <v>300</v>
      </c>
      <c r="M156" s="12">
        <v>17000</v>
      </c>
      <c r="N156" s="12">
        <v>0</v>
      </c>
      <c r="O156" s="11">
        <v>5100000</v>
      </c>
      <c r="P156" s="11">
        <f t="shared" si="20"/>
        <v>5100000</v>
      </c>
      <c r="Q156" s="73">
        <v>561000</v>
      </c>
      <c r="R156" s="11"/>
      <c r="S156" s="11">
        <v>0</v>
      </c>
      <c r="T156" s="11">
        <f t="shared" si="19"/>
        <v>5661000</v>
      </c>
      <c r="U156" s="42">
        <v>300</v>
      </c>
    </row>
    <row r="157" spans="1:21" s="36" customFormat="1" ht="15.45" x14ac:dyDescent="0.35">
      <c r="A157" s="19" t="s">
        <v>105</v>
      </c>
      <c r="B157" s="9">
        <v>45800</v>
      </c>
      <c r="C157" s="14" t="s">
        <v>1925</v>
      </c>
      <c r="D157" s="10" t="s">
        <v>1926</v>
      </c>
      <c r="E157" s="9">
        <v>45798</v>
      </c>
      <c r="F157" s="10" t="s">
        <v>85</v>
      </c>
      <c r="G157" s="10" t="s">
        <v>1927</v>
      </c>
      <c r="H157" s="10" t="s">
        <v>23</v>
      </c>
      <c r="I157" s="10" t="s">
        <v>886</v>
      </c>
      <c r="J157" s="50" t="s">
        <v>2254</v>
      </c>
      <c r="K157" s="10" t="s">
        <v>1</v>
      </c>
      <c r="L157" s="12">
        <f t="shared" si="18"/>
        <v>50</v>
      </c>
      <c r="M157" s="12">
        <v>385283</v>
      </c>
      <c r="N157" s="12">
        <v>0</v>
      </c>
      <c r="O157" s="11">
        <v>19264150</v>
      </c>
      <c r="P157" s="11">
        <f t="shared" si="20"/>
        <v>19264150</v>
      </c>
      <c r="Q157" s="73">
        <v>2119056.5</v>
      </c>
      <c r="R157" s="11"/>
      <c r="S157" s="11">
        <v>0</v>
      </c>
      <c r="T157" s="11">
        <f t="shared" si="19"/>
        <v>21383206.5</v>
      </c>
      <c r="U157" s="42">
        <v>50</v>
      </c>
    </row>
    <row r="158" spans="1:21" s="36" customFormat="1" ht="15.45" x14ac:dyDescent="0.35">
      <c r="A158" s="19" t="s">
        <v>105</v>
      </c>
      <c r="B158" s="9">
        <v>45800</v>
      </c>
      <c r="C158" s="14" t="s">
        <v>1928</v>
      </c>
      <c r="D158" s="10" t="s">
        <v>1929</v>
      </c>
      <c r="E158" s="9">
        <v>45799</v>
      </c>
      <c r="F158" s="10" t="s">
        <v>85</v>
      </c>
      <c r="G158" s="10" t="s">
        <v>660</v>
      </c>
      <c r="H158" s="10" t="s">
        <v>23</v>
      </c>
      <c r="I158" s="10" t="s">
        <v>890</v>
      </c>
      <c r="J158" s="50" t="s">
        <v>2253</v>
      </c>
      <c r="K158" s="10" t="s">
        <v>1</v>
      </c>
      <c r="L158" s="12">
        <f t="shared" si="18"/>
        <v>1200</v>
      </c>
      <c r="M158" s="12">
        <v>24480</v>
      </c>
      <c r="N158" s="12">
        <v>16320</v>
      </c>
      <c r="O158" s="11">
        <v>29376000</v>
      </c>
      <c r="P158" s="11">
        <f t="shared" si="20"/>
        <v>29376000</v>
      </c>
      <c r="Q158" s="73">
        <v>3231360</v>
      </c>
      <c r="R158" s="11"/>
      <c r="S158" s="11">
        <v>0</v>
      </c>
      <c r="T158" s="11">
        <f t="shared" si="19"/>
        <v>32607360</v>
      </c>
      <c r="U158" s="42">
        <v>1200</v>
      </c>
    </row>
    <row r="159" spans="1:21" s="36" customFormat="1" ht="15.45" x14ac:dyDescent="0.35">
      <c r="A159" s="19" t="s">
        <v>97</v>
      </c>
      <c r="B159" s="9">
        <v>45800</v>
      </c>
      <c r="C159" s="14" t="s">
        <v>1930</v>
      </c>
      <c r="D159" s="10" t="s">
        <v>1931</v>
      </c>
      <c r="E159" s="9">
        <v>45799</v>
      </c>
      <c r="F159" s="10" t="s">
        <v>63</v>
      </c>
      <c r="G159" s="10" t="s">
        <v>136</v>
      </c>
      <c r="H159" s="10" t="s">
        <v>24</v>
      </c>
      <c r="I159" s="10" t="s">
        <v>888</v>
      </c>
      <c r="J159" s="50" t="s">
        <v>1996</v>
      </c>
      <c r="K159" s="10" t="s">
        <v>5</v>
      </c>
      <c r="L159" s="12">
        <f t="shared" si="18"/>
        <v>1000</v>
      </c>
      <c r="M159" s="12">
        <v>39500</v>
      </c>
      <c r="N159" s="12">
        <v>0</v>
      </c>
      <c r="O159" s="11">
        <v>39500000</v>
      </c>
      <c r="P159" s="11">
        <f t="shared" si="20"/>
        <v>39500000</v>
      </c>
      <c r="Q159" s="73">
        <v>4345000</v>
      </c>
      <c r="R159" s="11"/>
      <c r="S159" s="11">
        <v>0</v>
      </c>
      <c r="T159" s="11">
        <f t="shared" si="19"/>
        <v>43845000</v>
      </c>
      <c r="U159" s="42">
        <v>1000</v>
      </c>
    </row>
    <row r="160" spans="1:21" s="36" customFormat="1" ht="15.45" x14ac:dyDescent="0.35">
      <c r="A160" s="19" t="s">
        <v>97</v>
      </c>
      <c r="B160" s="9">
        <v>45800</v>
      </c>
      <c r="C160" s="14" t="s">
        <v>1930</v>
      </c>
      <c r="D160" s="10" t="s">
        <v>1931</v>
      </c>
      <c r="E160" s="9">
        <v>45799</v>
      </c>
      <c r="F160" s="10" t="s">
        <v>63</v>
      </c>
      <c r="G160" s="10" t="s">
        <v>52</v>
      </c>
      <c r="H160" s="10" t="s">
        <v>24</v>
      </c>
      <c r="I160" s="10" t="s">
        <v>61</v>
      </c>
      <c r="J160" s="50" t="s">
        <v>1996</v>
      </c>
      <c r="K160" s="10" t="s">
        <v>12</v>
      </c>
      <c r="L160" s="12">
        <f t="shared" si="18"/>
        <v>2</v>
      </c>
      <c r="M160" s="12">
        <v>2825000</v>
      </c>
      <c r="N160" s="12">
        <v>0</v>
      </c>
      <c r="O160" s="11">
        <v>5650000</v>
      </c>
      <c r="P160" s="11">
        <f t="shared" si="20"/>
        <v>5650000</v>
      </c>
      <c r="Q160" s="73">
        <v>621500</v>
      </c>
      <c r="R160" s="11"/>
      <c r="S160" s="11">
        <v>0</v>
      </c>
      <c r="T160" s="11">
        <f t="shared" si="19"/>
        <v>6271500</v>
      </c>
      <c r="U160" s="42">
        <v>2</v>
      </c>
    </row>
    <row r="161" spans="1:21" s="36" customFormat="1" ht="15.45" x14ac:dyDescent="0.35">
      <c r="A161" s="19" t="s">
        <v>1945</v>
      </c>
      <c r="B161" s="9">
        <v>45800</v>
      </c>
      <c r="C161" s="14" t="s">
        <v>1932</v>
      </c>
      <c r="D161" s="10" t="s">
        <v>1933</v>
      </c>
      <c r="E161" s="9">
        <v>45799</v>
      </c>
      <c r="F161" s="10" t="s">
        <v>1934</v>
      </c>
      <c r="G161" s="10" t="s">
        <v>1935</v>
      </c>
      <c r="H161" s="10" t="s">
        <v>24</v>
      </c>
      <c r="I161" s="10" t="s">
        <v>61</v>
      </c>
      <c r="J161" s="50" t="s">
        <v>2105</v>
      </c>
      <c r="K161" s="10" t="s">
        <v>839</v>
      </c>
      <c r="L161" s="12">
        <f t="shared" si="18"/>
        <v>30</v>
      </c>
      <c r="M161" s="12">
        <v>26800</v>
      </c>
      <c r="N161" s="12">
        <v>0</v>
      </c>
      <c r="O161" s="11">
        <v>804000</v>
      </c>
      <c r="P161" s="11">
        <f t="shared" si="20"/>
        <v>804000</v>
      </c>
      <c r="Q161" s="73">
        <v>88440</v>
      </c>
      <c r="R161" s="11"/>
      <c r="S161" s="11">
        <v>0</v>
      </c>
      <c r="T161" s="11">
        <f t="shared" si="19"/>
        <v>892440</v>
      </c>
      <c r="U161" s="42">
        <v>30</v>
      </c>
    </row>
    <row r="162" spans="1:21" s="36" customFormat="1" ht="15.45" x14ac:dyDescent="0.35">
      <c r="A162" s="20" t="s">
        <v>232</v>
      </c>
      <c r="B162" s="9">
        <v>45800</v>
      </c>
      <c r="C162" s="14" t="s">
        <v>1936</v>
      </c>
      <c r="D162" s="10" t="s">
        <v>1937</v>
      </c>
      <c r="E162" s="9">
        <v>45799</v>
      </c>
      <c r="F162" s="10" t="s">
        <v>230</v>
      </c>
      <c r="G162" s="10" t="s">
        <v>231</v>
      </c>
      <c r="H162" s="10" t="s">
        <v>23</v>
      </c>
      <c r="I162" s="10" t="s">
        <v>890</v>
      </c>
      <c r="J162" s="50" t="s">
        <v>2252</v>
      </c>
      <c r="K162" s="10" t="s">
        <v>1</v>
      </c>
      <c r="L162" s="12">
        <f t="shared" si="18"/>
        <v>200</v>
      </c>
      <c r="M162" s="12">
        <v>28000</v>
      </c>
      <c r="N162" s="12">
        <v>0</v>
      </c>
      <c r="O162" s="11">
        <v>5600000</v>
      </c>
      <c r="P162" s="11">
        <f t="shared" si="20"/>
        <v>5600000</v>
      </c>
      <c r="Q162" s="73">
        <v>616000</v>
      </c>
      <c r="R162" s="11"/>
      <c r="S162" s="11">
        <v>0</v>
      </c>
      <c r="T162" s="11">
        <f t="shared" si="19"/>
        <v>6216000</v>
      </c>
      <c r="U162" s="42">
        <v>200</v>
      </c>
    </row>
    <row r="163" spans="1:21" s="36" customFormat="1" ht="15.45" x14ac:dyDescent="0.35">
      <c r="A163" s="19" t="s">
        <v>693</v>
      </c>
      <c r="B163" s="9">
        <v>45800</v>
      </c>
      <c r="C163" s="14" t="s">
        <v>1938</v>
      </c>
      <c r="D163" s="10" t="s">
        <v>1939</v>
      </c>
      <c r="E163" s="9">
        <v>45799</v>
      </c>
      <c r="F163" s="10" t="s">
        <v>667</v>
      </c>
      <c r="G163" s="10" t="s">
        <v>1940</v>
      </c>
      <c r="H163" s="10" t="s">
        <v>24</v>
      </c>
      <c r="I163" s="10" t="s">
        <v>61</v>
      </c>
      <c r="J163" s="10"/>
      <c r="K163" s="10" t="s">
        <v>6</v>
      </c>
      <c r="L163" s="12">
        <f t="shared" si="18"/>
        <v>2</v>
      </c>
      <c r="M163" s="12">
        <v>285000</v>
      </c>
      <c r="N163" s="12">
        <v>0</v>
      </c>
      <c r="O163" s="11">
        <v>570000</v>
      </c>
      <c r="P163" s="11">
        <f t="shared" si="20"/>
        <v>570000</v>
      </c>
      <c r="Q163" s="11">
        <v>0</v>
      </c>
      <c r="R163" s="11"/>
      <c r="S163" s="11">
        <v>0</v>
      </c>
      <c r="T163" s="11">
        <f t="shared" si="19"/>
        <v>570000</v>
      </c>
      <c r="U163" s="42">
        <v>2</v>
      </c>
    </row>
    <row r="164" spans="1:21" s="36" customFormat="1" ht="15.45" x14ac:dyDescent="0.35">
      <c r="A164" s="19" t="s">
        <v>106</v>
      </c>
      <c r="B164" s="9">
        <v>45800</v>
      </c>
      <c r="C164" s="14" t="s">
        <v>1941</v>
      </c>
      <c r="D164" s="10" t="s">
        <v>1942</v>
      </c>
      <c r="E164" s="9">
        <v>45791</v>
      </c>
      <c r="F164" s="10" t="s">
        <v>66</v>
      </c>
      <c r="G164" s="10" t="s">
        <v>53</v>
      </c>
      <c r="H164" s="10" t="s">
        <v>23</v>
      </c>
      <c r="I164" s="10" t="s">
        <v>978</v>
      </c>
      <c r="J164" s="50" t="s">
        <v>2293</v>
      </c>
      <c r="K164" s="10" t="s">
        <v>1</v>
      </c>
      <c r="L164" s="12">
        <f t="shared" si="18"/>
        <v>1000</v>
      </c>
      <c r="M164" s="12">
        <v>11500</v>
      </c>
      <c r="N164" s="12">
        <v>0</v>
      </c>
      <c r="O164" s="11">
        <v>11500000</v>
      </c>
      <c r="P164" s="11">
        <f t="shared" si="20"/>
        <v>11500000</v>
      </c>
      <c r="Q164" s="11">
        <v>1265000</v>
      </c>
      <c r="R164" s="11"/>
      <c r="S164" s="11">
        <v>0</v>
      </c>
      <c r="T164" s="11">
        <f t="shared" si="19"/>
        <v>12765000</v>
      </c>
      <c r="U164" s="42">
        <v>1000</v>
      </c>
    </row>
    <row r="165" spans="1:21" s="36" customFormat="1" ht="15.45" x14ac:dyDescent="0.35">
      <c r="A165" s="19" t="s">
        <v>106</v>
      </c>
      <c r="B165" s="9">
        <v>45800</v>
      </c>
      <c r="C165" s="14" t="s">
        <v>1943</v>
      </c>
      <c r="D165" s="10" t="s">
        <v>1944</v>
      </c>
      <c r="E165" s="9">
        <v>45798</v>
      </c>
      <c r="F165" s="10" t="s">
        <v>66</v>
      </c>
      <c r="G165" s="10" t="s">
        <v>19</v>
      </c>
      <c r="H165" s="10" t="s">
        <v>23</v>
      </c>
      <c r="I165" s="10" t="s">
        <v>888</v>
      </c>
      <c r="J165" s="50" t="s">
        <v>2294</v>
      </c>
      <c r="K165" s="10" t="s">
        <v>4</v>
      </c>
      <c r="L165" s="12">
        <f t="shared" si="18"/>
        <v>200</v>
      </c>
      <c r="M165" s="12">
        <v>18500</v>
      </c>
      <c r="N165" s="12">
        <v>0</v>
      </c>
      <c r="O165" s="11">
        <v>3700000</v>
      </c>
      <c r="P165" s="11">
        <f t="shared" si="20"/>
        <v>3700000</v>
      </c>
      <c r="Q165" s="11">
        <v>407000</v>
      </c>
      <c r="R165" s="11"/>
      <c r="S165" s="11">
        <v>0</v>
      </c>
      <c r="T165" s="11">
        <f t="shared" si="19"/>
        <v>4107000</v>
      </c>
      <c r="U165" s="42">
        <v>200</v>
      </c>
    </row>
    <row r="166" spans="1:21" s="36" customFormat="1" ht="15.45" x14ac:dyDescent="0.35">
      <c r="A166" s="19" t="s">
        <v>768</v>
      </c>
      <c r="B166" s="9">
        <v>45799</v>
      </c>
      <c r="C166" s="14"/>
      <c r="D166" s="10"/>
      <c r="E166" s="9"/>
      <c r="F166" s="10" t="s">
        <v>1951</v>
      </c>
      <c r="G166" s="10" t="s">
        <v>1952</v>
      </c>
      <c r="H166" s="23" t="s">
        <v>119</v>
      </c>
      <c r="I166" s="23" t="s">
        <v>120</v>
      </c>
      <c r="J166" s="50" t="s">
        <v>1954</v>
      </c>
      <c r="K166" s="10"/>
      <c r="L166" s="12">
        <v>1</v>
      </c>
      <c r="M166" s="12">
        <v>1950000</v>
      </c>
      <c r="N166" s="12">
        <v>0</v>
      </c>
      <c r="O166" s="11">
        <f>L166*M166</f>
        <v>1950000</v>
      </c>
      <c r="P166" s="11">
        <f>O166-195000</f>
        <v>1755000</v>
      </c>
      <c r="Q166" s="73">
        <f>P166*0.11</f>
        <v>193050</v>
      </c>
      <c r="R166" s="11">
        <f>P166*2%</f>
        <v>35100</v>
      </c>
      <c r="S166" s="11">
        <f>P166*-10%</f>
        <v>-175500</v>
      </c>
      <c r="T166" s="11">
        <f>P166+Q166-R166</f>
        <v>1912950</v>
      </c>
      <c r="U166" s="42"/>
    </row>
    <row r="167" spans="1:21" s="36" customFormat="1" ht="15.45" x14ac:dyDescent="0.35">
      <c r="A167" s="19" t="s">
        <v>768</v>
      </c>
      <c r="B167" s="9">
        <v>45799</v>
      </c>
      <c r="C167" s="14"/>
      <c r="D167" s="10"/>
      <c r="E167" s="9"/>
      <c r="F167" s="10" t="s">
        <v>1951</v>
      </c>
      <c r="G167" s="10" t="s">
        <v>1953</v>
      </c>
      <c r="H167" s="23" t="s">
        <v>119</v>
      </c>
      <c r="I167" s="23" t="s">
        <v>120</v>
      </c>
      <c r="J167" s="50" t="s">
        <v>1954</v>
      </c>
      <c r="K167" s="10"/>
      <c r="L167" s="12">
        <v>1</v>
      </c>
      <c r="M167" s="12">
        <v>750000</v>
      </c>
      <c r="N167" s="12">
        <v>0</v>
      </c>
      <c r="O167" s="11">
        <f>L167*M167</f>
        <v>750000</v>
      </c>
      <c r="P167" s="11">
        <f t="shared" ref="P167:P183" si="21">O167</f>
        <v>750000</v>
      </c>
      <c r="Q167" s="73">
        <f>P167*0.11</f>
        <v>82500</v>
      </c>
      <c r="R167" s="11">
        <f>P167*2%</f>
        <v>15000</v>
      </c>
      <c r="S167" s="11"/>
      <c r="T167" s="11">
        <f>P167+Q167-R167</f>
        <v>817500</v>
      </c>
      <c r="U167" s="42"/>
    </row>
    <row r="168" spans="1:21" s="36" customFormat="1" ht="15.45" x14ac:dyDescent="0.35">
      <c r="A168" s="19" t="s">
        <v>768</v>
      </c>
      <c r="B168" s="9">
        <v>45783</v>
      </c>
      <c r="C168" s="14"/>
      <c r="D168" s="10"/>
      <c r="E168" s="9"/>
      <c r="F168" s="10" t="s">
        <v>1951</v>
      </c>
      <c r="G168" s="10" t="s">
        <v>1956</v>
      </c>
      <c r="H168" s="23" t="s">
        <v>119</v>
      </c>
      <c r="I168" s="23" t="s">
        <v>120</v>
      </c>
      <c r="J168" s="50" t="s">
        <v>1957</v>
      </c>
      <c r="K168" s="10"/>
      <c r="L168" s="12">
        <v>1</v>
      </c>
      <c r="M168" s="12">
        <v>1235000</v>
      </c>
      <c r="N168" s="12">
        <v>0</v>
      </c>
      <c r="O168" s="11">
        <f>L168*M168</f>
        <v>1235000</v>
      </c>
      <c r="P168" s="11">
        <f t="shared" si="21"/>
        <v>1235000</v>
      </c>
      <c r="Q168" s="73">
        <f>P168*0.11</f>
        <v>135850</v>
      </c>
      <c r="R168" s="11">
        <f>P168*2%</f>
        <v>24700</v>
      </c>
      <c r="S168" s="11"/>
      <c r="T168" s="11">
        <f>P168+Q168-R168</f>
        <v>1346150</v>
      </c>
      <c r="U168" s="42"/>
    </row>
    <row r="169" spans="1:21" s="36" customFormat="1" ht="15.45" x14ac:dyDescent="0.35">
      <c r="A169" s="19" t="s">
        <v>768</v>
      </c>
      <c r="B169" s="9">
        <v>45783</v>
      </c>
      <c r="C169" s="14"/>
      <c r="D169" s="10"/>
      <c r="E169" s="9"/>
      <c r="F169" s="10" t="s">
        <v>1951</v>
      </c>
      <c r="G169" s="10" t="s">
        <v>1955</v>
      </c>
      <c r="H169" s="23" t="s">
        <v>119</v>
      </c>
      <c r="I169" s="23" t="s">
        <v>120</v>
      </c>
      <c r="J169" s="50"/>
      <c r="K169" s="10"/>
      <c r="L169" s="12">
        <v>1</v>
      </c>
      <c r="M169" s="12">
        <v>617500</v>
      </c>
      <c r="N169" s="12">
        <v>0</v>
      </c>
      <c r="O169" s="11">
        <f>L169*M169</f>
        <v>617500</v>
      </c>
      <c r="P169" s="11">
        <f t="shared" si="21"/>
        <v>617500</v>
      </c>
      <c r="Q169" s="73"/>
      <c r="R169" s="11"/>
      <c r="S169" s="11"/>
      <c r="T169" s="11">
        <f>P169+Q169-R169</f>
        <v>617500</v>
      </c>
      <c r="U169" s="42"/>
    </row>
    <row r="170" spans="1:21" s="36" customFormat="1" ht="15.45" x14ac:dyDescent="0.35">
      <c r="A170" s="19" t="s">
        <v>768</v>
      </c>
      <c r="B170" s="9">
        <v>45783</v>
      </c>
      <c r="C170" s="14"/>
      <c r="D170" s="10"/>
      <c r="E170" s="9"/>
      <c r="F170" s="10" t="s">
        <v>1951</v>
      </c>
      <c r="G170" s="10" t="s">
        <v>599</v>
      </c>
      <c r="H170" s="23" t="s">
        <v>119</v>
      </c>
      <c r="I170" s="23" t="s">
        <v>120</v>
      </c>
      <c r="J170" s="10"/>
      <c r="K170" s="10"/>
      <c r="L170" s="12">
        <v>1</v>
      </c>
      <c r="M170" s="12">
        <v>750000</v>
      </c>
      <c r="N170" s="12">
        <v>0</v>
      </c>
      <c r="O170" s="11">
        <f>L170*M170</f>
        <v>750000</v>
      </c>
      <c r="P170" s="11">
        <f t="shared" si="21"/>
        <v>750000</v>
      </c>
      <c r="Q170" s="73"/>
      <c r="R170" s="11"/>
      <c r="S170" s="11"/>
      <c r="T170" s="11">
        <f>P170+Q170-R170</f>
        <v>750000</v>
      </c>
      <c r="U170" s="42"/>
    </row>
    <row r="171" spans="1:21" s="36" customFormat="1" ht="15.45" x14ac:dyDescent="0.35">
      <c r="A171" s="20" t="s">
        <v>328</v>
      </c>
      <c r="B171" s="9">
        <v>45801</v>
      </c>
      <c r="C171" s="14" t="s">
        <v>1958</v>
      </c>
      <c r="D171" s="10" t="s">
        <v>1959</v>
      </c>
      <c r="E171" s="9">
        <v>45784</v>
      </c>
      <c r="F171" s="10" t="s">
        <v>196</v>
      </c>
      <c r="G171" s="10" t="s">
        <v>1960</v>
      </c>
      <c r="H171" s="10" t="s">
        <v>24</v>
      </c>
      <c r="I171" s="10" t="s">
        <v>61</v>
      </c>
      <c r="J171" s="10"/>
      <c r="K171" s="10" t="s">
        <v>140</v>
      </c>
      <c r="L171" s="12">
        <f t="shared" ref="L171:L183" si="22">IF(LEFT(C171,2)="RP",U171*-1,U171)</f>
        <v>28</v>
      </c>
      <c r="M171" s="12">
        <v>900000</v>
      </c>
      <c r="N171" s="12">
        <v>0</v>
      </c>
      <c r="O171" s="11">
        <v>25200000</v>
      </c>
      <c r="P171" s="11">
        <f t="shared" si="21"/>
        <v>25200000</v>
      </c>
      <c r="Q171" s="11">
        <v>0</v>
      </c>
      <c r="R171" s="11"/>
      <c r="S171" s="11">
        <v>0</v>
      </c>
      <c r="T171" s="11">
        <f>P171+Q171-S171</f>
        <v>25200000</v>
      </c>
      <c r="U171" s="42">
        <v>28</v>
      </c>
    </row>
    <row r="172" spans="1:21" s="36" customFormat="1" ht="15.45" x14ac:dyDescent="0.35">
      <c r="A172" s="19" t="s">
        <v>98</v>
      </c>
      <c r="B172" s="9">
        <v>45802</v>
      </c>
      <c r="C172" s="14" t="s">
        <v>1997</v>
      </c>
      <c r="D172" s="10" t="s">
        <v>1646</v>
      </c>
      <c r="E172" s="9">
        <v>45778</v>
      </c>
      <c r="F172" s="10" t="s">
        <v>84</v>
      </c>
      <c r="G172" s="10" t="s">
        <v>175</v>
      </c>
      <c r="H172" s="10" t="s">
        <v>25</v>
      </c>
      <c r="I172" s="10" t="s">
        <v>79</v>
      </c>
      <c r="J172" s="50" t="s">
        <v>2045</v>
      </c>
      <c r="K172" s="10" t="s">
        <v>1</v>
      </c>
      <c r="L172" s="12">
        <f t="shared" si="22"/>
        <v>32720</v>
      </c>
      <c r="M172" s="12">
        <v>1250</v>
      </c>
      <c r="N172" s="12">
        <v>0</v>
      </c>
      <c r="O172" s="11">
        <v>40900000</v>
      </c>
      <c r="P172" s="11">
        <f t="shared" si="21"/>
        <v>40900000</v>
      </c>
      <c r="Q172" s="73">
        <v>4499000</v>
      </c>
      <c r="R172" s="11">
        <f>P172*1.5%</f>
        <v>613500</v>
      </c>
      <c r="S172" s="11">
        <v>0</v>
      </c>
      <c r="T172" s="11">
        <f>P172+Q172-S172-R172</f>
        <v>44785500</v>
      </c>
      <c r="U172" s="42">
        <v>32720</v>
      </c>
    </row>
    <row r="173" spans="1:21" s="36" customFormat="1" ht="15.45" x14ac:dyDescent="0.35">
      <c r="A173" s="19" t="s">
        <v>115</v>
      </c>
      <c r="B173" s="9">
        <v>45802</v>
      </c>
      <c r="C173" s="14" t="s">
        <v>1998</v>
      </c>
      <c r="D173" s="10" t="s">
        <v>1680</v>
      </c>
      <c r="E173" s="9">
        <v>45780</v>
      </c>
      <c r="F173" s="10" t="s">
        <v>81</v>
      </c>
      <c r="G173" s="10" t="s">
        <v>89</v>
      </c>
      <c r="H173" s="10" t="s">
        <v>25</v>
      </c>
      <c r="I173" s="10" t="s">
        <v>79</v>
      </c>
      <c r="J173" s="50" t="s">
        <v>2288</v>
      </c>
      <c r="K173" s="10" t="s">
        <v>1</v>
      </c>
      <c r="L173" s="12">
        <f t="shared" si="22"/>
        <v>29650</v>
      </c>
      <c r="M173" s="12">
        <v>1565</v>
      </c>
      <c r="N173" s="12">
        <v>0</v>
      </c>
      <c r="O173" s="11">
        <v>46402250</v>
      </c>
      <c r="P173" s="11">
        <f t="shared" si="21"/>
        <v>46402250</v>
      </c>
      <c r="Q173" s="73">
        <v>5104247.5</v>
      </c>
      <c r="R173" s="11">
        <f>P173*1.5%</f>
        <v>696033.75</v>
      </c>
      <c r="S173" s="11">
        <v>0</v>
      </c>
      <c r="T173" s="11">
        <f>P173+Q173-S173-R173</f>
        <v>50810463.75</v>
      </c>
      <c r="U173" s="42">
        <v>29650</v>
      </c>
    </row>
    <row r="174" spans="1:21" s="36" customFormat="1" ht="15.45" x14ac:dyDescent="0.35">
      <c r="A174" s="19" t="s">
        <v>99</v>
      </c>
      <c r="B174" s="9">
        <v>45803</v>
      </c>
      <c r="C174" s="14" t="s">
        <v>1999</v>
      </c>
      <c r="D174" s="10" t="s">
        <v>2000</v>
      </c>
      <c r="E174" s="9">
        <v>45798</v>
      </c>
      <c r="F174" s="10" t="s">
        <v>64</v>
      </c>
      <c r="G174" s="10" t="s">
        <v>43</v>
      </c>
      <c r="H174" s="10" t="s">
        <v>23</v>
      </c>
      <c r="I174" s="10" t="s">
        <v>887</v>
      </c>
      <c r="J174" s="50" t="s">
        <v>2116</v>
      </c>
      <c r="K174" s="10" t="s">
        <v>1</v>
      </c>
      <c r="L174" s="12">
        <f t="shared" si="22"/>
        <v>1</v>
      </c>
      <c r="M174" s="12">
        <v>1500000</v>
      </c>
      <c r="N174" s="12">
        <v>0</v>
      </c>
      <c r="O174" s="11">
        <v>1500000</v>
      </c>
      <c r="P174" s="11">
        <f t="shared" si="21"/>
        <v>1500000</v>
      </c>
      <c r="Q174" s="73">
        <v>165000</v>
      </c>
      <c r="R174" s="11"/>
      <c r="S174" s="11">
        <v>0</v>
      </c>
      <c r="T174" s="11">
        <f t="shared" ref="T174:T183" si="23">P174+Q174-S174</f>
        <v>1665000</v>
      </c>
      <c r="U174" s="42">
        <v>1</v>
      </c>
    </row>
    <row r="175" spans="1:21" s="36" customFormat="1" ht="15.45" x14ac:dyDescent="0.35">
      <c r="A175" s="19" t="s">
        <v>1113</v>
      </c>
      <c r="B175" s="9">
        <v>45803</v>
      </c>
      <c r="C175" s="14" t="s">
        <v>2001</v>
      </c>
      <c r="D175" s="10" t="s">
        <v>2002</v>
      </c>
      <c r="E175" s="9">
        <v>45799</v>
      </c>
      <c r="F175" s="10" t="s">
        <v>1059</v>
      </c>
      <c r="G175" s="10" t="s">
        <v>2003</v>
      </c>
      <c r="H175" s="10" t="s">
        <v>24</v>
      </c>
      <c r="I175" s="10" t="s">
        <v>61</v>
      </c>
      <c r="J175" s="50" t="s">
        <v>2106</v>
      </c>
      <c r="K175" s="10" t="s">
        <v>6</v>
      </c>
      <c r="L175" s="12">
        <f t="shared" si="22"/>
        <v>10</v>
      </c>
      <c r="M175" s="12">
        <v>90000</v>
      </c>
      <c r="N175" s="12">
        <v>0</v>
      </c>
      <c r="O175" s="11">
        <v>900000</v>
      </c>
      <c r="P175" s="11">
        <f t="shared" si="21"/>
        <v>900000</v>
      </c>
      <c r="Q175" s="73">
        <v>99000</v>
      </c>
      <c r="R175" s="11"/>
      <c r="S175" s="11">
        <v>0</v>
      </c>
      <c r="T175" s="11">
        <f t="shared" si="23"/>
        <v>999000</v>
      </c>
      <c r="U175" s="42">
        <v>10</v>
      </c>
    </row>
    <row r="176" spans="1:21" s="36" customFormat="1" ht="15.45" x14ac:dyDescent="0.35">
      <c r="A176" s="20" t="s">
        <v>2044</v>
      </c>
      <c r="B176" s="9">
        <v>45803</v>
      </c>
      <c r="C176" s="14" t="s">
        <v>2004</v>
      </c>
      <c r="D176" s="10" t="s">
        <v>2005</v>
      </c>
      <c r="E176" s="9">
        <v>45799</v>
      </c>
      <c r="F176" s="10" t="s">
        <v>2006</v>
      </c>
      <c r="G176" s="10" t="s">
        <v>2007</v>
      </c>
      <c r="H176" s="10" t="s">
        <v>23</v>
      </c>
      <c r="I176" s="10" t="s">
        <v>890</v>
      </c>
      <c r="J176" s="50" t="s">
        <v>2259</v>
      </c>
      <c r="K176" s="10" t="s">
        <v>1</v>
      </c>
      <c r="L176" s="12">
        <f t="shared" si="22"/>
        <v>200</v>
      </c>
      <c r="M176" s="12">
        <v>17952</v>
      </c>
      <c r="N176" s="12">
        <v>16320</v>
      </c>
      <c r="O176" s="11">
        <v>3590400</v>
      </c>
      <c r="P176" s="11">
        <f t="shared" si="21"/>
        <v>3590400</v>
      </c>
      <c r="Q176" s="73">
        <v>394944</v>
      </c>
      <c r="R176" s="11"/>
      <c r="S176" s="11">
        <v>0</v>
      </c>
      <c r="T176" s="11">
        <f t="shared" si="23"/>
        <v>3985344</v>
      </c>
      <c r="U176" s="42">
        <v>200</v>
      </c>
    </row>
    <row r="177" spans="1:21" s="36" customFormat="1" ht="15.45" x14ac:dyDescent="0.35">
      <c r="A177" s="19" t="s">
        <v>592</v>
      </c>
      <c r="B177" s="9">
        <v>45803</v>
      </c>
      <c r="C177" s="14" t="s">
        <v>2008</v>
      </c>
      <c r="D177" s="10" t="s">
        <v>2009</v>
      </c>
      <c r="E177" s="9">
        <v>45799</v>
      </c>
      <c r="F177" s="10" t="s">
        <v>585</v>
      </c>
      <c r="G177" s="10" t="s">
        <v>2010</v>
      </c>
      <c r="H177" s="10" t="s">
        <v>23</v>
      </c>
      <c r="I177" s="10" t="s">
        <v>891</v>
      </c>
      <c r="J177" s="50" t="s">
        <v>2113</v>
      </c>
      <c r="K177" s="10" t="s">
        <v>1</v>
      </c>
      <c r="L177" s="12">
        <f t="shared" si="22"/>
        <v>150</v>
      </c>
      <c r="M177" s="12">
        <v>13000</v>
      </c>
      <c r="N177" s="12">
        <v>0</v>
      </c>
      <c r="O177" s="11">
        <v>1950000</v>
      </c>
      <c r="P177" s="11">
        <f t="shared" si="21"/>
        <v>1950000</v>
      </c>
      <c r="Q177" s="73">
        <v>214500</v>
      </c>
      <c r="R177" s="11"/>
      <c r="S177" s="11">
        <v>0</v>
      </c>
      <c r="T177" s="11">
        <f t="shared" si="23"/>
        <v>2164500</v>
      </c>
      <c r="U177" s="42">
        <v>150</v>
      </c>
    </row>
    <row r="178" spans="1:21" s="36" customFormat="1" ht="15.45" x14ac:dyDescent="0.35">
      <c r="A178" s="19" t="s">
        <v>149</v>
      </c>
      <c r="B178" s="9">
        <v>45804</v>
      </c>
      <c r="C178" s="14" t="s">
        <v>2011</v>
      </c>
      <c r="D178" s="10" t="s">
        <v>2012</v>
      </c>
      <c r="E178" s="9">
        <v>45799</v>
      </c>
      <c r="F178" s="10" t="s">
        <v>143</v>
      </c>
      <c r="G178" s="10" t="s">
        <v>2013</v>
      </c>
      <c r="H178" s="10" t="s">
        <v>24</v>
      </c>
      <c r="I178" s="10" t="s">
        <v>61</v>
      </c>
      <c r="J178" s="50" t="s">
        <v>2108</v>
      </c>
      <c r="K178" s="10" t="s">
        <v>6</v>
      </c>
      <c r="L178" s="12">
        <f t="shared" si="22"/>
        <v>5</v>
      </c>
      <c r="M178" s="12">
        <v>650000</v>
      </c>
      <c r="N178" s="12">
        <v>0</v>
      </c>
      <c r="O178" s="11">
        <v>3250000</v>
      </c>
      <c r="P178" s="11">
        <f t="shared" si="21"/>
        <v>3250000</v>
      </c>
      <c r="Q178" s="73">
        <v>357500</v>
      </c>
      <c r="R178" s="11"/>
      <c r="S178" s="11">
        <v>0</v>
      </c>
      <c r="T178" s="11">
        <f t="shared" si="23"/>
        <v>3607500</v>
      </c>
      <c r="U178" s="42">
        <v>5</v>
      </c>
    </row>
    <row r="179" spans="1:21" s="36" customFormat="1" ht="15.45" x14ac:dyDescent="0.35">
      <c r="A179" s="19" t="s">
        <v>694</v>
      </c>
      <c r="B179" s="9">
        <v>45804</v>
      </c>
      <c r="C179" s="14" t="s">
        <v>2014</v>
      </c>
      <c r="D179" s="10" t="s">
        <v>2015</v>
      </c>
      <c r="E179" s="9">
        <v>45803</v>
      </c>
      <c r="F179" s="10" t="s">
        <v>608</v>
      </c>
      <c r="G179" s="10" t="s">
        <v>610</v>
      </c>
      <c r="H179" s="10" t="s">
        <v>24</v>
      </c>
      <c r="I179" s="10" t="s">
        <v>61</v>
      </c>
      <c r="J179" s="10"/>
      <c r="K179" s="10" t="s">
        <v>6</v>
      </c>
      <c r="L179" s="12">
        <f t="shared" si="22"/>
        <v>1</v>
      </c>
      <c r="M179" s="12">
        <v>855000</v>
      </c>
      <c r="N179" s="12">
        <v>0</v>
      </c>
      <c r="O179" s="11">
        <v>855000</v>
      </c>
      <c r="P179" s="11">
        <f t="shared" si="21"/>
        <v>855000</v>
      </c>
      <c r="Q179" s="11">
        <v>0</v>
      </c>
      <c r="R179" s="11"/>
      <c r="S179" s="11">
        <v>0</v>
      </c>
      <c r="T179" s="11">
        <f t="shared" si="23"/>
        <v>855000</v>
      </c>
      <c r="U179" s="42">
        <v>1</v>
      </c>
    </row>
    <row r="180" spans="1:21" s="36" customFormat="1" ht="15.45" x14ac:dyDescent="0.35">
      <c r="A180" s="19" t="s">
        <v>694</v>
      </c>
      <c r="B180" s="9">
        <v>45804</v>
      </c>
      <c r="C180" s="14" t="s">
        <v>2014</v>
      </c>
      <c r="D180" s="10" t="s">
        <v>2015</v>
      </c>
      <c r="E180" s="9">
        <v>45803</v>
      </c>
      <c r="F180" s="10" t="s">
        <v>608</v>
      </c>
      <c r="G180" s="10" t="s">
        <v>2016</v>
      </c>
      <c r="H180" s="10" t="s">
        <v>190</v>
      </c>
      <c r="I180" s="10" t="s">
        <v>191</v>
      </c>
      <c r="J180" s="10"/>
      <c r="K180" s="10" t="s">
        <v>6</v>
      </c>
      <c r="L180" s="12">
        <f t="shared" si="22"/>
        <v>1</v>
      </c>
      <c r="M180" s="12">
        <v>2128500</v>
      </c>
      <c r="N180" s="12">
        <v>0</v>
      </c>
      <c r="O180" s="11">
        <v>2128500</v>
      </c>
      <c r="P180" s="11">
        <f t="shared" si="21"/>
        <v>2128500</v>
      </c>
      <c r="Q180" s="11">
        <v>0</v>
      </c>
      <c r="R180" s="11"/>
      <c r="S180" s="11">
        <v>0</v>
      </c>
      <c r="T180" s="11">
        <f t="shared" si="23"/>
        <v>2128500</v>
      </c>
      <c r="U180" s="42">
        <v>1</v>
      </c>
    </row>
    <row r="181" spans="1:21" s="36" customFormat="1" ht="15.45" x14ac:dyDescent="0.35">
      <c r="A181" s="19" t="s">
        <v>110</v>
      </c>
      <c r="B181" s="9">
        <v>45805</v>
      </c>
      <c r="C181" s="14" t="s">
        <v>2017</v>
      </c>
      <c r="D181" s="10" t="s">
        <v>1661</v>
      </c>
      <c r="E181" s="9">
        <v>45773</v>
      </c>
      <c r="F181" s="10" t="s">
        <v>72</v>
      </c>
      <c r="G181" s="10" t="s">
        <v>29</v>
      </c>
      <c r="H181" s="10" t="s">
        <v>23</v>
      </c>
      <c r="I181" s="10" t="s">
        <v>887</v>
      </c>
      <c r="J181" s="50" t="s">
        <v>2111</v>
      </c>
      <c r="K181" s="10" t="s">
        <v>1</v>
      </c>
      <c r="L181" s="12">
        <f t="shared" si="22"/>
        <v>5000</v>
      </c>
      <c r="M181" s="12">
        <v>5500</v>
      </c>
      <c r="N181" s="12">
        <v>0</v>
      </c>
      <c r="O181" s="11">
        <v>27500000</v>
      </c>
      <c r="P181" s="11">
        <f t="shared" si="21"/>
        <v>27500000</v>
      </c>
      <c r="Q181" s="73">
        <v>3025000</v>
      </c>
      <c r="R181" s="11"/>
      <c r="S181" s="11">
        <v>0</v>
      </c>
      <c r="T181" s="11">
        <f t="shared" si="23"/>
        <v>30525000</v>
      </c>
      <c r="U181" s="42">
        <v>5000</v>
      </c>
    </row>
    <row r="182" spans="1:21" s="36" customFormat="1" ht="15.45" x14ac:dyDescent="0.35">
      <c r="A182" s="19" t="s">
        <v>105</v>
      </c>
      <c r="B182" s="9">
        <v>45805</v>
      </c>
      <c r="C182" s="14" t="s">
        <v>2018</v>
      </c>
      <c r="D182" s="10" t="s">
        <v>1929</v>
      </c>
      <c r="E182" s="9">
        <v>45799</v>
      </c>
      <c r="F182" s="10" t="s">
        <v>85</v>
      </c>
      <c r="G182" s="10" t="s">
        <v>660</v>
      </c>
      <c r="H182" s="10" t="s">
        <v>23</v>
      </c>
      <c r="I182" s="10" t="s">
        <v>890</v>
      </c>
      <c r="J182" s="50" t="s">
        <v>2256</v>
      </c>
      <c r="K182" s="10" t="s">
        <v>1</v>
      </c>
      <c r="L182" s="12">
        <f t="shared" si="22"/>
        <v>1200</v>
      </c>
      <c r="M182" s="12">
        <v>24480</v>
      </c>
      <c r="N182" s="12">
        <v>16320</v>
      </c>
      <c r="O182" s="11">
        <v>29376000</v>
      </c>
      <c r="P182" s="11">
        <f t="shared" si="21"/>
        <v>29376000</v>
      </c>
      <c r="Q182" s="73">
        <v>3231360</v>
      </c>
      <c r="R182" s="11"/>
      <c r="S182" s="11">
        <v>0</v>
      </c>
      <c r="T182" s="11">
        <f t="shared" si="23"/>
        <v>32607360</v>
      </c>
      <c r="U182" s="42">
        <v>1200</v>
      </c>
    </row>
    <row r="183" spans="1:21" s="36" customFormat="1" ht="15.45" x14ac:dyDescent="0.35">
      <c r="A183" s="19" t="s">
        <v>114</v>
      </c>
      <c r="B183" s="9">
        <v>45805</v>
      </c>
      <c r="C183" s="14" t="s">
        <v>2019</v>
      </c>
      <c r="D183" s="10" t="s">
        <v>1863</v>
      </c>
      <c r="E183" s="9">
        <v>45793</v>
      </c>
      <c r="F183" s="10" t="s">
        <v>71</v>
      </c>
      <c r="G183" s="10" t="s">
        <v>76</v>
      </c>
      <c r="H183" s="10" t="s">
        <v>23</v>
      </c>
      <c r="I183" s="10" t="s">
        <v>978</v>
      </c>
      <c r="J183" s="50" t="s">
        <v>2251</v>
      </c>
      <c r="K183" s="10" t="s">
        <v>1</v>
      </c>
      <c r="L183" s="12">
        <f t="shared" si="22"/>
        <v>1000</v>
      </c>
      <c r="M183" s="12">
        <v>30344</v>
      </c>
      <c r="N183" s="12">
        <v>16402</v>
      </c>
      <c r="O183" s="11">
        <v>30344000</v>
      </c>
      <c r="P183" s="11">
        <f t="shared" si="21"/>
        <v>30344000</v>
      </c>
      <c r="Q183" s="73">
        <v>3337840</v>
      </c>
      <c r="R183" s="11"/>
      <c r="S183" s="11">
        <v>0</v>
      </c>
      <c r="T183" s="11">
        <f t="shared" si="23"/>
        <v>33681840</v>
      </c>
      <c r="U183" s="42">
        <v>1000</v>
      </c>
    </row>
    <row r="184" spans="1:21" s="36" customFormat="1" ht="15.45" x14ac:dyDescent="0.35">
      <c r="A184" s="19" t="s">
        <v>98</v>
      </c>
      <c r="B184" s="9">
        <v>45805</v>
      </c>
      <c r="C184" s="14" t="s">
        <v>2020</v>
      </c>
      <c r="D184" s="10" t="s">
        <v>1646</v>
      </c>
      <c r="E184" s="9">
        <v>45778</v>
      </c>
      <c r="F184" s="10" t="s">
        <v>84</v>
      </c>
      <c r="G184" s="10" t="s">
        <v>175</v>
      </c>
      <c r="H184" s="10" t="s">
        <v>25</v>
      </c>
      <c r="I184" s="10" t="s">
        <v>79</v>
      </c>
      <c r="J184" s="50" t="s">
        <v>2045</v>
      </c>
      <c r="K184" s="10" t="s">
        <v>1</v>
      </c>
      <c r="L184" s="12">
        <f t="shared" ref="L184:L194" si="24">IF(LEFT(C184,2)="RP",U184*-1,U184)</f>
        <v>29760</v>
      </c>
      <c r="M184" s="12">
        <v>1250</v>
      </c>
      <c r="N184" s="12">
        <v>0</v>
      </c>
      <c r="O184" s="11">
        <v>37200000</v>
      </c>
      <c r="P184" s="11">
        <f t="shared" ref="P184:P195" si="25">O184</f>
        <v>37200000</v>
      </c>
      <c r="Q184" s="73">
        <v>4092000</v>
      </c>
      <c r="R184" s="11">
        <f>P184*1.5%</f>
        <v>558000</v>
      </c>
      <c r="S184" s="11">
        <v>0</v>
      </c>
      <c r="T184" s="11">
        <f>P184+Q184-S184-R184</f>
        <v>40734000</v>
      </c>
      <c r="U184" s="42">
        <v>29760</v>
      </c>
    </row>
    <row r="185" spans="1:21" s="36" customFormat="1" ht="15.45" x14ac:dyDescent="0.35">
      <c r="A185" s="19" t="s">
        <v>98</v>
      </c>
      <c r="B185" s="9">
        <v>45805</v>
      </c>
      <c r="C185" s="14" t="s">
        <v>2021</v>
      </c>
      <c r="D185" s="10" t="s">
        <v>2022</v>
      </c>
      <c r="E185" s="9">
        <v>45805</v>
      </c>
      <c r="F185" s="10" t="s">
        <v>84</v>
      </c>
      <c r="G185" s="10" t="s">
        <v>89</v>
      </c>
      <c r="H185" s="10" t="s">
        <v>25</v>
      </c>
      <c r="I185" s="10" t="s">
        <v>79</v>
      </c>
      <c r="J185" s="50" t="s">
        <v>2050</v>
      </c>
      <c r="K185" s="10" t="s">
        <v>1</v>
      </c>
      <c r="L185" s="12">
        <f t="shared" si="24"/>
        <v>30880</v>
      </c>
      <c r="M185" s="12">
        <v>1535</v>
      </c>
      <c r="N185" s="12">
        <v>0</v>
      </c>
      <c r="O185" s="11">
        <v>47400800</v>
      </c>
      <c r="P185" s="11">
        <f t="shared" si="25"/>
        <v>47400800</v>
      </c>
      <c r="Q185" s="73">
        <v>5214088</v>
      </c>
      <c r="R185" s="11">
        <f>P185*1.5%</f>
        <v>711012</v>
      </c>
      <c r="S185" s="11">
        <v>0</v>
      </c>
      <c r="T185" s="11">
        <f>P185+Q185-S185-R185</f>
        <v>51903876</v>
      </c>
      <c r="U185" s="42">
        <v>30880</v>
      </c>
    </row>
    <row r="186" spans="1:21" s="36" customFormat="1" ht="15.45" x14ac:dyDescent="0.35">
      <c r="A186" s="19" t="s">
        <v>96</v>
      </c>
      <c r="B186" s="9">
        <v>45806</v>
      </c>
      <c r="C186" s="14" t="s">
        <v>2023</v>
      </c>
      <c r="D186" s="10" t="s">
        <v>2024</v>
      </c>
      <c r="E186" s="9">
        <v>45805</v>
      </c>
      <c r="F186" s="10" t="s">
        <v>39</v>
      </c>
      <c r="G186" s="10" t="s">
        <v>2025</v>
      </c>
      <c r="H186" s="10" t="s">
        <v>24</v>
      </c>
      <c r="I186" s="10" t="s">
        <v>61</v>
      </c>
      <c r="J186" s="10"/>
      <c r="K186" s="10" t="s">
        <v>6</v>
      </c>
      <c r="L186" s="12">
        <f t="shared" si="24"/>
        <v>4</v>
      </c>
      <c r="M186" s="12">
        <v>1450000</v>
      </c>
      <c r="N186" s="12">
        <v>0</v>
      </c>
      <c r="O186" s="11">
        <v>5800000</v>
      </c>
      <c r="P186" s="11">
        <f t="shared" si="25"/>
        <v>5800000</v>
      </c>
      <c r="Q186" s="11">
        <v>0</v>
      </c>
      <c r="R186" s="11"/>
      <c r="S186" s="11">
        <v>0</v>
      </c>
      <c r="T186" s="11">
        <f t="shared" ref="T186:T194" si="26">P186+Q186-S186</f>
        <v>5800000</v>
      </c>
      <c r="U186" s="42">
        <v>4</v>
      </c>
    </row>
    <row r="187" spans="1:21" s="36" customFormat="1" ht="15.45" x14ac:dyDescent="0.35">
      <c r="A187" s="19" t="s">
        <v>133</v>
      </c>
      <c r="B187" s="9">
        <v>45807</v>
      </c>
      <c r="C187" s="14" t="s">
        <v>2026</v>
      </c>
      <c r="D187" s="10" t="s">
        <v>2027</v>
      </c>
      <c r="E187" s="9">
        <v>45805</v>
      </c>
      <c r="F187" s="10" t="s">
        <v>121</v>
      </c>
      <c r="G187" s="10" t="s">
        <v>122</v>
      </c>
      <c r="H187" s="10" t="s">
        <v>24</v>
      </c>
      <c r="I187" s="10" t="s">
        <v>61</v>
      </c>
      <c r="J187" s="10"/>
      <c r="K187" s="10" t="s">
        <v>123</v>
      </c>
      <c r="L187" s="12">
        <f t="shared" si="24"/>
        <v>72</v>
      </c>
      <c r="M187" s="12">
        <v>19584</v>
      </c>
      <c r="N187" s="12">
        <v>0</v>
      </c>
      <c r="O187" s="11">
        <v>1410048</v>
      </c>
      <c r="P187" s="11">
        <f t="shared" si="25"/>
        <v>1410048</v>
      </c>
      <c r="Q187" s="11">
        <v>0</v>
      </c>
      <c r="R187" s="11"/>
      <c r="S187" s="11">
        <v>0</v>
      </c>
      <c r="T187" s="11">
        <f t="shared" si="26"/>
        <v>1410048</v>
      </c>
      <c r="U187" s="42">
        <v>72</v>
      </c>
    </row>
    <row r="188" spans="1:21" s="36" customFormat="1" ht="15.45" x14ac:dyDescent="0.35">
      <c r="A188" s="19" t="s">
        <v>692</v>
      </c>
      <c r="B188" s="9">
        <v>45807</v>
      </c>
      <c r="C188" s="14" t="s">
        <v>2028</v>
      </c>
      <c r="D188" s="10" t="s">
        <v>2029</v>
      </c>
      <c r="E188" s="9">
        <v>45805</v>
      </c>
      <c r="F188" s="10" t="s">
        <v>676</v>
      </c>
      <c r="G188" s="10" t="s">
        <v>553</v>
      </c>
      <c r="H188" s="10" t="s">
        <v>24</v>
      </c>
      <c r="I188" s="10" t="s">
        <v>61</v>
      </c>
      <c r="J188" s="50" t="s">
        <v>2107</v>
      </c>
      <c r="K188" s="10" t="s">
        <v>8</v>
      </c>
      <c r="L188" s="12">
        <f t="shared" si="24"/>
        <v>6</v>
      </c>
      <c r="M188" s="12">
        <v>19400</v>
      </c>
      <c r="N188" s="12">
        <v>0</v>
      </c>
      <c r="O188" s="11">
        <v>116400</v>
      </c>
      <c r="P188" s="11">
        <f t="shared" si="25"/>
        <v>116400</v>
      </c>
      <c r="Q188" s="73">
        <v>12804</v>
      </c>
      <c r="R188" s="11"/>
      <c r="S188" s="11">
        <v>0</v>
      </c>
      <c r="T188" s="11">
        <f t="shared" si="26"/>
        <v>129204</v>
      </c>
      <c r="U188" s="42">
        <v>6</v>
      </c>
    </row>
    <row r="189" spans="1:21" s="36" customFormat="1" ht="15.45" x14ac:dyDescent="0.35">
      <c r="A189" s="19" t="s">
        <v>692</v>
      </c>
      <c r="B189" s="9">
        <v>45807</v>
      </c>
      <c r="C189" s="14" t="s">
        <v>2028</v>
      </c>
      <c r="D189" s="10" t="s">
        <v>2029</v>
      </c>
      <c r="E189" s="9">
        <v>45805</v>
      </c>
      <c r="F189" s="10" t="s">
        <v>676</v>
      </c>
      <c r="G189" s="10" t="s">
        <v>90</v>
      </c>
      <c r="H189" s="10" t="s">
        <v>24</v>
      </c>
      <c r="I189" s="10" t="s">
        <v>61</v>
      </c>
      <c r="J189" s="50" t="s">
        <v>2107</v>
      </c>
      <c r="K189" s="10" t="s">
        <v>6</v>
      </c>
      <c r="L189" s="12">
        <f t="shared" si="24"/>
        <v>60</v>
      </c>
      <c r="M189" s="12">
        <v>2800</v>
      </c>
      <c r="N189" s="12">
        <v>0</v>
      </c>
      <c r="O189" s="11">
        <v>168000</v>
      </c>
      <c r="P189" s="11">
        <f t="shared" si="25"/>
        <v>168000</v>
      </c>
      <c r="Q189" s="73">
        <v>18480</v>
      </c>
      <c r="R189" s="11"/>
      <c r="S189" s="11">
        <v>0</v>
      </c>
      <c r="T189" s="11">
        <f t="shared" si="26"/>
        <v>186480</v>
      </c>
      <c r="U189" s="42">
        <v>60</v>
      </c>
    </row>
    <row r="190" spans="1:21" s="36" customFormat="1" ht="15.45" x14ac:dyDescent="0.35">
      <c r="A190" s="19" t="s">
        <v>692</v>
      </c>
      <c r="B190" s="9">
        <v>45807</v>
      </c>
      <c r="C190" s="14" t="s">
        <v>2028</v>
      </c>
      <c r="D190" s="10" t="s">
        <v>2029</v>
      </c>
      <c r="E190" s="9">
        <v>45805</v>
      </c>
      <c r="F190" s="10" t="s">
        <v>676</v>
      </c>
      <c r="G190" s="10" t="s">
        <v>2030</v>
      </c>
      <c r="H190" s="10" t="s">
        <v>24</v>
      </c>
      <c r="I190" s="10" t="s">
        <v>61</v>
      </c>
      <c r="J190" s="50" t="s">
        <v>2107</v>
      </c>
      <c r="K190" s="10" t="s">
        <v>15</v>
      </c>
      <c r="L190" s="12">
        <f t="shared" si="24"/>
        <v>72</v>
      </c>
      <c r="M190" s="12">
        <v>3800</v>
      </c>
      <c r="N190" s="12">
        <v>0</v>
      </c>
      <c r="O190" s="11">
        <v>273600</v>
      </c>
      <c r="P190" s="11">
        <f t="shared" si="25"/>
        <v>273600</v>
      </c>
      <c r="Q190" s="73">
        <v>30096</v>
      </c>
      <c r="R190" s="11"/>
      <c r="S190" s="11">
        <v>0</v>
      </c>
      <c r="T190" s="11">
        <f t="shared" si="26"/>
        <v>303696</v>
      </c>
      <c r="U190" s="42">
        <v>72</v>
      </c>
    </row>
    <row r="191" spans="1:21" s="36" customFormat="1" ht="15.45" x14ac:dyDescent="0.35">
      <c r="A191" s="19" t="s">
        <v>132</v>
      </c>
      <c r="B191" s="9">
        <v>45807</v>
      </c>
      <c r="C191" s="14" t="s">
        <v>2031</v>
      </c>
      <c r="D191" s="10" t="s">
        <v>2032</v>
      </c>
      <c r="E191" s="9">
        <v>45807</v>
      </c>
      <c r="F191" s="10" t="s">
        <v>129</v>
      </c>
      <c r="G191" s="10" t="s">
        <v>2033</v>
      </c>
      <c r="H191" s="10" t="s">
        <v>24</v>
      </c>
      <c r="I191" s="10" t="s">
        <v>61</v>
      </c>
      <c r="J191" s="10"/>
      <c r="K191" s="10" t="s">
        <v>6</v>
      </c>
      <c r="L191" s="12">
        <f t="shared" si="24"/>
        <v>1</v>
      </c>
      <c r="M191" s="12">
        <v>122000</v>
      </c>
      <c r="N191" s="12">
        <v>0</v>
      </c>
      <c r="O191" s="11">
        <v>122000</v>
      </c>
      <c r="P191" s="11">
        <f t="shared" si="25"/>
        <v>122000</v>
      </c>
      <c r="Q191" s="11">
        <v>0</v>
      </c>
      <c r="R191" s="11"/>
      <c r="S191" s="11">
        <v>0</v>
      </c>
      <c r="T191" s="11">
        <f t="shared" si="26"/>
        <v>122000</v>
      </c>
      <c r="U191" s="42">
        <v>1</v>
      </c>
    </row>
    <row r="192" spans="1:21" s="36" customFormat="1" ht="15.45" x14ac:dyDescent="0.35">
      <c r="A192" s="19" t="s">
        <v>132</v>
      </c>
      <c r="B192" s="9">
        <v>45807</v>
      </c>
      <c r="C192" s="14" t="s">
        <v>2031</v>
      </c>
      <c r="D192" s="10" t="s">
        <v>2032</v>
      </c>
      <c r="E192" s="9">
        <v>45807</v>
      </c>
      <c r="F192" s="10" t="s">
        <v>129</v>
      </c>
      <c r="G192" s="10" t="s">
        <v>2034</v>
      </c>
      <c r="H192" s="10" t="s">
        <v>24</v>
      </c>
      <c r="I192" s="10" t="s">
        <v>61</v>
      </c>
      <c r="J192" s="10"/>
      <c r="K192" s="10" t="s">
        <v>10</v>
      </c>
      <c r="L192" s="12">
        <f t="shared" si="24"/>
        <v>10</v>
      </c>
      <c r="M192" s="12">
        <v>4000</v>
      </c>
      <c r="N192" s="12">
        <v>0</v>
      </c>
      <c r="O192" s="11">
        <v>40000</v>
      </c>
      <c r="P192" s="11">
        <f t="shared" si="25"/>
        <v>40000</v>
      </c>
      <c r="Q192" s="11">
        <v>0</v>
      </c>
      <c r="R192" s="11"/>
      <c r="S192" s="11">
        <v>0</v>
      </c>
      <c r="T192" s="11">
        <f t="shared" si="26"/>
        <v>40000</v>
      </c>
      <c r="U192" s="42">
        <v>10</v>
      </c>
    </row>
    <row r="193" spans="1:23" s="36" customFormat="1" ht="15.45" x14ac:dyDescent="0.35">
      <c r="A193" s="19" t="s">
        <v>132</v>
      </c>
      <c r="B193" s="9">
        <v>45807</v>
      </c>
      <c r="C193" s="14" t="s">
        <v>2031</v>
      </c>
      <c r="D193" s="10" t="s">
        <v>2032</v>
      </c>
      <c r="E193" s="9">
        <v>45807</v>
      </c>
      <c r="F193" s="10" t="s">
        <v>129</v>
      </c>
      <c r="G193" s="10" t="s">
        <v>2035</v>
      </c>
      <c r="H193" s="10" t="s">
        <v>24</v>
      </c>
      <c r="I193" s="10" t="s">
        <v>61</v>
      </c>
      <c r="J193" s="10"/>
      <c r="K193" s="10" t="s">
        <v>6</v>
      </c>
      <c r="L193" s="12">
        <f t="shared" si="24"/>
        <v>5</v>
      </c>
      <c r="M193" s="12">
        <v>36000</v>
      </c>
      <c r="N193" s="12">
        <v>0</v>
      </c>
      <c r="O193" s="11">
        <v>180000</v>
      </c>
      <c r="P193" s="11">
        <f t="shared" si="25"/>
        <v>180000</v>
      </c>
      <c r="Q193" s="11">
        <v>0</v>
      </c>
      <c r="R193" s="11"/>
      <c r="S193" s="11">
        <v>0</v>
      </c>
      <c r="T193" s="11">
        <f t="shared" si="26"/>
        <v>180000</v>
      </c>
      <c r="U193" s="42">
        <v>5</v>
      </c>
    </row>
    <row r="194" spans="1:23" s="36" customFormat="1" ht="15.45" x14ac:dyDescent="0.35">
      <c r="A194" s="19" t="s">
        <v>132</v>
      </c>
      <c r="B194" s="9">
        <v>45807</v>
      </c>
      <c r="C194" s="14" t="s">
        <v>2031</v>
      </c>
      <c r="D194" s="10" t="s">
        <v>2032</v>
      </c>
      <c r="E194" s="9">
        <v>45807</v>
      </c>
      <c r="F194" s="10" t="s">
        <v>129</v>
      </c>
      <c r="G194" s="10" t="s">
        <v>2036</v>
      </c>
      <c r="H194" s="10" t="s">
        <v>24</v>
      </c>
      <c r="I194" s="10" t="s">
        <v>61</v>
      </c>
      <c r="J194" s="10"/>
      <c r="K194" s="10" t="s">
        <v>6</v>
      </c>
      <c r="L194" s="12">
        <f t="shared" si="24"/>
        <v>75</v>
      </c>
      <c r="M194" s="12">
        <v>1700</v>
      </c>
      <c r="N194" s="12">
        <v>0</v>
      </c>
      <c r="O194" s="11">
        <v>127500</v>
      </c>
      <c r="P194" s="11">
        <f t="shared" si="25"/>
        <v>127500</v>
      </c>
      <c r="Q194" s="11">
        <v>0</v>
      </c>
      <c r="R194" s="11"/>
      <c r="S194" s="11">
        <v>0</v>
      </c>
      <c r="T194" s="11">
        <f t="shared" si="26"/>
        <v>127500</v>
      </c>
      <c r="U194" s="42">
        <v>75</v>
      </c>
    </row>
    <row r="195" spans="1:23" s="36" customFormat="1" ht="15.45" x14ac:dyDescent="0.35">
      <c r="A195" s="19" t="s">
        <v>510</v>
      </c>
      <c r="B195" s="21">
        <v>45805</v>
      </c>
      <c r="C195" s="22" t="s">
        <v>2043</v>
      </c>
      <c r="D195" s="23"/>
      <c r="E195" s="21"/>
      <c r="F195" s="23" t="s">
        <v>511</v>
      </c>
      <c r="G195" s="23" t="s">
        <v>1157</v>
      </c>
      <c r="H195" s="23" t="s">
        <v>513</v>
      </c>
      <c r="I195" s="23" t="s">
        <v>514</v>
      </c>
      <c r="J195" s="46" t="s">
        <v>2042</v>
      </c>
      <c r="K195" s="23" t="s">
        <v>1159</v>
      </c>
      <c r="L195" s="24">
        <v>1</v>
      </c>
      <c r="M195" s="24">
        <v>469550</v>
      </c>
      <c r="N195" s="24"/>
      <c r="O195" s="25">
        <f>L195*M195</f>
        <v>469550</v>
      </c>
      <c r="P195" s="25">
        <f t="shared" si="25"/>
        <v>469550</v>
      </c>
      <c r="Q195" s="72">
        <f>P195*0.11</f>
        <v>51650.5</v>
      </c>
      <c r="R195" s="25">
        <f>P195*2%</f>
        <v>9391</v>
      </c>
      <c r="S195" s="25"/>
      <c r="T195" s="25">
        <f>P195+Q195-R195</f>
        <v>511809.5</v>
      </c>
      <c r="U195" s="29"/>
      <c r="V195" s="28"/>
      <c r="W195" s="28"/>
    </row>
    <row r="196" spans="1:23" s="36" customFormat="1" ht="15.45" x14ac:dyDescent="0.35">
      <c r="A196" s="19" t="s">
        <v>161</v>
      </c>
      <c r="B196" s="9">
        <v>45792</v>
      </c>
      <c r="C196" s="14" t="s">
        <v>2038</v>
      </c>
      <c r="D196" s="10"/>
      <c r="E196" s="9"/>
      <c r="F196" s="23" t="s">
        <v>162</v>
      </c>
      <c r="G196" s="23" t="s">
        <v>2037</v>
      </c>
      <c r="H196" s="23" t="s">
        <v>163</v>
      </c>
      <c r="I196" s="23" t="s">
        <v>164</v>
      </c>
      <c r="J196" s="50" t="s">
        <v>2039</v>
      </c>
      <c r="K196" s="10" t="s">
        <v>165</v>
      </c>
      <c r="L196" s="12">
        <v>5</v>
      </c>
      <c r="M196" s="12">
        <v>4800000</v>
      </c>
      <c r="N196" s="12">
        <v>0</v>
      </c>
      <c r="O196" s="11">
        <f>L196*M196</f>
        <v>24000000</v>
      </c>
      <c r="P196" s="11">
        <f>O196</f>
        <v>24000000</v>
      </c>
      <c r="Q196" s="73">
        <f>P196*0.11</f>
        <v>2640000</v>
      </c>
      <c r="R196" s="11">
        <f>P196*2%</f>
        <v>480000</v>
      </c>
      <c r="S196" s="11">
        <v>0</v>
      </c>
      <c r="T196" s="11">
        <f>P196+Q196-S196-R196</f>
        <v>26160000</v>
      </c>
      <c r="U196" s="42"/>
    </row>
    <row r="197" spans="1:23" s="36" customFormat="1" ht="15.45" x14ac:dyDescent="0.35">
      <c r="A197" s="19" t="s">
        <v>768</v>
      </c>
      <c r="B197" s="9">
        <v>45805</v>
      </c>
      <c r="C197" s="14"/>
      <c r="D197" s="10"/>
      <c r="E197" s="9"/>
      <c r="F197" s="10" t="s">
        <v>1951</v>
      </c>
      <c r="G197" s="10" t="s">
        <v>2040</v>
      </c>
      <c r="H197" s="23" t="s">
        <v>119</v>
      </c>
      <c r="I197" s="23" t="s">
        <v>120</v>
      </c>
      <c r="J197" s="50" t="s">
        <v>2041</v>
      </c>
      <c r="K197" s="10"/>
      <c r="L197" s="12">
        <v>1</v>
      </c>
      <c r="M197" s="12">
        <v>714414</v>
      </c>
      <c r="N197" s="12">
        <v>0</v>
      </c>
      <c r="O197" s="11">
        <f>L197*M197</f>
        <v>714414</v>
      </c>
      <c r="P197" s="11">
        <f>O197</f>
        <v>714414</v>
      </c>
      <c r="Q197" s="73">
        <f>P197*0.11</f>
        <v>78585.539999999994</v>
      </c>
      <c r="R197" s="11">
        <f>P197*2%</f>
        <v>14288.28</v>
      </c>
      <c r="S197" s="11"/>
      <c r="T197" s="11">
        <f>P197+Q197-R197</f>
        <v>778711.26</v>
      </c>
      <c r="U197" s="42"/>
    </row>
    <row r="202" spans="1:23" x14ac:dyDescent="0.4">
      <c r="Q202" s="56">
        <f>Q6</f>
        <v>213445590.95750004</v>
      </c>
      <c r="R202" s="57" t="s">
        <v>505</v>
      </c>
    </row>
    <row r="203" spans="1:23" x14ac:dyDescent="0.4">
      <c r="Q203" s="56">
        <v>213445589</v>
      </c>
      <c r="R203" s="57" t="s">
        <v>506</v>
      </c>
    </row>
    <row r="204" spans="1:23" x14ac:dyDescent="0.4">
      <c r="Q204" s="56">
        <v>339006745</v>
      </c>
      <c r="R204" s="57" t="s">
        <v>507</v>
      </c>
    </row>
    <row r="205" spans="1:23" x14ac:dyDescent="0.4">
      <c r="Q205" s="58">
        <f>Q202-Q203</f>
        <v>1.9575000405311584</v>
      </c>
      <c r="R205" s="57" t="s">
        <v>508</v>
      </c>
    </row>
    <row r="206" spans="1:23" x14ac:dyDescent="0.4">
      <c r="Q206" s="58">
        <f>Q203-Q204</f>
        <v>-125561156</v>
      </c>
      <c r="R206" s="57" t="s">
        <v>509</v>
      </c>
    </row>
  </sheetData>
  <autoFilter ref="A7:W197" xr:uid="{A3C9B558-1827-4999-A7EB-691B49DC6841}"/>
  <conditionalFormatting sqref="A8">
    <cfRule type="duplicateValues" dxfId="744" priority="368"/>
  </conditionalFormatting>
  <conditionalFormatting sqref="A9">
    <cfRule type="duplicateValues" dxfId="743" priority="366"/>
  </conditionalFormatting>
  <conditionalFormatting sqref="A10">
    <cfRule type="duplicateValues" dxfId="742" priority="330"/>
  </conditionalFormatting>
  <conditionalFormatting sqref="A11">
    <cfRule type="duplicateValues" dxfId="741" priority="356"/>
  </conditionalFormatting>
  <conditionalFormatting sqref="A12">
    <cfRule type="duplicateValues" dxfId="740" priority="354"/>
  </conditionalFormatting>
  <conditionalFormatting sqref="A13">
    <cfRule type="duplicateValues" dxfId="739" priority="322"/>
  </conditionalFormatting>
  <conditionalFormatting sqref="A14">
    <cfRule type="duplicateValues" dxfId="738" priority="320"/>
  </conditionalFormatting>
  <conditionalFormatting sqref="A15">
    <cfRule type="duplicateValues" dxfId="737" priority="318"/>
  </conditionalFormatting>
  <conditionalFormatting sqref="A16:A24">
    <cfRule type="duplicateValues" dxfId="736" priority="316"/>
  </conditionalFormatting>
  <conditionalFormatting sqref="A25">
    <cfRule type="duplicateValues" dxfId="735" priority="324"/>
  </conditionalFormatting>
  <conditionalFormatting sqref="A26">
    <cfRule type="duplicateValues" dxfId="734" priority="326"/>
  </conditionalFormatting>
  <conditionalFormatting sqref="A27">
    <cfRule type="duplicateValues" dxfId="733" priority="306"/>
  </conditionalFormatting>
  <conditionalFormatting sqref="A28">
    <cfRule type="duplicateValues" dxfId="732" priority="310"/>
  </conditionalFormatting>
  <conditionalFormatting sqref="A29">
    <cfRule type="duplicateValues" dxfId="731" priority="360"/>
  </conditionalFormatting>
  <conditionalFormatting sqref="A30">
    <cfRule type="duplicateValues" dxfId="730" priority="346"/>
  </conditionalFormatting>
  <conditionalFormatting sqref="A31">
    <cfRule type="duplicateValues" dxfId="729" priority="344"/>
  </conditionalFormatting>
  <conditionalFormatting sqref="A32">
    <cfRule type="duplicateValues" dxfId="728" priority="314"/>
  </conditionalFormatting>
  <conditionalFormatting sqref="A33">
    <cfRule type="duplicateValues" dxfId="727" priority="308"/>
  </conditionalFormatting>
  <conditionalFormatting sqref="A34">
    <cfRule type="duplicateValues" dxfId="726" priority="372"/>
  </conditionalFormatting>
  <conditionalFormatting sqref="A35">
    <cfRule type="duplicateValues" dxfId="725" priority="389"/>
  </conditionalFormatting>
  <conditionalFormatting sqref="A36">
    <cfRule type="duplicateValues" dxfId="724" priority="300"/>
  </conditionalFormatting>
  <conditionalFormatting sqref="A37">
    <cfRule type="duplicateValues" dxfId="723" priority="352"/>
  </conditionalFormatting>
  <conditionalFormatting sqref="A38">
    <cfRule type="duplicateValues" dxfId="722" priority="304"/>
  </conditionalFormatting>
  <conditionalFormatting sqref="A39">
    <cfRule type="duplicateValues" dxfId="721" priority="302"/>
  </conditionalFormatting>
  <conditionalFormatting sqref="A40">
    <cfRule type="duplicateValues" dxfId="720" priority="336"/>
  </conditionalFormatting>
  <conditionalFormatting sqref="A41">
    <cfRule type="duplicateValues" dxfId="719" priority="334"/>
  </conditionalFormatting>
  <conditionalFormatting sqref="A42">
    <cfRule type="duplicateValues" dxfId="718" priority="364"/>
  </conditionalFormatting>
  <conditionalFormatting sqref="A43">
    <cfRule type="duplicateValues" dxfId="717" priority="362"/>
  </conditionalFormatting>
  <conditionalFormatting sqref="A44">
    <cfRule type="duplicateValues" dxfId="716" priority="342"/>
  </conditionalFormatting>
  <conditionalFormatting sqref="A45">
    <cfRule type="duplicateValues" dxfId="715" priority="370"/>
  </conditionalFormatting>
  <conditionalFormatting sqref="A46">
    <cfRule type="duplicateValues" dxfId="714" priority="328"/>
  </conditionalFormatting>
  <conditionalFormatting sqref="A47">
    <cfRule type="duplicateValues" dxfId="713" priority="350"/>
  </conditionalFormatting>
  <conditionalFormatting sqref="A48">
    <cfRule type="duplicateValues" dxfId="712" priority="332"/>
  </conditionalFormatting>
  <conditionalFormatting sqref="A49">
    <cfRule type="duplicateValues" dxfId="711" priority="340"/>
  </conditionalFormatting>
  <conditionalFormatting sqref="A50">
    <cfRule type="duplicateValues" dxfId="710" priority="358"/>
  </conditionalFormatting>
  <conditionalFormatting sqref="A51">
    <cfRule type="duplicateValues" dxfId="709" priority="338"/>
  </conditionalFormatting>
  <conditionalFormatting sqref="A52">
    <cfRule type="duplicateValues" dxfId="708" priority="348"/>
  </conditionalFormatting>
  <conditionalFormatting sqref="A53">
    <cfRule type="duplicateValues" dxfId="707" priority="264"/>
  </conditionalFormatting>
  <conditionalFormatting sqref="A54">
    <cfRule type="duplicateValues" dxfId="706" priority="290"/>
  </conditionalFormatting>
  <conditionalFormatting sqref="A55">
    <cfRule type="duplicateValues" dxfId="705" priority="288"/>
  </conditionalFormatting>
  <conditionalFormatting sqref="A56">
    <cfRule type="duplicateValues" dxfId="704" priority="286"/>
  </conditionalFormatting>
  <conditionalFormatting sqref="A57">
    <cfRule type="duplicateValues" dxfId="703" priority="284"/>
  </conditionalFormatting>
  <conditionalFormatting sqref="A58">
    <cfRule type="duplicateValues" dxfId="702" priority="282"/>
  </conditionalFormatting>
  <conditionalFormatting sqref="A59">
    <cfRule type="duplicateValues" dxfId="701" priority="266"/>
  </conditionalFormatting>
  <conditionalFormatting sqref="A60">
    <cfRule type="duplicateValues" dxfId="700" priority="294"/>
  </conditionalFormatting>
  <conditionalFormatting sqref="A61">
    <cfRule type="duplicateValues" dxfId="699" priority="292"/>
  </conditionalFormatting>
  <conditionalFormatting sqref="A62">
    <cfRule type="duplicateValues" dxfId="698" priority="260"/>
  </conditionalFormatting>
  <conditionalFormatting sqref="A63">
    <cfRule type="duplicateValues" dxfId="697" priority="258"/>
  </conditionalFormatting>
  <conditionalFormatting sqref="A64">
    <cfRule type="duplicateValues" dxfId="696" priority="256"/>
  </conditionalFormatting>
  <conditionalFormatting sqref="A65">
    <cfRule type="duplicateValues" dxfId="695" priority="262"/>
  </conditionalFormatting>
  <conditionalFormatting sqref="A66">
    <cfRule type="duplicateValues" dxfId="694" priority="298"/>
  </conditionalFormatting>
  <conditionalFormatting sqref="A67">
    <cfRule type="duplicateValues" dxfId="693" priority="274"/>
  </conditionalFormatting>
  <conditionalFormatting sqref="A68">
    <cfRule type="duplicateValues" dxfId="692" priority="272"/>
  </conditionalFormatting>
  <conditionalFormatting sqref="A69">
    <cfRule type="duplicateValues" dxfId="691" priority="278"/>
  </conditionalFormatting>
  <conditionalFormatting sqref="A70">
    <cfRule type="duplicateValues" dxfId="690" priority="276"/>
  </conditionalFormatting>
  <conditionalFormatting sqref="A71">
    <cfRule type="duplicateValues" dxfId="689" priority="280"/>
  </conditionalFormatting>
  <conditionalFormatting sqref="A72">
    <cfRule type="duplicateValues" dxfId="688" priority="270"/>
  </conditionalFormatting>
  <conditionalFormatting sqref="A73">
    <cfRule type="duplicateValues" dxfId="687" priority="268"/>
  </conditionalFormatting>
  <conditionalFormatting sqref="A74">
    <cfRule type="duplicateValues" dxfId="686" priority="296"/>
  </conditionalFormatting>
  <conditionalFormatting sqref="A75">
    <cfRule type="duplicateValues" dxfId="685" priority="248"/>
  </conditionalFormatting>
  <conditionalFormatting sqref="A76">
    <cfRule type="duplicateValues" dxfId="684" priority="245"/>
  </conditionalFormatting>
  <conditionalFormatting sqref="A77">
    <cfRule type="duplicateValues" dxfId="683" priority="254"/>
  </conditionalFormatting>
  <conditionalFormatting sqref="A78">
    <cfRule type="duplicateValues" dxfId="682" priority="249"/>
  </conditionalFormatting>
  <conditionalFormatting sqref="A79">
    <cfRule type="duplicateValues" dxfId="681" priority="253"/>
  </conditionalFormatting>
  <conditionalFormatting sqref="A80:A81">
    <cfRule type="duplicateValues" dxfId="680" priority="452"/>
  </conditionalFormatting>
  <conditionalFormatting sqref="A82">
    <cfRule type="duplicateValues" dxfId="679" priority="246"/>
  </conditionalFormatting>
  <conditionalFormatting sqref="A83">
    <cfRule type="duplicateValues" dxfId="678" priority="252"/>
  </conditionalFormatting>
  <conditionalFormatting sqref="A84">
    <cfRule type="duplicateValues" dxfId="677" priority="251"/>
  </conditionalFormatting>
  <conditionalFormatting sqref="A85">
    <cfRule type="duplicateValues" dxfId="676" priority="204"/>
  </conditionalFormatting>
  <conditionalFormatting sqref="A86">
    <cfRule type="duplicateValues" dxfId="675" priority="206"/>
  </conditionalFormatting>
  <conditionalFormatting sqref="A87">
    <cfRule type="duplicateValues" dxfId="674" priority="210"/>
  </conditionalFormatting>
  <conditionalFormatting sqref="A88">
    <cfRule type="duplicateValues" dxfId="673" priority="236"/>
  </conditionalFormatting>
  <conditionalFormatting sqref="A89">
    <cfRule type="duplicateValues" dxfId="672" priority="232"/>
  </conditionalFormatting>
  <conditionalFormatting sqref="A90">
    <cfRule type="duplicateValues" dxfId="671" priority="230"/>
  </conditionalFormatting>
  <conditionalFormatting sqref="A91">
    <cfRule type="duplicateValues" dxfId="670" priority="240"/>
  </conditionalFormatting>
  <conditionalFormatting sqref="A92">
    <cfRule type="duplicateValues" dxfId="669" priority="226"/>
  </conditionalFormatting>
  <conditionalFormatting sqref="A93">
    <cfRule type="duplicateValues" dxfId="668" priority="220"/>
  </conditionalFormatting>
  <conditionalFormatting sqref="A94">
    <cfRule type="duplicateValues" dxfId="667" priority="202"/>
  </conditionalFormatting>
  <conditionalFormatting sqref="A95">
    <cfRule type="duplicateValues" dxfId="666" priority="244"/>
  </conditionalFormatting>
  <conditionalFormatting sqref="A96">
    <cfRule type="duplicateValues" dxfId="665" priority="242"/>
  </conditionalFormatting>
  <conditionalFormatting sqref="A97">
    <cfRule type="duplicateValues" dxfId="664" priority="238"/>
  </conditionalFormatting>
  <conditionalFormatting sqref="A98">
    <cfRule type="duplicateValues" dxfId="663" priority="224"/>
  </conditionalFormatting>
  <conditionalFormatting sqref="A99">
    <cfRule type="duplicateValues" dxfId="662" priority="222"/>
  </conditionalFormatting>
  <conditionalFormatting sqref="A100">
    <cfRule type="duplicateValues" dxfId="661" priority="234"/>
  </conditionalFormatting>
  <conditionalFormatting sqref="A101">
    <cfRule type="duplicateValues" dxfId="660" priority="228"/>
  </conditionalFormatting>
  <conditionalFormatting sqref="A102">
    <cfRule type="duplicateValues" dxfId="659" priority="208"/>
  </conditionalFormatting>
  <conditionalFormatting sqref="A103">
    <cfRule type="duplicateValues" dxfId="658" priority="214"/>
  </conditionalFormatting>
  <conditionalFormatting sqref="A104">
    <cfRule type="duplicateValues" dxfId="657" priority="212"/>
  </conditionalFormatting>
  <conditionalFormatting sqref="A105">
    <cfRule type="duplicateValues" dxfId="656" priority="218"/>
  </conditionalFormatting>
  <conditionalFormatting sqref="A106">
    <cfRule type="duplicateValues" dxfId="655" priority="216"/>
  </conditionalFormatting>
  <conditionalFormatting sqref="A107">
    <cfRule type="duplicateValues" dxfId="654" priority="176"/>
  </conditionalFormatting>
  <conditionalFormatting sqref="A108">
    <cfRule type="duplicateValues" dxfId="653" priority="164"/>
  </conditionalFormatting>
  <conditionalFormatting sqref="A109">
    <cfRule type="duplicateValues" dxfId="652" priority="184"/>
  </conditionalFormatting>
  <conditionalFormatting sqref="A110">
    <cfRule type="duplicateValues" dxfId="651" priority="166"/>
  </conditionalFormatting>
  <conditionalFormatting sqref="A111">
    <cfRule type="duplicateValues" dxfId="650" priority="188"/>
  </conditionalFormatting>
  <conditionalFormatting sqref="A112">
    <cfRule type="duplicateValues" dxfId="649" priority="186"/>
  </conditionalFormatting>
  <conditionalFormatting sqref="A113">
    <cfRule type="duplicateValues" dxfId="648" priority="178"/>
  </conditionalFormatting>
  <conditionalFormatting sqref="A114">
    <cfRule type="duplicateValues" dxfId="647" priority="182"/>
  </conditionalFormatting>
  <conditionalFormatting sqref="A115">
    <cfRule type="duplicateValues" dxfId="646" priority="172"/>
  </conditionalFormatting>
  <conditionalFormatting sqref="A116">
    <cfRule type="duplicateValues" dxfId="645" priority="196"/>
  </conditionalFormatting>
  <conditionalFormatting sqref="A117">
    <cfRule type="duplicateValues" dxfId="644" priority="194"/>
  </conditionalFormatting>
  <conditionalFormatting sqref="A118">
    <cfRule type="duplicateValues" dxfId="643" priority="180"/>
  </conditionalFormatting>
  <conditionalFormatting sqref="A119">
    <cfRule type="duplicateValues" dxfId="642" priority="200"/>
  </conditionalFormatting>
  <conditionalFormatting sqref="A120">
    <cfRule type="duplicateValues" dxfId="641" priority="198"/>
  </conditionalFormatting>
  <conditionalFormatting sqref="A121">
    <cfRule type="duplicateValues" dxfId="640" priority="168"/>
  </conditionalFormatting>
  <conditionalFormatting sqref="A122">
    <cfRule type="duplicateValues" dxfId="639" priority="190"/>
  </conditionalFormatting>
  <conditionalFormatting sqref="A123">
    <cfRule type="duplicateValues" dxfId="638" priority="174"/>
  </conditionalFormatting>
  <conditionalFormatting sqref="A124">
    <cfRule type="duplicateValues" dxfId="637" priority="170"/>
  </conditionalFormatting>
  <conditionalFormatting sqref="A125">
    <cfRule type="duplicateValues" dxfId="636" priority="192"/>
  </conditionalFormatting>
  <conditionalFormatting sqref="A126">
    <cfRule type="duplicateValues" dxfId="635" priority="94"/>
  </conditionalFormatting>
  <conditionalFormatting sqref="A127">
    <cfRule type="duplicateValues" dxfId="634" priority="160"/>
  </conditionalFormatting>
  <conditionalFormatting sqref="A128">
    <cfRule type="duplicateValues" dxfId="633" priority="118"/>
  </conditionalFormatting>
  <conditionalFormatting sqref="A129">
    <cfRule type="duplicateValues" dxfId="632" priority="150"/>
  </conditionalFormatting>
  <conditionalFormatting sqref="A130">
    <cfRule type="duplicateValues" dxfId="631" priority="148"/>
  </conditionalFormatting>
  <conditionalFormatting sqref="A131">
    <cfRule type="duplicateValues" dxfId="630" priority="92"/>
  </conditionalFormatting>
  <conditionalFormatting sqref="A132">
    <cfRule type="duplicateValues" dxfId="629" priority="90"/>
  </conditionalFormatting>
  <conditionalFormatting sqref="A133">
    <cfRule type="duplicateValues" dxfId="628" priority="88"/>
  </conditionalFormatting>
  <conditionalFormatting sqref="A134">
    <cfRule type="duplicateValues" dxfId="627" priority="86"/>
  </conditionalFormatting>
  <conditionalFormatting sqref="A135">
    <cfRule type="duplicateValues" dxfId="626" priority="134"/>
  </conditionalFormatting>
  <conditionalFormatting sqref="A136">
    <cfRule type="duplicateValues" dxfId="625" priority="132"/>
  </conditionalFormatting>
  <conditionalFormatting sqref="A137">
    <cfRule type="duplicateValues" dxfId="624" priority="130"/>
  </conditionalFormatting>
  <conditionalFormatting sqref="A138">
    <cfRule type="duplicateValues" dxfId="623" priority="128"/>
  </conditionalFormatting>
  <conditionalFormatting sqref="A139">
    <cfRule type="duplicateValues" dxfId="622" priority="126"/>
  </conditionalFormatting>
  <conditionalFormatting sqref="A140">
    <cfRule type="duplicateValues" dxfId="621" priority="124"/>
  </conditionalFormatting>
  <conditionalFormatting sqref="A141">
    <cfRule type="duplicateValues" dxfId="620" priority="116"/>
  </conditionalFormatting>
  <conditionalFormatting sqref="A142">
    <cfRule type="duplicateValues" dxfId="619" priority="144"/>
  </conditionalFormatting>
  <conditionalFormatting sqref="A143">
    <cfRule type="duplicateValues" dxfId="618" priority="158"/>
  </conditionalFormatting>
  <conditionalFormatting sqref="A144">
    <cfRule type="duplicateValues" dxfId="617" priority="156"/>
  </conditionalFormatting>
  <conditionalFormatting sqref="A145">
    <cfRule type="duplicateValues" dxfId="616" priority="146"/>
  </conditionalFormatting>
  <conditionalFormatting sqref="A146">
    <cfRule type="duplicateValues" dxfId="615" priority="104"/>
  </conditionalFormatting>
  <conditionalFormatting sqref="A147">
    <cfRule type="duplicateValues" dxfId="614" priority="98"/>
  </conditionalFormatting>
  <conditionalFormatting sqref="A148">
    <cfRule type="duplicateValues" dxfId="613" priority="110"/>
  </conditionalFormatting>
  <conditionalFormatting sqref="A149">
    <cfRule type="duplicateValues" dxfId="612" priority="108"/>
  </conditionalFormatting>
  <conditionalFormatting sqref="A150">
    <cfRule type="duplicateValues" dxfId="611" priority="106"/>
  </conditionalFormatting>
  <conditionalFormatting sqref="A151">
    <cfRule type="duplicateValues" dxfId="610" priority="102"/>
  </conditionalFormatting>
  <conditionalFormatting sqref="A152">
    <cfRule type="duplicateValues" dxfId="609" priority="84"/>
  </conditionalFormatting>
  <conditionalFormatting sqref="A153">
    <cfRule type="duplicateValues" dxfId="608" priority="122"/>
  </conditionalFormatting>
  <conditionalFormatting sqref="A154">
    <cfRule type="duplicateValues" dxfId="607" priority="114"/>
  </conditionalFormatting>
  <conditionalFormatting sqref="A155">
    <cfRule type="duplicateValues" dxfId="606" priority="112"/>
  </conditionalFormatting>
  <conditionalFormatting sqref="A156">
    <cfRule type="duplicateValues" dxfId="605" priority="162"/>
  </conditionalFormatting>
  <conditionalFormatting sqref="A157">
    <cfRule type="duplicateValues" dxfId="604" priority="142"/>
  </conditionalFormatting>
  <conditionalFormatting sqref="A158">
    <cfRule type="duplicateValues" dxfId="603" priority="140"/>
  </conditionalFormatting>
  <conditionalFormatting sqref="A159">
    <cfRule type="duplicateValues" dxfId="602" priority="154"/>
  </conditionalFormatting>
  <conditionalFormatting sqref="A160">
    <cfRule type="duplicateValues" dxfId="601" priority="152"/>
  </conditionalFormatting>
  <conditionalFormatting sqref="A161">
    <cfRule type="duplicateValues" dxfId="600" priority="100"/>
  </conditionalFormatting>
  <conditionalFormatting sqref="A162">
    <cfRule type="duplicateValues" dxfId="599" priority="96"/>
  </conditionalFormatting>
  <conditionalFormatting sqref="A163">
    <cfRule type="duplicateValues" dxfId="598" priority="120"/>
  </conditionalFormatting>
  <conditionalFormatting sqref="A164">
    <cfRule type="duplicateValues" dxfId="597" priority="138"/>
  </conditionalFormatting>
  <conditionalFormatting sqref="A165">
    <cfRule type="duplicateValues" dxfId="596" priority="136"/>
  </conditionalFormatting>
  <conditionalFormatting sqref="A166">
    <cfRule type="duplicateValues" dxfId="595" priority="74"/>
  </conditionalFormatting>
  <conditionalFormatting sqref="A166:A171">
    <cfRule type="duplicateValues" dxfId="594" priority="665"/>
  </conditionalFormatting>
  <conditionalFormatting sqref="A167">
    <cfRule type="duplicateValues" dxfId="593" priority="72"/>
  </conditionalFormatting>
  <conditionalFormatting sqref="A168">
    <cfRule type="duplicateValues" dxfId="592" priority="70"/>
  </conditionalFormatting>
  <conditionalFormatting sqref="A169">
    <cfRule type="duplicateValues" dxfId="591" priority="68"/>
  </conditionalFormatting>
  <conditionalFormatting sqref="A170">
    <cfRule type="duplicateValues" dxfId="590" priority="66"/>
  </conditionalFormatting>
  <conditionalFormatting sqref="A171">
    <cfRule type="duplicateValues" dxfId="589" priority="76"/>
  </conditionalFormatting>
  <conditionalFormatting sqref="A172">
    <cfRule type="duplicateValues" dxfId="588" priority="64"/>
  </conditionalFormatting>
  <conditionalFormatting sqref="A173">
    <cfRule type="duplicateValues" dxfId="587" priority="46"/>
  </conditionalFormatting>
  <conditionalFormatting sqref="A174">
    <cfRule type="duplicateValues" dxfId="586" priority="62"/>
  </conditionalFormatting>
  <conditionalFormatting sqref="A175">
    <cfRule type="duplicateValues" dxfId="585" priority="42"/>
  </conditionalFormatting>
  <conditionalFormatting sqref="A176">
    <cfRule type="duplicateValues" dxfId="584" priority="44"/>
  </conditionalFormatting>
  <conditionalFormatting sqref="A177">
    <cfRule type="duplicateValues" dxfId="583" priority="52"/>
  </conditionalFormatting>
  <conditionalFormatting sqref="A178">
    <cfRule type="duplicateValues" dxfId="582" priority="40"/>
  </conditionalFormatting>
  <conditionalFormatting sqref="A179">
    <cfRule type="duplicateValues" dxfId="581" priority="38"/>
  </conditionalFormatting>
  <conditionalFormatting sqref="A180">
    <cfRule type="duplicateValues" dxfId="580" priority="36"/>
  </conditionalFormatting>
  <conditionalFormatting sqref="A181">
    <cfRule type="duplicateValues" dxfId="579" priority="50"/>
  </conditionalFormatting>
  <conditionalFormatting sqref="A182">
    <cfRule type="duplicateValues" dxfId="578" priority="54"/>
  </conditionalFormatting>
  <conditionalFormatting sqref="A183">
    <cfRule type="duplicateValues" dxfId="577" priority="48"/>
  </conditionalFormatting>
  <conditionalFormatting sqref="A184">
    <cfRule type="duplicateValues" dxfId="576" priority="34"/>
  </conditionalFormatting>
  <conditionalFormatting sqref="A185">
    <cfRule type="duplicateValues" dxfId="575" priority="33"/>
  </conditionalFormatting>
  <conditionalFormatting sqref="A186">
    <cfRule type="duplicateValues" dxfId="574" priority="32"/>
  </conditionalFormatting>
  <conditionalFormatting sqref="A187">
    <cfRule type="duplicateValues" dxfId="573" priority="22"/>
  </conditionalFormatting>
  <conditionalFormatting sqref="A188">
    <cfRule type="duplicateValues" dxfId="572" priority="20"/>
  </conditionalFormatting>
  <conditionalFormatting sqref="A189">
    <cfRule type="duplicateValues" dxfId="571" priority="18"/>
  </conditionalFormatting>
  <conditionalFormatting sqref="A190">
    <cfRule type="duplicateValues" dxfId="570" priority="16"/>
  </conditionalFormatting>
  <conditionalFormatting sqref="A191">
    <cfRule type="duplicateValues" dxfId="569" priority="30"/>
  </conditionalFormatting>
  <conditionalFormatting sqref="A192">
    <cfRule type="duplicateValues" dxfId="568" priority="28"/>
  </conditionalFormatting>
  <conditionalFormatting sqref="A193">
    <cfRule type="duplicateValues" dxfId="567" priority="26"/>
  </conditionalFormatting>
  <conditionalFormatting sqref="A194">
    <cfRule type="duplicateValues" dxfId="566" priority="24"/>
  </conditionalFormatting>
  <conditionalFormatting sqref="A195">
    <cfRule type="duplicateValues" dxfId="565" priority="14"/>
  </conditionalFormatting>
  <conditionalFormatting sqref="A196">
    <cfRule type="duplicateValues" dxfId="564" priority="12"/>
  </conditionalFormatting>
  <conditionalFormatting sqref="A197">
    <cfRule type="duplicateValues" dxfId="563" priority="8"/>
  </conditionalFormatting>
  <conditionalFormatting sqref="B196">
    <cfRule type="duplicateValues" dxfId="562" priority="1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9AD7-9861-49B4-9361-40BE5242D49A}">
  <sheetPr filterMode="1"/>
  <dimension ref="A1:W184"/>
  <sheetViews>
    <sheetView workbookViewId="0">
      <pane xSplit="3" ySplit="7" topLeftCell="K123" activePane="bottomRight" state="frozen"/>
      <selection pane="topRight" activeCell="D1" sqref="D1"/>
      <selection pane="bottomLeft" activeCell="A8" sqref="A8"/>
      <selection pane="bottomRight" activeCell="S190" sqref="S190"/>
    </sheetView>
  </sheetViews>
  <sheetFormatPr defaultColWidth="9.15234375" defaultRowHeight="14.6" x14ac:dyDescent="0.4"/>
  <cols>
    <col min="1" max="1" width="10.15234375" style="35" customWidth="1"/>
    <col min="2" max="2" width="11.84375" style="35" customWidth="1"/>
    <col min="3" max="3" width="12" style="35" customWidth="1"/>
    <col min="4" max="4" width="12.3046875" style="35" customWidth="1"/>
    <col min="5" max="5" width="11.3828125" style="35" customWidth="1"/>
    <col min="6" max="6" width="31.53515625" style="35" bestFit="1" customWidth="1"/>
    <col min="7" max="7" width="37.3046875" style="35" customWidth="1"/>
    <col min="8" max="8" width="11.53515625" style="35" customWidth="1"/>
    <col min="9" max="9" width="26.3828125" style="35" customWidth="1"/>
    <col min="10" max="10" width="19.53515625" style="35" customWidth="1"/>
    <col min="11" max="12" width="9.84375" style="35" customWidth="1"/>
    <col min="13" max="13" width="14.53515625" style="35" customWidth="1"/>
    <col min="14" max="14" width="9.84375" style="35" customWidth="1"/>
    <col min="15" max="15" width="17.53515625" style="35" customWidth="1"/>
    <col min="16" max="16" width="16.3046875" style="35" bestFit="1" customWidth="1"/>
    <col min="17" max="17" width="15.53515625" style="35" bestFit="1" customWidth="1"/>
    <col min="18" max="18" width="14.15234375" style="35" bestFit="1" customWidth="1"/>
    <col min="19" max="19" width="15.3828125" style="35" customWidth="1"/>
    <col min="20" max="20" width="16.53515625" style="35" customWidth="1"/>
    <col min="21" max="21" width="12.84375" style="35" customWidth="1"/>
    <col min="22" max="16384" width="9.15234375" style="35"/>
  </cols>
  <sheetData>
    <row r="1" spans="1:22" x14ac:dyDescent="0.4">
      <c r="B1" s="1" t="s">
        <v>75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2" x14ac:dyDescent="0.4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2" s="36" customFormat="1" ht="17.600000000000001" x14ac:dyDescent="0.4">
      <c r="B3" s="13" t="s">
        <v>92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pans="1:22" s="36" customFormat="1" ht="12.9" x14ac:dyDescent="0.35">
      <c r="B4" s="3" t="s">
        <v>30</v>
      </c>
      <c r="C4" s="37" t="s">
        <v>2297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2" s="36" customFormat="1" ht="12.9" x14ac:dyDescent="0.35">
      <c r="B5" s="3" t="s">
        <v>171</v>
      </c>
      <c r="C5" s="37" t="s">
        <v>172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6"/>
      <c r="R5" s="6"/>
      <c r="S5" s="4"/>
      <c r="T5" s="4"/>
      <c r="U5" s="4"/>
    </row>
    <row r="6" spans="1:22" s="36" customFormat="1" ht="12.9" x14ac:dyDescent="0.35">
      <c r="B6" s="15" t="s">
        <v>62</v>
      </c>
      <c r="C6" s="7"/>
      <c r="D6" s="38"/>
      <c r="E6" s="3"/>
      <c r="F6" s="8"/>
      <c r="G6" s="3"/>
      <c r="H6" s="3"/>
      <c r="I6" s="3"/>
      <c r="J6" s="3"/>
      <c r="K6" s="3"/>
      <c r="L6" s="3">
        <v>37616</v>
      </c>
      <c r="M6" s="3"/>
      <c r="N6" s="3"/>
      <c r="O6" s="17">
        <f t="shared" ref="O6:T6" si="0">SUBTOTAL(9,O8:O175)</f>
        <v>13500000</v>
      </c>
      <c r="P6" s="17">
        <f t="shared" si="0"/>
        <v>13500000</v>
      </c>
      <c r="Q6" s="17">
        <f t="shared" si="0"/>
        <v>1485000</v>
      </c>
      <c r="R6" s="17">
        <f t="shared" si="0"/>
        <v>40500</v>
      </c>
      <c r="S6" s="17">
        <f t="shared" si="0"/>
        <v>0</v>
      </c>
      <c r="T6" s="17">
        <f t="shared" si="0"/>
        <v>15025500</v>
      </c>
      <c r="U6" s="3"/>
    </row>
    <row r="7" spans="1:22" s="36" customFormat="1" ht="24" customHeight="1" x14ac:dyDescent="0.35">
      <c r="A7" s="18" t="s">
        <v>95</v>
      </c>
      <c r="B7" s="40" t="s">
        <v>31</v>
      </c>
      <c r="C7" s="41" t="s">
        <v>32</v>
      </c>
      <c r="D7" s="39" t="s">
        <v>17</v>
      </c>
      <c r="E7" s="39" t="s">
        <v>22</v>
      </c>
      <c r="F7" s="40" t="s">
        <v>33</v>
      </c>
      <c r="G7" s="40" t="s">
        <v>38</v>
      </c>
      <c r="H7" s="40" t="s">
        <v>20</v>
      </c>
      <c r="I7" s="40" t="s">
        <v>28</v>
      </c>
      <c r="J7" s="40" t="s">
        <v>94</v>
      </c>
      <c r="K7" s="40" t="s">
        <v>21</v>
      </c>
      <c r="L7" s="40" t="s">
        <v>9</v>
      </c>
      <c r="M7" s="40" t="s">
        <v>34</v>
      </c>
      <c r="N7" s="40" t="s">
        <v>13</v>
      </c>
      <c r="O7" s="40" t="s">
        <v>18</v>
      </c>
      <c r="P7" s="40" t="s">
        <v>2</v>
      </c>
      <c r="Q7" s="39" t="s">
        <v>7</v>
      </c>
      <c r="R7" s="39" t="s">
        <v>93</v>
      </c>
      <c r="S7" s="39" t="s">
        <v>14</v>
      </c>
      <c r="T7" s="39" t="s">
        <v>37</v>
      </c>
      <c r="U7" s="16"/>
    </row>
    <row r="8" spans="1:22" s="36" customFormat="1" ht="15.45" hidden="1" x14ac:dyDescent="0.35">
      <c r="A8" s="19" t="s">
        <v>115</v>
      </c>
      <c r="B8" s="9">
        <v>45809</v>
      </c>
      <c r="C8" s="14" t="s">
        <v>2051</v>
      </c>
      <c r="D8" s="10" t="s">
        <v>2052</v>
      </c>
      <c r="E8" s="9">
        <v>45808</v>
      </c>
      <c r="F8" s="10" t="s">
        <v>81</v>
      </c>
      <c r="G8" s="10" t="s">
        <v>89</v>
      </c>
      <c r="H8" s="10" t="s">
        <v>25</v>
      </c>
      <c r="I8" s="10" t="s">
        <v>79</v>
      </c>
      <c r="J8" s="50" t="s">
        <v>2483</v>
      </c>
      <c r="K8" s="10" t="s">
        <v>1</v>
      </c>
      <c r="L8" s="12">
        <f t="shared" ref="L8:L39" si="1">IF(LEFT(C8,2)="RP",U8*-1,U8)</f>
        <v>30390</v>
      </c>
      <c r="M8" s="12">
        <v>1565</v>
      </c>
      <c r="N8" s="12">
        <v>0</v>
      </c>
      <c r="O8" s="11">
        <v>47560350</v>
      </c>
      <c r="P8" s="11">
        <f t="shared" ref="P8:P39" si="2">O8</f>
        <v>47560350</v>
      </c>
      <c r="Q8" s="11">
        <v>5231638.5</v>
      </c>
      <c r="R8" s="11">
        <f>P8*1.5%</f>
        <v>713405.25</v>
      </c>
      <c r="S8" s="11">
        <v>0</v>
      </c>
      <c r="T8" s="11">
        <f>P8+Q8-S8-R8</f>
        <v>52078583.25</v>
      </c>
      <c r="U8" s="42">
        <v>30390</v>
      </c>
    </row>
    <row r="9" spans="1:22" s="36" customFormat="1" ht="15.45" hidden="1" x14ac:dyDescent="0.35">
      <c r="A9" s="19" t="s">
        <v>692</v>
      </c>
      <c r="B9" s="9">
        <v>45808</v>
      </c>
      <c r="C9" s="14" t="s">
        <v>2280</v>
      </c>
      <c r="D9" s="10" t="s">
        <v>2281</v>
      </c>
      <c r="E9" s="9">
        <v>45808</v>
      </c>
      <c r="F9" s="10" t="s">
        <v>676</v>
      </c>
      <c r="G9" s="10" t="s">
        <v>2282</v>
      </c>
      <c r="H9" s="10" t="s">
        <v>24</v>
      </c>
      <c r="I9" s="10" t="s">
        <v>61</v>
      </c>
      <c r="J9" s="50" t="s">
        <v>2278</v>
      </c>
      <c r="K9" s="10" t="s">
        <v>6</v>
      </c>
      <c r="L9" s="12">
        <f t="shared" si="1"/>
        <v>1</v>
      </c>
      <c r="M9" s="12">
        <v>787200</v>
      </c>
      <c r="N9" s="12">
        <v>0</v>
      </c>
      <c r="O9" s="11">
        <v>787200</v>
      </c>
      <c r="P9" s="11">
        <f t="shared" si="2"/>
        <v>787200</v>
      </c>
      <c r="Q9" s="11">
        <v>86592</v>
      </c>
      <c r="R9" s="11"/>
      <c r="S9" s="11">
        <v>0</v>
      </c>
      <c r="T9" s="11">
        <f>P9+Q9-S9</f>
        <v>873792</v>
      </c>
      <c r="U9" s="42">
        <v>1</v>
      </c>
      <c r="V9" s="36" t="s">
        <v>2287</v>
      </c>
    </row>
    <row r="10" spans="1:22" s="36" customFormat="1" ht="15.45" hidden="1" x14ac:dyDescent="0.35">
      <c r="A10" s="19" t="s">
        <v>105</v>
      </c>
      <c r="B10" s="9">
        <v>45810</v>
      </c>
      <c r="C10" s="14" t="s">
        <v>2053</v>
      </c>
      <c r="D10" s="10" t="s">
        <v>2054</v>
      </c>
      <c r="E10" s="9">
        <v>45793</v>
      </c>
      <c r="F10" s="10" t="s">
        <v>85</v>
      </c>
      <c r="G10" s="10" t="s">
        <v>91</v>
      </c>
      <c r="H10" s="10" t="s">
        <v>23</v>
      </c>
      <c r="I10" s="10" t="s">
        <v>886</v>
      </c>
      <c r="J10" s="50" t="s">
        <v>2290</v>
      </c>
      <c r="K10" s="10" t="s">
        <v>1</v>
      </c>
      <c r="L10" s="12">
        <f t="shared" si="1"/>
        <v>400</v>
      </c>
      <c r="M10" s="12">
        <v>77089.399999999994</v>
      </c>
      <c r="N10" s="12">
        <v>16402</v>
      </c>
      <c r="O10" s="11">
        <v>30835760</v>
      </c>
      <c r="P10" s="11">
        <f t="shared" si="2"/>
        <v>30835760</v>
      </c>
      <c r="Q10" s="11">
        <v>3391933.6</v>
      </c>
      <c r="R10" s="11"/>
      <c r="S10" s="11">
        <v>0</v>
      </c>
      <c r="T10" s="11">
        <f>P10+Q10-S10</f>
        <v>34227693.600000001</v>
      </c>
      <c r="U10" s="42">
        <v>400</v>
      </c>
    </row>
    <row r="11" spans="1:22" s="36" customFormat="1" ht="15.45" hidden="1" x14ac:dyDescent="0.35">
      <c r="A11" s="19" t="s">
        <v>149</v>
      </c>
      <c r="B11" s="9">
        <v>45810</v>
      </c>
      <c r="C11" s="14" t="s">
        <v>2055</v>
      </c>
      <c r="D11" s="10" t="s">
        <v>2056</v>
      </c>
      <c r="E11" s="9">
        <v>45805</v>
      </c>
      <c r="F11" s="10" t="s">
        <v>143</v>
      </c>
      <c r="G11" s="10" t="s">
        <v>2057</v>
      </c>
      <c r="H11" s="10" t="s">
        <v>24</v>
      </c>
      <c r="I11" s="10" t="s">
        <v>61</v>
      </c>
      <c r="J11" s="50" t="s">
        <v>2275</v>
      </c>
      <c r="K11" s="10" t="s">
        <v>6</v>
      </c>
      <c r="L11" s="12">
        <f t="shared" si="1"/>
        <v>5</v>
      </c>
      <c r="M11" s="12">
        <v>115000</v>
      </c>
      <c r="N11" s="12">
        <v>0</v>
      </c>
      <c r="O11" s="11">
        <v>575000</v>
      </c>
      <c r="P11" s="11">
        <f t="shared" si="2"/>
        <v>575000</v>
      </c>
      <c r="Q11" s="11">
        <v>63250</v>
      </c>
      <c r="R11" s="11"/>
      <c r="S11" s="11">
        <v>0</v>
      </c>
      <c r="T11" s="11">
        <f>P11+Q11-S11</f>
        <v>638250</v>
      </c>
      <c r="U11" s="42">
        <v>5</v>
      </c>
    </row>
    <row r="12" spans="1:22" s="36" customFormat="1" ht="15.45" hidden="1" x14ac:dyDescent="0.35">
      <c r="A12" s="19" t="s">
        <v>98</v>
      </c>
      <c r="B12" s="9">
        <v>45810</v>
      </c>
      <c r="C12" s="14" t="s">
        <v>2058</v>
      </c>
      <c r="D12" s="10" t="s">
        <v>2059</v>
      </c>
      <c r="E12" s="9">
        <v>45808</v>
      </c>
      <c r="F12" s="10" t="s">
        <v>84</v>
      </c>
      <c r="G12" s="10" t="s">
        <v>175</v>
      </c>
      <c r="H12" s="10" t="s">
        <v>25</v>
      </c>
      <c r="I12" s="10" t="s">
        <v>79</v>
      </c>
      <c r="J12" s="50" t="s">
        <v>2461</v>
      </c>
      <c r="K12" s="10" t="s">
        <v>1</v>
      </c>
      <c r="L12" s="12">
        <f t="shared" si="1"/>
        <v>33980</v>
      </c>
      <c r="M12" s="12">
        <v>1250</v>
      </c>
      <c r="N12" s="12">
        <v>0</v>
      </c>
      <c r="O12" s="11">
        <v>42475000</v>
      </c>
      <c r="P12" s="11">
        <f t="shared" si="2"/>
        <v>42475000</v>
      </c>
      <c r="Q12" s="11">
        <v>4672250</v>
      </c>
      <c r="R12" s="11">
        <f>P12*1.5%</f>
        <v>637125</v>
      </c>
      <c r="S12" s="11">
        <v>0</v>
      </c>
      <c r="T12" s="11">
        <f>P12+Q12-S12-R12</f>
        <v>46510125</v>
      </c>
      <c r="U12" s="42">
        <v>33980</v>
      </c>
    </row>
    <row r="13" spans="1:22" s="36" customFormat="1" ht="15.45" hidden="1" x14ac:dyDescent="0.35">
      <c r="A13" s="19" t="s">
        <v>98</v>
      </c>
      <c r="B13" s="9">
        <v>45810</v>
      </c>
      <c r="C13" s="14" t="s">
        <v>2060</v>
      </c>
      <c r="D13" s="10" t="s">
        <v>2061</v>
      </c>
      <c r="E13" s="9">
        <v>45808</v>
      </c>
      <c r="F13" s="10" t="s">
        <v>84</v>
      </c>
      <c r="G13" s="10" t="s">
        <v>89</v>
      </c>
      <c r="H13" s="10" t="s">
        <v>25</v>
      </c>
      <c r="I13" s="10" t="s">
        <v>79</v>
      </c>
      <c r="J13" s="50" t="s">
        <v>2462</v>
      </c>
      <c r="K13" s="10" t="s">
        <v>1</v>
      </c>
      <c r="L13" s="12">
        <f t="shared" si="1"/>
        <v>32550</v>
      </c>
      <c r="M13" s="12">
        <v>1535</v>
      </c>
      <c r="N13" s="12">
        <v>0</v>
      </c>
      <c r="O13" s="11">
        <v>49964250</v>
      </c>
      <c r="P13" s="11">
        <f t="shared" si="2"/>
        <v>49964250</v>
      </c>
      <c r="Q13" s="11">
        <v>5496067.5</v>
      </c>
      <c r="R13" s="11">
        <f>P13*1.5%</f>
        <v>749463.75</v>
      </c>
      <c r="S13" s="11">
        <v>0</v>
      </c>
      <c r="T13" s="11">
        <f>P13+Q13-S13-R13</f>
        <v>54710853.75</v>
      </c>
      <c r="U13" s="42">
        <v>32550</v>
      </c>
    </row>
    <row r="14" spans="1:22" s="36" customFormat="1" ht="15.45" hidden="1" x14ac:dyDescent="0.35">
      <c r="A14" s="19" t="s">
        <v>692</v>
      </c>
      <c r="B14" s="9">
        <v>45810</v>
      </c>
      <c r="C14" s="14" t="s">
        <v>2062</v>
      </c>
      <c r="D14" s="10" t="s">
        <v>2063</v>
      </c>
      <c r="E14" s="9">
        <v>45798</v>
      </c>
      <c r="F14" s="10" t="s">
        <v>676</v>
      </c>
      <c r="G14" s="10" t="s">
        <v>2064</v>
      </c>
      <c r="H14" s="10" t="s">
        <v>24</v>
      </c>
      <c r="I14" s="10" t="s">
        <v>61</v>
      </c>
      <c r="J14" s="50" t="s">
        <v>2279</v>
      </c>
      <c r="K14" s="10" t="s">
        <v>6</v>
      </c>
      <c r="L14" s="12">
        <f t="shared" si="1"/>
        <v>3</v>
      </c>
      <c r="M14" s="12">
        <v>76600</v>
      </c>
      <c r="N14" s="12">
        <v>0</v>
      </c>
      <c r="O14" s="11">
        <v>229800</v>
      </c>
      <c r="P14" s="11">
        <f t="shared" si="2"/>
        <v>229800</v>
      </c>
      <c r="Q14" s="11">
        <v>25278</v>
      </c>
      <c r="R14" s="11"/>
      <c r="S14" s="11">
        <v>0</v>
      </c>
      <c r="T14" s="11">
        <f t="shared" ref="T14:T32" si="3">P14+Q14-S14</f>
        <v>255078</v>
      </c>
      <c r="U14" s="42">
        <v>3</v>
      </c>
    </row>
    <row r="15" spans="1:22" s="36" customFormat="1" ht="15.45" hidden="1" x14ac:dyDescent="0.35">
      <c r="A15" s="19" t="s">
        <v>96</v>
      </c>
      <c r="B15" s="9">
        <v>45810</v>
      </c>
      <c r="C15" s="14" t="s">
        <v>2065</v>
      </c>
      <c r="D15" s="10" t="s">
        <v>2066</v>
      </c>
      <c r="E15" s="9">
        <v>45810</v>
      </c>
      <c r="F15" s="10" t="s">
        <v>39</v>
      </c>
      <c r="G15" s="10" t="s">
        <v>189</v>
      </c>
      <c r="H15" s="10" t="s">
        <v>190</v>
      </c>
      <c r="I15" s="10" t="s">
        <v>191</v>
      </c>
      <c r="J15" s="10"/>
      <c r="K15" s="10" t="s">
        <v>16</v>
      </c>
      <c r="L15" s="12">
        <f t="shared" si="1"/>
        <v>1</v>
      </c>
      <c r="M15" s="12">
        <v>1000000</v>
      </c>
      <c r="N15" s="12">
        <v>0</v>
      </c>
      <c r="O15" s="11">
        <v>1000000</v>
      </c>
      <c r="P15" s="11">
        <f t="shared" si="2"/>
        <v>1000000</v>
      </c>
      <c r="Q15" s="11">
        <v>0</v>
      </c>
      <c r="R15" s="11"/>
      <c r="S15" s="11">
        <v>0</v>
      </c>
      <c r="T15" s="11">
        <f t="shared" si="3"/>
        <v>1000000</v>
      </c>
      <c r="U15" s="42">
        <v>1</v>
      </c>
    </row>
    <row r="16" spans="1:22" s="36" customFormat="1" ht="15.45" hidden="1" x14ac:dyDescent="0.35">
      <c r="A16" s="19" t="s">
        <v>96</v>
      </c>
      <c r="B16" s="9">
        <v>45810</v>
      </c>
      <c r="C16" s="14" t="s">
        <v>2067</v>
      </c>
      <c r="D16" s="10" t="s">
        <v>2068</v>
      </c>
      <c r="E16" s="9">
        <v>45810</v>
      </c>
      <c r="F16" s="10" t="s">
        <v>39</v>
      </c>
      <c r="G16" s="10" t="s">
        <v>189</v>
      </c>
      <c r="H16" s="10" t="s">
        <v>190</v>
      </c>
      <c r="I16" s="10" t="s">
        <v>191</v>
      </c>
      <c r="J16" s="10"/>
      <c r="K16" s="10" t="s">
        <v>16</v>
      </c>
      <c r="L16" s="12">
        <f t="shared" si="1"/>
        <v>1</v>
      </c>
      <c r="M16" s="12">
        <v>800000</v>
      </c>
      <c r="N16" s="12">
        <v>0</v>
      </c>
      <c r="O16" s="11">
        <v>800000</v>
      </c>
      <c r="P16" s="11">
        <f t="shared" si="2"/>
        <v>800000</v>
      </c>
      <c r="Q16" s="11">
        <v>0</v>
      </c>
      <c r="R16" s="11"/>
      <c r="S16" s="11">
        <v>0</v>
      </c>
      <c r="T16" s="11">
        <f t="shared" si="3"/>
        <v>800000</v>
      </c>
      <c r="U16" s="42">
        <v>1</v>
      </c>
    </row>
    <row r="17" spans="1:21" s="36" customFormat="1" ht="15.45" hidden="1" x14ac:dyDescent="0.35">
      <c r="A17" s="19" t="s">
        <v>96</v>
      </c>
      <c r="B17" s="9">
        <v>45810</v>
      </c>
      <c r="C17" s="14" t="s">
        <v>2069</v>
      </c>
      <c r="D17" s="10" t="s">
        <v>2070</v>
      </c>
      <c r="E17" s="9">
        <v>45810</v>
      </c>
      <c r="F17" s="10" t="s">
        <v>39</v>
      </c>
      <c r="G17" s="10" t="s">
        <v>189</v>
      </c>
      <c r="H17" s="10" t="s">
        <v>26</v>
      </c>
      <c r="I17" s="10" t="s">
        <v>80</v>
      </c>
      <c r="J17" s="10"/>
      <c r="K17" s="10" t="s">
        <v>16</v>
      </c>
      <c r="L17" s="12">
        <f t="shared" si="1"/>
        <v>1</v>
      </c>
      <c r="M17" s="12">
        <v>600000</v>
      </c>
      <c r="N17" s="12">
        <v>0</v>
      </c>
      <c r="O17" s="11">
        <v>600000</v>
      </c>
      <c r="P17" s="11">
        <f t="shared" si="2"/>
        <v>600000</v>
      </c>
      <c r="Q17" s="11">
        <v>0</v>
      </c>
      <c r="R17" s="11"/>
      <c r="S17" s="11">
        <v>0</v>
      </c>
      <c r="T17" s="11">
        <f t="shared" si="3"/>
        <v>600000</v>
      </c>
      <c r="U17" s="42">
        <v>1</v>
      </c>
    </row>
    <row r="18" spans="1:21" s="36" customFormat="1" ht="15.45" hidden="1" x14ac:dyDescent="0.35">
      <c r="A18" s="19" t="s">
        <v>101</v>
      </c>
      <c r="B18" s="9">
        <v>45811</v>
      </c>
      <c r="C18" s="14" t="s">
        <v>2071</v>
      </c>
      <c r="D18" s="10" t="s">
        <v>2072</v>
      </c>
      <c r="E18" s="9">
        <v>45807</v>
      </c>
      <c r="F18" s="10" t="s">
        <v>57</v>
      </c>
      <c r="G18" s="10" t="s">
        <v>78</v>
      </c>
      <c r="H18" s="10" t="s">
        <v>23</v>
      </c>
      <c r="I18" s="10" t="s">
        <v>2192</v>
      </c>
      <c r="J18" s="10"/>
      <c r="K18" s="10" t="s">
        <v>1</v>
      </c>
      <c r="L18" s="12">
        <f t="shared" si="1"/>
        <v>300</v>
      </c>
      <c r="M18" s="12">
        <v>64000</v>
      </c>
      <c r="N18" s="12">
        <v>0</v>
      </c>
      <c r="O18" s="11">
        <v>19200000</v>
      </c>
      <c r="P18" s="11">
        <f t="shared" si="2"/>
        <v>19200000</v>
      </c>
      <c r="Q18" s="11">
        <v>0</v>
      </c>
      <c r="R18" s="11"/>
      <c r="S18" s="11">
        <v>0</v>
      </c>
      <c r="T18" s="11">
        <f t="shared" si="3"/>
        <v>19200000</v>
      </c>
      <c r="U18" s="42">
        <v>300</v>
      </c>
    </row>
    <row r="19" spans="1:21" s="36" customFormat="1" ht="15.45" hidden="1" x14ac:dyDescent="0.35">
      <c r="A19" s="19" t="s">
        <v>184</v>
      </c>
      <c r="B19" s="9">
        <v>45811</v>
      </c>
      <c r="C19" s="14" t="s">
        <v>2073</v>
      </c>
      <c r="D19" s="10" t="s">
        <v>2074</v>
      </c>
      <c r="E19" s="9">
        <v>45808</v>
      </c>
      <c r="F19" s="10" t="s">
        <v>183</v>
      </c>
      <c r="G19" s="10" t="s">
        <v>1822</v>
      </c>
      <c r="H19" s="10" t="s">
        <v>23</v>
      </c>
      <c r="I19" s="10" t="s">
        <v>886</v>
      </c>
      <c r="J19" s="50" t="s">
        <v>2392</v>
      </c>
      <c r="K19" s="10" t="s">
        <v>1</v>
      </c>
      <c r="L19" s="12">
        <f t="shared" si="1"/>
        <v>30</v>
      </c>
      <c r="M19" s="12">
        <v>179300</v>
      </c>
      <c r="N19" s="12">
        <v>16300</v>
      </c>
      <c r="O19" s="11">
        <v>5379000</v>
      </c>
      <c r="P19" s="11">
        <f t="shared" si="2"/>
        <v>5379000</v>
      </c>
      <c r="Q19" s="11">
        <v>591690</v>
      </c>
      <c r="R19" s="11"/>
      <c r="S19" s="11">
        <v>0</v>
      </c>
      <c r="T19" s="11">
        <f t="shared" si="3"/>
        <v>5970690</v>
      </c>
      <c r="U19" s="42">
        <v>30</v>
      </c>
    </row>
    <row r="20" spans="1:21" s="36" customFormat="1" ht="15.45" hidden="1" x14ac:dyDescent="0.35">
      <c r="A20" s="19" t="s">
        <v>184</v>
      </c>
      <c r="B20" s="9">
        <v>45811</v>
      </c>
      <c r="C20" s="14" t="s">
        <v>2073</v>
      </c>
      <c r="D20" s="10" t="s">
        <v>2074</v>
      </c>
      <c r="E20" s="9">
        <v>45808</v>
      </c>
      <c r="F20" s="10" t="s">
        <v>183</v>
      </c>
      <c r="G20" s="10" t="s">
        <v>215</v>
      </c>
      <c r="H20" s="10" t="s">
        <v>23</v>
      </c>
      <c r="I20" s="10" t="s">
        <v>886</v>
      </c>
      <c r="J20" s="50" t="s">
        <v>2392</v>
      </c>
      <c r="K20" s="10" t="s">
        <v>1</v>
      </c>
      <c r="L20" s="12">
        <f t="shared" si="1"/>
        <v>30</v>
      </c>
      <c r="M20" s="12">
        <v>57050</v>
      </c>
      <c r="N20" s="12">
        <v>16300</v>
      </c>
      <c r="O20" s="11">
        <v>1711500</v>
      </c>
      <c r="P20" s="11">
        <f t="shared" si="2"/>
        <v>1711500</v>
      </c>
      <c r="Q20" s="11">
        <v>188265</v>
      </c>
      <c r="R20" s="11"/>
      <c r="S20" s="11">
        <v>0</v>
      </c>
      <c r="T20" s="11">
        <f t="shared" si="3"/>
        <v>1899765</v>
      </c>
      <c r="U20" s="42">
        <v>30</v>
      </c>
    </row>
    <row r="21" spans="1:21" s="36" customFormat="1" ht="15.45" hidden="1" x14ac:dyDescent="0.35">
      <c r="A21" s="19" t="s">
        <v>2100</v>
      </c>
      <c r="B21" s="9">
        <v>45811</v>
      </c>
      <c r="C21" s="14" t="s">
        <v>2075</v>
      </c>
      <c r="D21" s="10" t="s">
        <v>2076</v>
      </c>
      <c r="E21" s="9">
        <v>45808</v>
      </c>
      <c r="F21" s="10" t="s">
        <v>2077</v>
      </c>
      <c r="G21" s="10" t="s">
        <v>2078</v>
      </c>
      <c r="H21" s="10" t="s">
        <v>23</v>
      </c>
      <c r="I21" s="10" t="s">
        <v>891</v>
      </c>
      <c r="J21" s="50" t="s">
        <v>2480</v>
      </c>
      <c r="K21" s="10" t="s">
        <v>1</v>
      </c>
      <c r="L21" s="12">
        <f t="shared" si="1"/>
        <v>140</v>
      </c>
      <c r="M21" s="12">
        <v>39120</v>
      </c>
      <c r="N21" s="12">
        <v>16300</v>
      </c>
      <c r="O21" s="11">
        <v>5476800</v>
      </c>
      <c r="P21" s="11">
        <f t="shared" si="2"/>
        <v>5476800</v>
      </c>
      <c r="Q21" s="11">
        <v>602448</v>
      </c>
      <c r="R21" s="11"/>
      <c r="S21" s="11">
        <v>0</v>
      </c>
      <c r="T21" s="11">
        <f t="shared" si="3"/>
        <v>6079248</v>
      </c>
      <c r="U21" s="42">
        <v>140</v>
      </c>
    </row>
    <row r="22" spans="1:21" s="36" customFormat="1" ht="15.45" hidden="1" x14ac:dyDescent="0.35">
      <c r="A22" s="19" t="s">
        <v>132</v>
      </c>
      <c r="B22" s="9">
        <v>45811</v>
      </c>
      <c r="C22" s="14" t="s">
        <v>2079</v>
      </c>
      <c r="D22" s="10" t="s">
        <v>2080</v>
      </c>
      <c r="E22" s="9">
        <v>45811</v>
      </c>
      <c r="F22" s="10" t="s">
        <v>129</v>
      </c>
      <c r="G22" s="10" t="s">
        <v>202</v>
      </c>
      <c r="H22" s="10" t="s">
        <v>24</v>
      </c>
      <c r="I22" s="10" t="s">
        <v>61</v>
      </c>
      <c r="J22" s="10"/>
      <c r="K22" s="10" t="s">
        <v>145</v>
      </c>
      <c r="L22" s="12">
        <f t="shared" si="1"/>
        <v>20</v>
      </c>
      <c r="M22" s="12">
        <v>4500</v>
      </c>
      <c r="N22" s="12">
        <v>0</v>
      </c>
      <c r="O22" s="11">
        <v>90000</v>
      </c>
      <c r="P22" s="11">
        <f t="shared" si="2"/>
        <v>90000</v>
      </c>
      <c r="Q22" s="11">
        <v>0</v>
      </c>
      <c r="R22" s="11"/>
      <c r="S22" s="11">
        <v>0</v>
      </c>
      <c r="T22" s="11">
        <f t="shared" si="3"/>
        <v>90000</v>
      </c>
      <c r="U22" s="42">
        <v>20</v>
      </c>
    </row>
    <row r="23" spans="1:21" s="36" customFormat="1" ht="15.45" hidden="1" x14ac:dyDescent="0.35">
      <c r="A23" s="19" t="s">
        <v>132</v>
      </c>
      <c r="B23" s="9">
        <v>45811</v>
      </c>
      <c r="C23" s="14" t="s">
        <v>2079</v>
      </c>
      <c r="D23" s="10" t="s">
        <v>2080</v>
      </c>
      <c r="E23" s="9">
        <v>45811</v>
      </c>
      <c r="F23" s="10" t="s">
        <v>129</v>
      </c>
      <c r="G23" s="10" t="s">
        <v>219</v>
      </c>
      <c r="H23" s="10" t="s">
        <v>24</v>
      </c>
      <c r="I23" s="10" t="s">
        <v>61</v>
      </c>
      <c r="J23" s="10"/>
      <c r="K23" s="10" t="s">
        <v>220</v>
      </c>
      <c r="L23" s="12">
        <f t="shared" si="1"/>
        <v>3</v>
      </c>
      <c r="M23" s="12">
        <v>45000</v>
      </c>
      <c r="N23" s="12">
        <v>0</v>
      </c>
      <c r="O23" s="11">
        <v>135000</v>
      </c>
      <c r="P23" s="11">
        <f t="shared" si="2"/>
        <v>135000</v>
      </c>
      <c r="Q23" s="11">
        <v>0</v>
      </c>
      <c r="R23" s="11"/>
      <c r="S23" s="11">
        <v>0</v>
      </c>
      <c r="T23" s="11">
        <f t="shared" si="3"/>
        <v>135000</v>
      </c>
      <c r="U23" s="42">
        <v>3</v>
      </c>
    </row>
    <row r="24" spans="1:21" s="36" customFormat="1" ht="15.45" hidden="1" x14ac:dyDescent="0.35">
      <c r="A24" s="19" t="s">
        <v>132</v>
      </c>
      <c r="B24" s="9">
        <v>45811</v>
      </c>
      <c r="C24" s="14" t="s">
        <v>2079</v>
      </c>
      <c r="D24" s="10" t="s">
        <v>2080</v>
      </c>
      <c r="E24" s="9">
        <v>45811</v>
      </c>
      <c r="F24" s="10" t="s">
        <v>129</v>
      </c>
      <c r="G24" s="10" t="s">
        <v>681</v>
      </c>
      <c r="H24" s="10" t="s">
        <v>24</v>
      </c>
      <c r="I24" s="10" t="s">
        <v>61</v>
      </c>
      <c r="J24" s="10"/>
      <c r="K24" s="10" t="s">
        <v>6</v>
      </c>
      <c r="L24" s="12">
        <f t="shared" si="1"/>
        <v>3</v>
      </c>
      <c r="M24" s="12">
        <v>16000</v>
      </c>
      <c r="N24" s="12">
        <v>0</v>
      </c>
      <c r="O24" s="11">
        <v>48000</v>
      </c>
      <c r="P24" s="11">
        <f t="shared" si="2"/>
        <v>48000</v>
      </c>
      <c r="Q24" s="11">
        <v>0</v>
      </c>
      <c r="R24" s="11"/>
      <c r="S24" s="11">
        <v>0</v>
      </c>
      <c r="T24" s="11">
        <f t="shared" si="3"/>
        <v>48000</v>
      </c>
      <c r="U24" s="42">
        <v>3</v>
      </c>
    </row>
    <row r="25" spans="1:21" s="36" customFormat="1" ht="15.45" hidden="1" x14ac:dyDescent="0.35">
      <c r="A25" s="19" t="s">
        <v>111</v>
      </c>
      <c r="B25" s="9">
        <v>45811</v>
      </c>
      <c r="C25" s="14" t="s">
        <v>2081</v>
      </c>
      <c r="D25" s="10" t="s">
        <v>2082</v>
      </c>
      <c r="E25" s="9">
        <v>45811</v>
      </c>
      <c r="F25" s="10" t="s">
        <v>55</v>
      </c>
      <c r="G25" s="10" t="s">
        <v>87</v>
      </c>
      <c r="H25" s="10" t="s">
        <v>26</v>
      </c>
      <c r="I25" s="10" t="s">
        <v>80</v>
      </c>
      <c r="J25" s="10"/>
      <c r="K25" s="10" t="s">
        <v>10</v>
      </c>
      <c r="L25" s="12">
        <f t="shared" si="1"/>
        <v>40</v>
      </c>
      <c r="M25" s="12">
        <v>12500</v>
      </c>
      <c r="N25" s="12">
        <v>0</v>
      </c>
      <c r="O25" s="11">
        <v>500000</v>
      </c>
      <c r="P25" s="11">
        <f t="shared" si="2"/>
        <v>500000</v>
      </c>
      <c r="Q25" s="11">
        <v>0</v>
      </c>
      <c r="R25" s="11"/>
      <c r="S25" s="11">
        <v>0</v>
      </c>
      <c r="T25" s="11">
        <f t="shared" si="3"/>
        <v>500000</v>
      </c>
      <c r="U25" s="42">
        <v>40</v>
      </c>
    </row>
    <row r="26" spans="1:21" s="36" customFormat="1" ht="15.45" hidden="1" x14ac:dyDescent="0.35">
      <c r="A26" s="19" t="s">
        <v>109</v>
      </c>
      <c r="B26" s="9">
        <v>45812</v>
      </c>
      <c r="C26" s="14" t="s">
        <v>2083</v>
      </c>
      <c r="D26" s="10" t="s">
        <v>2084</v>
      </c>
      <c r="E26" s="9">
        <v>45803</v>
      </c>
      <c r="F26" s="10" t="s">
        <v>54</v>
      </c>
      <c r="G26" s="10" t="s">
        <v>722</v>
      </c>
      <c r="H26" s="10" t="s">
        <v>24</v>
      </c>
      <c r="I26" s="10" t="s">
        <v>61</v>
      </c>
      <c r="J26" s="50" t="s">
        <v>2277</v>
      </c>
      <c r="K26" s="10" t="s">
        <v>15</v>
      </c>
      <c r="L26" s="12">
        <f t="shared" si="1"/>
        <v>24</v>
      </c>
      <c r="M26" s="12">
        <v>5909</v>
      </c>
      <c r="N26" s="12">
        <v>0</v>
      </c>
      <c r="O26" s="11">
        <v>141816</v>
      </c>
      <c r="P26" s="11">
        <f t="shared" si="2"/>
        <v>141816</v>
      </c>
      <c r="Q26" s="11">
        <v>15599.76</v>
      </c>
      <c r="R26" s="11"/>
      <c r="S26" s="11">
        <v>0</v>
      </c>
      <c r="T26" s="11">
        <f t="shared" si="3"/>
        <v>157415.76</v>
      </c>
      <c r="U26" s="42">
        <v>24</v>
      </c>
    </row>
    <row r="27" spans="1:21" s="36" customFormat="1" ht="15.45" hidden="1" x14ac:dyDescent="0.35">
      <c r="A27" s="19" t="s">
        <v>592</v>
      </c>
      <c r="B27" s="9">
        <v>45812</v>
      </c>
      <c r="C27" s="14" t="s">
        <v>2085</v>
      </c>
      <c r="D27" s="10" t="s">
        <v>2086</v>
      </c>
      <c r="E27" s="9">
        <v>45808</v>
      </c>
      <c r="F27" s="10" t="s">
        <v>585</v>
      </c>
      <c r="G27" s="10" t="s">
        <v>786</v>
      </c>
      <c r="H27" s="10" t="s">
        <v>23</v>
      </c>
      <c r="I27" s="10" t="s">
        <v>886</v>
      </c>
      <c r="J27" s="50" t="s">
        <v>2474</v>
      </c>
      <c r="K27" s="10" t="s">
        <v>1</v>
      </c>
      <c r="L27" s="12">
        <f t="shared" si="1"/>
        <v>200</v>
      </c>
      <c r="M27" s="12">
        <v>60366</v>
      </c>
      <c r="N27" s="12">
        <v>16315</v>
      </c>
      <c r="O27" s="11">
        <v>12073200</v>
      </c>
      <c r="P27" s="11">
        <f t="shared" si="2"/>
        <v>12073200</v>
      </c>
      <c r="Q27" s="11">
        <v>1328052</v>
      </c>
      <c r="R27" s="11"/>
      <c r="S27" s="11">
        <v>0</v>
      </c>
      <c r="T27" s="11">
        <f t="shared" si="3"/>
        <v>13401252</v>
      </c>
      <c r="U27" s="42">
        <v>200</v>
      </c>
    </row>
    <row r="28" spans="1:21" s="36" customFormat="1" ht="15.45" hidden="1" x14ac:dyDescent="0.35">
      <c r="A28" s="19" t="s">
        <v>105</v>
      </c>
      <c r="B28" s="9">
        <v>45812</v>
      </c>
      <c r="C28" s="14" t="s">
        <v>2087</v>
      </c>
      <c r="D28" s="10" t="s">
        <v>2088</v>
      </c>
      <c r="E28" s="9">
        <v>45808</v>
      </c>
      <c r="F28" s="10" t="s">
        <v>85</v>
      </c>
      <c r="G28" s="10" t="s">
        <v>1005</v>
      </c>
      <c r="H28" s="10" t="s">
        <v>23</v>
      </c>
      <c r="I28" s="10" t="s">
        <v>886</v>
      </c>
      <c r="J28" s="50" t="s">
        <v>2378</v>
      </c>
      <c r="K28" s="10" t="s">
        <v>1</v>
      </c>
      <c r="L28" s="12">
        <f t="shared" si="1"/>
        <v>20</v>
      </c>
      <c r="M28" s="12">
        <v>114100</v>
      </c>
      <c r="N28" s="12">
        <v>16300</v>
      </c>
      <c r="O28" s="11">
        <v>2282000</v>
      </c>
      <c r="P28" s="11">
        <f t="shared" si="2"/>
        <v>2282000</v>
      </c>
      <c r="Q28" s="11">
        <v>251020</v>
      </c>
      <c r="R28" s="11"/>
      <c r="S28" s="11">
        <v>0</v>
      </c>
      <c r="T28" s="11">
        <f t="shared" si="3"/>
        <v>2533020</v>
      </c>
      <c r="U28" s="42">
        <v>20</v>
      </c>
    </row>
    <row r="29" spans="1:21" s="36" customFormat="1" ht="15.45" hidden="1" x14ac:dyDescent="0.35">
      <c r="A29" s="19" t="s">
        <v>96</v>
      </c>
      <c r="B29" s="9">
        <v>45812</v>
      </c>
      <c r="C29" s="14" t="s">
        <v>2089</v>
      </c>
      <c r="D29" s="10" t="s">
        <v>2090</v>
      </c>
      <c r="E29" s="9">
        <v>45811</v>
      </c>
      <c r="F29" s="10" t="s">
        <v>39</v>
      </c>
      <c r="G29" s="10" t="s">
        <v>649</v>
      </c>
      <c r="H29" s="10" t="s">
        <v>24</v>
      </c>
      <c r="I29" s="10" t="s">
        <v>61</v>
      </c>
      <c r="J29" s="10"/>
      <c r="K29" s="10" t="s">
        <v>650</v>
      </c>
      <c r="L29" s="12">
        <f t="shared" si="1"/>
        <v>5</v>
      </c>
      <c r="M29" s="12">
        <v>800000</v>
      </c>
      <c r="N29" s="12">
        <v>0</v>
      </c>
      <c r="O29" s="11">
        <v>4000000</v>
      </c>
      <c r="P29" s="11">
        <f t="shared" si="2"/>
        <v>4000000</v>
      </c>
      <c r="Q29" s="11">
        <v>0</v>
      </c>
      <c r="R29" s="11"/>
      <c r="S29" s="11">
        <v>0</v>
      </c>
      <c r="T29" s="11">
        <f t="shared" si="3"/>
        <v>4000000</v>
      </c>
      <c r="U29" s="42">
        <v>5</v>
      </c>
    </row>
    <row r="30" spans="1:21" s="36" customFormat="1" ht="15.45" hidden="1" x14ac:dyDescent="0.35">
      <c r="A30" s="19" t="s">
        <v>96</v>
      </c>
      <c r="B30" s="9">
        <v>45813</v>
      </c>
      <c r="C30" s="14" t="s">
        <v>2091</v>
      </c>
      <c r="D30" s="10" t="s">
        <v>2092</v>
      </c>
      <c r="E30" s="9">
        <v>45810</v>
      </c>
      <c r="F30" s="10" t="s">
        <v>39</v>
      </c>
      <c r="G30" s="10" t="s">
        <v>189</v>
      </c>
      <c r="H30" s="10" t="s">
        <v>190</v>
      </c>
      <c r="I30" s="10" t="s">
        <v>191</v>
      </c>
      <c r="J30" s="10"/>
      <c r="K30" s="10" t="s">
        <v>16</v>
      </c>
      <c r="L30" s="12">
        <f t="shared" si="1"/>
        <v>1</v>
      </c>
      <c r="M30" s="12">
        <v>800000</v>
      </c>
      <c r="N30" s="12">
        <v>0</v>
      </c>
      <c r="O30" s="11">
        <v>800000</v>
      </c>
      <c r="P30" s="11">
        <f t="shared" si="2"/>
        <v>800000</v>
      </c>
      <c r="Q30" s="11">
        <v>0</v>
      </c>
      <c r="R30" s="11"/>
      <c r="S30" s="11">
        <v>0</v>
      </c>
      <c r="T30" s="11">
        <f t="shared" si="3"/>
        <v>800000</v>
      </c>
      <c r="U30" s="42">
        <v>1</v>
      </c>
    </row>
    <row r="31" spans="1:21" s="36" customFormat="1" ht="15.45" hidden="1" x14ac:dyDescent="0.35">
      <c r="A31" s="19" t="s">
        <v>2099</v>
      </c>
      <c r="B31" s="9">
        <v>45813</v>
      </c>
      <c r="C31" s="14" t="s">
        <v>2093</v>
      </c>
      <c r="D31" s="10" t="s">
        <v>2094</v>
      </c>
      <c r="E31" s="9">
        <v>45811</v>
      </c>
      <c r="F31" s="10" t="s">
        <v>2095</v>
      </c>
      <c r="G31" s="10" t="s">
        <v>2096</v>
      </c>
      <c r="H31" s="10" t="s">
        <v>23</v>
      </c>
      <c r="I31" s="10" t="s">
        <v>978</v>
      </c>
      <c r="J31" s="50" t="s">
        <v>2564</v>
      </c>
      <c r="K31" s="10" t="s">
        <v>1</v>
      </c>
      <c r="L31" s="12">
        <f t="shared" si="1"/>
        <v>500</v>
      </c>
      <c r="M31" s="12">
        <v>28000</v>
      </c>
      <c r="N31" s="12">
        <v>0</v>
      </c>
      <c r="O31" s="11">
        <v>14000000</v>
      </c>
      <c r="P31" s="11">
        <f t="shared" si="2"/>
        <v>14000000</v>
      </c>
      <c r="Q31" s="11">
        <v>1540000</v>
      </c>
      <c r="R31" s="11"/>
      <c r="S31" s="11">
        <v>0</v>
      </c>
      <c r="T31" s="11">
        <f t="shared" si="3"/>
        <v>15540000</v>
      </c>
      <c r="U31" s="42">
        <v>500</v>
      </c>
    </row>
    <row r="32" spans="1:21" s="36" customFormat="1" ht="15.45" hidden="1" x14ac:dyDescent="0.35">
      <c r="A32" s="19" t="s">
        <v>114</v>
      </c>
      <c r="B32" s="9">
        <v>45813</v>
      </c>
      <c r="C32" s="14" t="s">
        <v>2097</v>
      </c>
      <c r="D32" s="10" t="s">
        <v>2098</v>
      </c>
      <c r="E32" s="9">
        <v>45808</v>
      </c>
      <c r="F32" s="10" t="s">
        <v>71</v>
      </c>
      <c r="G32" s="10" t="s">
        <v>76</v>
      </c>
      <c r="H32" s="10" t="s">
        <v>23</v>
      </c>
      <c r="I32" s="10" t="s">
        <v>978</v>
      </c>
      <c r="J32" s="50" t="s">
        <v>2589</v>
      </c>
      <c r="K32" s="10" t="s">
        <v>1</v>
      </c>
      <c r="L32" s="12">
        <f t="shared" si="1"/>
        <v>500</v>
      </c>
      <c r="M32" s="12">
        <v>30155</v>
      </c>
      <c r="N32" s="12">
        <v>16300</v>
      </c>
      <c r="O32" s="11">
        <v>15077500</v>
      </c>
      <c r="P32" s="11">
        <f t="shared" si="2"/>
        <v>15077500</v>
      </c>
      <c r="Q32" s="11">
        <v>1658525</v>
      </c>
      <c r="R32" s="11"/>
      <c r="S32" s="11">
        <v>0</v>
      </c>
      <c r="T32" s="11">
        <f t="shared" si="3"/>
        <v>16736025</v>
      </c>
      <c r="U32" s="42">
        <v>500</v>
      </c>
    </row>
    <row r="33" spans="1:21" s="36" customFormat="1" ht="15.45" hidden="1" x14ac:dyDescent="0.35">
      <c r="A33" s="19" t="s">
        <v>98</v>
      </c>
      <c r="B33" s="9">
        <v>45816</v>
      </c>
      <c r="C33" s="14" t="s">
        <v>2123</v>
      </c>
      <c r="D33" s="10" t="s">
        <v>2061</v>
      </c>
      <c r="E33" s="9">
        <v>45808</v>
      </c>
      <c r="F33" s="10" t="s">
        <v>84</v>
      </c>
      <c r="G33" s="10" t="s">
        <v>89</v>
      </c>
      <c r="H33" s="10" t="s">
        <v>25</v>
      </c>
      <c r="I33" s="10" t="s">
        <v>79</v>
      </c>
      <c r="J33" s="50" t="s">
        <v>2462</v>
      </c>
      <c r="K33" s="10" t="s">
        <v>1</v>
      </c>
      <c r="L33" s="12">
        <f t="shared" si="1"/>
        <v>33750</v>
      </c>
      <c r="M33" s="12">
        <v>1535</v>
      </c>
      <c r="N33" s="12">
        <v>0</v>
      </c>
      <c r="O33" s="11">
        <v>51806250</v>
      </c>
      <c r="P33" s="11">
        <f t="shared" si="2"/>
        <v>51806250</v>
      </c>
      <c r="Q33" s="11">
        <v>5698687.5</v>
      </c>
      <c r="R33" s="11">
        <f>P33*1.5%</f>
        <v>777093.75</v>
      </c>
      <c r="S33" s="11">
        <v>0</v>
      </c>
      <c r="T33" s="11">
        <f>P33+Q33-S33-R33</f>
        <v>56727843.75</v>
      </c>
      <c r="U33" s="42">
        <v>33750</v>
      </c>
    </row>
    <row r="34" spans="1:21" s="36" customFormat="1" ht="15.45" hidden="1" x14ac:dyDescent="0.35">
      <c r="A34" s="19" t="s">
        <v>187</v>
      </c>
      <c r="B34" s="9">
        <v>45816</v>
      </c>
      <c r="C34" s="14" t="s">
        <v>2124</v>
      </c>
      <c r="D34" s="10" t="s">
        <v>2125</v>
      </c>
      <c r="E34" s="9">
        <v>45815</v>
      </c>
      <c r="F34" s="10" t="s">
        <v>186</v>
      </c>
      <c r="G34" s="10" t="s">
        <v>89</v>
      </c>
      <c r="H34" s="10" t="s">
        <v>25</v>
      </c>
      <c r="I34" s="10" t="s">
        <v>79</v>
      </c>
      <c r="J34" s="50" t="s">
        <v>2284</v>
      </c>
      <c r="K34" s="10" t="s">
        <v>1</v>
      </c>
      <c r="L34" s="12">
        <f t="shared" si="1"/>
        <v>29520</v>
      </c>
      <c r="M34" s="12">
        <v>1530</v>
      </c>
      <c r="N34" s="12">
        <v>0</v>
      </c>
      <c r="O34" s="11">
        <v>45165600</v>
      </c>
      <c r="P34" s="11">
        <f t="shared" si="2"/>
        <v>45165600</v>
      </c>
      <c r="Q34" s="11">
        <v>4968216</v>
      </c>
      <c r="R34" s="11">
        <f>P34*1.5%</f>
        <v>677484</v>
      </c>
      <c r="S34" s="11">
        <v>0</v>
      </c>
      <c r="T34" s="11">
        <f>P34+Q34-S34-R34</f>
        <v>49456332</v>
      </c>
      <c r="U34" s="42">
        <v>29520</v>
      </c>
    </row>
    <row r="35" spans="1:21" s="36" customFormat="1" ht="15.45" hidden="1" x14ac:dyDescent="0.35">
      <c r="A35" s="19" t="s">
        <v>2190</v>
      </c>
      <c r="B35" s="9">
        <v>45817</v>
      </c>
      <c r="C35" s="14" t="s">
        <v>2126</v>
      </c>
      <c r="D35" s="10" t="s">
        <v>2127</v>
      </c>
      <c r="E35" s="9">
        <v>45808</v>
      </c>
      <c r="F35" s="10" t="s">
        <v>2128</v>
      </c>
      <c r="G35" s="10" t="s">
        <v>53</v>
      </c>
      <c r="H35" s="10" t="s">
        <v>23</v>
      </c>
      <c r="I35" s="10" t="s">
        <v>978</v>
      </c>
      <c r="J35" s="50" t="s">
        <v>2283</v>
      </c>
      <c r="K35" s="10" t="s">
        <v>1</v>
      </c>
      <c r="L35" s="12">
        <f t="shared" si="1"/>
        <v>1000</v>
      </c>
      <c r="M35" s="12">
        <v>11200</v>
      </c>
      <c r="N35" s="12">
        <v>0</v>
      </c>
      <c r="O35" s="11">
        <v>11200000</v>
      </c>
      <c r="P35" s="11">
        <f t="shared" si="2"/>
        <v>11200000</v>
      </c>
      <c r="Q35" s="11">
        <v>1232000</v>
      </c>
      <c r="R35" s="11"/>
      <c r="S35" s="11">
        <v>0</v>
      </c>
      <c r="T35" s="11">
        <f>P35+Q35-S35</f>
        <v>12432000</v>
      </c>
      <c r="U35" s="42">
        <v>1000</v>
      </c>
    </row>
    <row r="36" spans="1:21" s="36" customFormat="1" ht="15.45" hidden="1" x14ac:dyDescent="0.35">
      <c r="A36" s="19" t="s">
        <v>159</v>
      </c>
      <c r="B36" s="9">
        <v>45817</v>
      </c>
      <c r="C36" s="14" t="s">
        <v>2129</v>
      </c>
      <c r="D36" s="10" t="s">
        <v>2130</v>
      </c>
      <c r="E36" s="9">
        <v>45812</v>
      </c>
      <c r="F36" s="10" t="s">
        <v>157</v>
      </c>
      <c r="G36" s="10" t="s">
        <v>158</v>
      </c>
      <c r="H36" s="10" t="s">
        <v>23</v>
      </c>
      <c r="I36" s="10" t="s">
        <v>2192</v>
      </c>
      <c r="J36" s="50" t="s">
        <v>2949</v>
      </c>
      <c r="K36" s="10" t="s">
        <v>1</v>
      </c>
      <c r="L36" s="12">
        <f t="shared" si="1"/>
        <v>25</v>
      </c>
      <c r="M36" s="12">
        <v>75000</v>
      </c>
      <c r="N36" s="12">
        <v>0</v>
      </c>
      <c r="O36" s="11">
        <v>1875000</v>
      </c>
      <c r="P36" s="11">
        <f t="shared" si="2"/>
        <v>1875000</v>
      </c>
      <c r="Q36" s="11">
        <v>206250</v>
      </c>
      <c r="R36" s="11"/>
      <c r="S36" s="11">
        <v>0</v>
      </c>
      <c r="T36" s="11">
        <f>P36+Q36-S36</f>
        <v>2081250</v>
      </c>
      <c r="U36" s="42">
        <v>25</v>
      </c>
    </row>
    <row r="37" spans="1:21" s="36" customFormat="1" ht="15.45" hidden="1" x14ac:dyDescent="0.35">
      <c r="A37" s="19" t="s">
        <v>99</v>
      </c>
      <c r="B37" s="9">
        <v>45817</v>
      </c>
      <c r="C37" s="14" t="s">
        <v>2131</v>
      </c>
      <c r="D37" s="10" t="s">
        <v>2132</v>
      </c>
      <c r="E37" s="9">
        <v>45812</v>
      </c>
      <c r="F37" s="10" t="s">
        <v>64</v>
      </c>
      <c r="G37" s="10" t="s">
        <v>126</v>
      </c>
      <c r="H37" s="10" t="s">
        <v>23</v>
      </c>
      <c r="I37" s="10" t="s">
        <v>887</v>
      </c>
      <c r="J37" s="50" t="s">
        <v>2289</v>
      </c>
      <c r="K37" s="10" t="s">
        <v>0</v>
      </c>
      <c r="L37" s="12">
        <f t="shared" si="1"/>
        <v>300</v>
      </c>
      <c r="M37" s="12">
        <v>13180</v>
      </c>
      <c r="N37" s="12">
        <v>0</v>
      </c>
      <c r="O37" s="11">
        <v>3954000</v>
      </c>
      <c r="P37" s="11">
        <f t="shared" si="2"/>
        <v>3954000</v>
      </c>
      <c r="Q37" s="11">
        <v>434940</v>
      </c>
      <c r="R37" s="11"/>
      <c r="S37" s="11">
        <v>0</v>
      </c>
      <c r="T37" s="11">
        <f>P37+Q37-S37</f>
        <v>4388940</v>
      </c>
      <c r="U37" s="42">
        <v>300</v>
      </c>
    </row>
    <row r="38" spans="1:21" s="36" customFormat="1" ht="15.45" hidden="1" x14ac:dyDescent="0.35">
      <c r="A38" s="19" t="s">
        <v>98</v>
      </c>
      <c r="B38" s="9">
        <v>45817</v>
      </c>
      <c r="C38" s="14" t="s">
        <v>2133</v>
      </c>
      <c r="D38" s="10" t="s">
        <v>2059</v>
      </c>
      <c r="E38" s="9">
        <v>45808</v>
      </c>
      <c r="F38" s="10" t="s">
        <v>84</v>
      </c>
      <c r="G38" s="10" t="s">
        <v>175</v>
      </c>
      <c r="H38" s="10" t="s">
        <v>25</v>
      </c>
      <c r="I38" s="10" t="s">
        <v>79</v>
      </c>
      <c r="J38" s="50" t="s">
        <v>2461</v>
      </c>
      <c r="K38" s="10" t="s">
        <v>1</v>
      </c>
      <c r="L38" s="12">
        <f t="shared" si="1"/>
        <v>30570</v>
      </c>
      <c r="M38" s="12">
        <v>1250</v>
      </c>
      <c r="N38" s="12">
        <v>0</v>
      </c>
      <c r="O38" s="11">
        <v>38212500</v>
      </c>
      <c r="P38" s="11">
        <f t="shared" si="2"/>
        <v>38212500</v>
      </c>
      <c r="Q38" s="11">
        <v>4203375</v>
      </c>
      <c r="R38" s="11">
        <f>P38*1.5%</f>
        <v>573187.5</v>
      </c>
      <c r="S38" s="11">
        <v>0</v>
      </c>
      <c r="T38" s="11">
        <f>P38+Q38-S38-R38</f>
        <v>41842687.5</v>
      </c>
      <c r="U38" s="42">
        <v>30570</v>
      </c>
    </row>
    <row r="39" spans="1:21" s="36" customFormat="1" ht="15.45" hidden="1" x14ac:dyDescent="0.35">
      <c r="A39" s="19" t="s">
        <v>592</v>
      </c>
      <c r="B39" s="9">
        <v>45817</v>
      </c>
      <c r="C39" s="14" t="s">
        <v>2134</v>
      </c>
      <c r="D39" s="10" t="s">
        <v>1854</v>
      </c>
      <c r="E39" s="9">
        <v>45791</v>
      </c>
      <c r="F39" s="10" t="s">
        <v>585</v>
      </c>
      <c r="G39" s="10" t="s">
        <v>586</v>
      </c>
      <c r="H39" s="10" t="s">
        <v>23</v>
      </c>
      <c r="I39" s="10" t="s">
        <v>886</v>
      </c>
      <c r="J39" s="50" t="s">
        <v>2475</v>
      </c>
      <c r="K39" s="10" t="s">
        <v>1</v>
      </c>
      <c r="L39" s="12">
        <f t="shared" si="1"/>
        <v>400</v>
      </c>
      <c r="M39" s="12">
        <v>54648</v>
      </c>
      <c r="N39" s="12">
        <v>16560</v>
      </c>
      <c r="O39" s="11">
        <v>21859200</v>
      </c>
      <c r="P39" s="11">
        <f t="shared" si="2"/>
        <v>21859200</v>
      </c>
      <c r="Q39" s="11">
        <v>2404512</v>
      </c>
      <c r="R39" s="11"/>
      <c r="S39" s="11">
        <v>0</v>
      </c>
      <c r="T39" s="11">
        <f t="shared" ref="T39:T67" si="4">P39+Q39-S39</f>
        <v>24263712</v>
      </c>
      <c r="U39" s="42">
        <v>400</v>
      </c>
    </row>
    <row r="40" spans="1:21" s="36" customFormat="1" ht="15.45" hidden="1" x14ac:dyDescent="0.35">
      <c r="A40" s="19" t="s">
        <v>105</v>
      </c>
      <c r="B40" s="9">
        <v>45818</v>
      </c>
      <c r="C40" s="14" t="s">
        <v>2135</v>
      </c>
      <c r="D40" s="10" t="s">
        <v>2136</v>
      </c>
      <c r="E40" s="9">
        <v>45817</v>
      </c>
      <c r="F40" s="10" t="s">
        <v>85</v>
      </c>
      <c r="G40" s="10" t="s">
        <v>660</v>
      </c>
      <c r="H40" s="10" t="s">
        <v>23</v>
      </c>
      <c r="I40" s="10" t="s">
        <v>890</v>
      </c>
      <c r="J40" s="50" t="s">
        <v>2291</v>
      </c>
      <c r="K40" s="10" t="s">
        <v>1</v>
      </c>
      <c r="L40" s="12">
        <f t="shared" ref="L40:L76" si="5">IF(LEFT(C40,2)="RP",U40*-1,U40)</f>
        <v>1200</v>
      </c>
      <c r="M40" s="12">
        <v>24398</v>
      </c>
      <c r="N40" s="12">
        <v>16265</v>
      </c>
      <c r="O40" s="11">
        <v>29277600</v>
      </c>
      <c r="P40" s="11">
        <f t="shared" ref="P40:P71" si="6">O40</f>
        <v>29277600</v>
      </c>
      <c r="Q40" s="11">
        <v>3220536</v>
      </c>
      <c r="R40" s="11"/>
      <c r="S40" s="11">
        <v>0</v>
      </c>
      <c r="T40" s="11">
        <f t="shared" si="4"/>
        <v>32498136</v>
      </c>
      <c r="U40" s="42">
        <v>1200</v>
      </c>
    </row>
    <row r="41" spans="1:21" s="36" customFormat="1" ht="15.45" hidden="1" x14ac:dyDescent="0.35">
      <c r="A41" s="19" t="s">
        <v>102</v>
      </c>
      <c r="B41" s="9">
        <v>45818</v>
      </c>
      <c r="C41" s="14" t="s">
        <v>2137</v>
      </c>
      <c r="D41" s="10" t="s">
        <v>2138</v>
      </c>
      <c r="E41" s="9">
        <v>45803</v>
      </c>
      <c r="F41" s="10" t="s">
        <v>65</v>
      </c>
      <c r="G41" s="10" t="s">
        <v>48</v>
      </c>
      <c r="H41" s="10" t="s">
        <v>24</v>
      </c>
      <c r="I41" s="10" t="s">
        <v>61</v>
      </c>
      <c r="J41" s="50" t="s">
        <v>2296</v>
      </c>
      <c r="K41" s="10" t="s">
        <v>15</v>
      </c>
      <c r="L41" s="12">
        <f t="shared" si="5"/>
        <v>288</v>
      </c>
      <c r="M41" s="12">
        <v>8200</v>
      </c>
      <c r="N41" s="12">
        <v>0</v>
      </c>
      <c r="O41" s="11">
        <v>2361600</v>
      </c>
      <c r="P41" s="11">
        <f t="shared" si="6"/>
        <v>2361600</v>
      </c>
      <c r="Q41" s="11">
        <v>259776</v>
      </c>
      <c r="R41" s="11"/>
      <c r="S41" s="11">
        <v>0</v>
      </c>
      <c r="T41" s="11">
        <f t="shared" si="4"/>
        <v>2621376</v>
      </c>
      <c r="U41" s="42">
        <v>288</v>
      </c>
    </row>
    <row r="42" spans="1:21" s="36" customFormat="1" ht="15.45" hidden="1" x14ac:dyDescent="0.35">
      <c r="A42" s="19" t="s">
        <v>149</v>
      </c>
      <c r="B42" s="9">
        <v>45819</v>
      </c>
      <c r="C42" s="14" t="s">
        <v>2139</v>
      </c>
      <c r="D42" s="10" t="s">
        <v>2140</v>
      </c>
      <c r="E42" s="9">
        <v>45819</v>
      </c>
      <c r="F42" s="10" t="s">
        <v>143</v>
      </c>
      <c r="G42" s="10" t="s">
        <v>2141</v>
      </c>
      <c r="H42" s="10" t="s">
        <v>24</v>
      </c>
      <c r="I42" s="10" t="s">
        <v>61</v>
      </c>
      <c r="J42" s="50" t="s">
        <v>2465</v>
      </c>
      <c r="K42" s="10" t="s">
        <v>6</v>
      </c>
      <c r="L42" s="12">
        <f t="shared" si="5"/>
        <v>2</v>
      </c>
      <c r="M42" s="12">
        <v>4303500</v>
      </c>
      <c r="N42" s="12">
        <v>0</v>
      </c>
      <c r="O42" s="11">
        <v>8607000</v>
      </c>
      <c r="P42" s="11">
        <f t="shared" si="6"/>
        <v>8607000</v>
      </c>
      <c r="Q42" s="11">
        <v>946770</v>
      </c>
      <c r="R42" s="11"/>
      <c r="S42" s="11">
        <v>0</v>
      </c>
      <c r="T42" s="11">
        <f t="shared" si="4"/>
        <v>9553770</v>
      </c>
      <c r="U42" s="42">
        <v>2</v>
      </c>
    </row>
    <row r="43" spans="1:21" s="36" customFormat="1" ht="15.45" hidden="1" x14ac:dyDescent="0.35">
      <c r="A43" s="19" t="s">
        <v>2191</v>
      </c>
      <c r="B43" s="9">
        <v>45819</v>
      </c>
      <c r="C43" s="14" t="s">
        <v>2142</v>
      </c>
      <c r="D43" s="10" t="s">
        <v>2143</v>
      </c>
      <c r="E43" s="9">
        <v>45808</v>
      </c>
      <c r="F43" s="10" t="s">
        <v>2144</v>
      </c>
      <c r="G43" s="10" t="s">
        <v>2145</v>
      </c>
      <c r="H43" s="10" t="s">
        <v>23</v>
      </c>
      <c r="I43" s="10" t="s">
        <v>889</v>
      </c>
      <c r="J43" s="10"/>
      <c r="K43" s="10" t="s">
        <v>1</v>
      </c>
      <c r="L43" s="12">
        <f t="shared" si="5"/>
        <v>5000</v>
      </c>
      <c r="M43" s="12">
        <v>1500</v>
      </c>
      <c r="N43" s="12">
        <v>0</v>
      </c>
      <c r="O43" s="11">
        <v>7500000</v>
      </c>
      <c r="P43" s="11">
        <f t="shared" si="6"/>
        <v>7500000</v>
      </c>
      <c r="Q43" s="11">
        <v>0</v>
      </c>
      <c r="R43" s="11"/>
      <c r="S43" s="11">
        <v>0</v>
      </c>
      <c r="T43" s="11">
        <f t="shared" si="4"/>
        <v>7500000</v>
      </c>
      <c r="U43" s="42">
        <v>5000</v>
      </c>
    </row>
    <row r="44" spans="1:21" s="36" customFormat="1" ht="15.45" hidden="1" x14ac:dyDescent="0.35">
      <c r="A44" s="19" t="s">
        <v>110</v>
      </c>
      <c r="B44" s="9">
        <v>45819</v>
      </c>
      <c r="C44" s="14" t="s">
        <v>2146</v>
      </c>
      <c r="D44" s="10" t="s">
        <v>2147</v>
      </c>
      <c r="E44" s="9">
        <v>45807</v>
      </c>
      <c r="F44" s="10" t="s">
        <v>72</v>
      </c>
      <c r="G44" s="10" t="s">
        <v>29</v>
      </c>
      <c r="H44" s="10" t="s">
        <v>23</v>
      </c>
      <c r="I44" s="10" t="s">
        <v>887</v>
      </c>
      <c r="J44" s="50" t="s">
        <v>2331</v>
      </c>
      <c r="K44" s="10" t="s">
        <v>1</v>
      </c>
      <c r="L44" s="12">
        <f t="shared" si="5"/>
        <v>5000</v>
      </c>
      <c r="M44" s="12">
        <v>5500</v>
      </c>
      <c r="N44" s="12">
        <v>0</v>
      </c>
      <c r="O44" s="11">
        <v>27500000</v>
      </c>
      <c r="P44" s="11">
        <f t="shared" si="6"/>
        <v>27500000</v>
      </c>
      <c r="Q44" s="11">
        <v>3025000</v>
      </c>
      <c r="R44" s="11"/>
      <c r="S44" s="11">
        <v>0</v>
      </c>
      <c r="T44" s="11">
        <f t="shared" si="4"/>
        <v>30525000</v>
      </c>
      <c r="U44" s="42">
        <v>5000</v>
      </c>
    </row>
    <row r="45" spans="1:21" s="36" customFormat="1" ht="15.45" hidden="1" x14ac:dyDescent="0.35">
      <c r="A45" s="19" t="s">
        <v>148</v>
      </c>
      <c r="B45" s="9">
        <v>45819</v>
      </c>
      <c r="C45" s="14" t="s">
        <v>2148</v>
      </c>
      <c r="D45" s="10" t="s">
        <v>2149</v>
      </c>
      <c r="E45" s="9">
        <v>45812</v>
      </c>
      <c r="F45" s="10" t="s">
        <v>141</v>
      </c>
      <c r="G45" s="10" t="s">
        <v>142</v>
      </c>
      <c r="H45" s="10" t="s">
        <v>23</v>
      </c>
      <c r="I45" s="10" t="s">
        <v>887</v>
      </c>
      <c r="J45" s="50" t="s">
        <v>2477</v>
      </c>
      <c r="K45" s="10" t="s">
        <v>1</v>
      </c>
      <c r="L45" s="12">
        <f t="shared" si="5"/>
        <v>250</v>
      </c>
      <c r="M45" s="12">
        <v>14750</v>
      </c>
      <c r="N45" s="12">
        <v>0</v>
      </c>
      <c r="O45" s="11">
        <v>3687500</v>
      </c>
      <c r="P45" s="11">
        <f t="shared" si="6"/>
        <v>3687500</v>
      </c>
      <c r="Q45" s="11">
        <v>405625</v>
      </c>
      <c r="R45" s="11"/>
      <c r="S45" s="11">
        <v>0</v>
      </c>
      <c r="T45" s="11">
        <f t="shared" si="4"/>
        <v>4093125</v>
      </c>
      <c r="U45" s="42">
        <v>250</v>
      </c>
    </row>
    <row r="46" spans="1:21" s="36" customFormat="1" ht="15.45" hidden="1" x14ac:dyDescent="0.35">
      <c r="A46" s="19" t="s">
        <v>110</v>
      </c>
      <c r="B46" s="9">
        <v>45820</v>
      </c>
      <c r="C46" s="14" t="s">
        <v>2150</v>
      </c>
      <c r="D46" s="10" t="s">
        <v>2151</v>
      </c>
      <c r="E46" s="9">
        <v>45812</v>
      </c>
      <c r="F46" s="10" t="s">
        <v>72</v>
      </c>
      <c r="G46" s="10" t="s">
        <v>77</v>
      </c>
      <c r="H46" s="10" t="s">
        <v>23</v>
      </c>
      <c r="I46" s="10" t="s">
        <v>887</v>
      </c>
      <c r="J46" s="50" t="s">
        <v>2332</v>
      </c>
      <c r="K46" s="10" t="s">
        <v>1</v>
      </c>
      <c r="L46" s="12">
        <f t="shared" si="5"/>
        <v>400</v>
      </c>
      <c r="M46" s="12">
        <v>30500</v>
      </c>
      <c r="N46" s="12">
        <v>0</v>
      </c>
      <c r="O46" s="11">
        <v>12200000</v>
      </c>
      <c r="P46" s="11">
        <f t="shared" si="6"/>
        <v>12200000</v>
      </c>
      <c r="Q46" s="11">
        <v>1342000</v>
      </c>
      <c r="R46" s="11"/>
      <c r="S46" s="11">
        <v>0</v>
      </c>
      <c r="T46" s="11">
        <f t="shared" si="4"/>
        <v>13542000</v>
      </c>
      <c r="U46" s="42">
        <v>400</v>
      </c>
    </row>
    <row r="47" spans="1:21" s="36" customFormat="1" ht="15.45" hidden="1" x14ac:dyDescent="0.35">
      <c r="A47" s="19" t="s">
        <v>150</v>
      </c>
      <c r="B47" s="9">
        <v>45820</v>
      </c>
      <c r="C47" s="14" t="s">
        <v>2152</v>
      </c>
      <c r="D47" s="10" t="s">
        <v>2153</v>
      </c>
      <c r="E47" s="9">
        <v>45820</v>
      </c>
      <c r="F47" s="10" t="s">
        <v>147</v>
      </c>
      <c r="G47" s="10" t="s">
        <v>325</v>
      </c>
      <c r="H47" s="10" t="s">
        <v>24</v>
      </c>
      <c r="I47" s="10" t="s">
        <v>61</v>
      </c>
      <c r="J47" s="10"/>
      <c r="K47" s="10" t="s">
        <v>145</v>
      </c>
      <c r="L47" s="12">
        <f t="shared" si="5"/>
        <v>9</v>
      </c>
      <c r="M47" s="12">
        <v>85000</v>
      </c>
      <c r="N47" s="12">
        <v>0</v>
      </c>
      <c r="O47" s="11">
        <v>765000</v>
      </c>
      <c r="P47" s="11">
        <f t="shared" si="6"/>
        <v>765000</v>
      </c>
      <c r="Q47" s="11">
        <v>0</v>
      </c>
      <c r="R47" s="11"/>
      <c r="S47" s="11">
        <v>0</v>
      </c>
      <c r="T47" s="11">
        <f t="shared" si="4"/>
        <v>765000</v>
      </c>
      <c r="U47" s="42">
        <v>9</v>
      </c>
    </row>
    <row r="48" spans="1:21" s="36" customFormat="1" ht="15.45" hidden="1" x14ac:dyDescent="0.35">
      <c r="A48" s="19" t="s">
        <v>150</v>
      </c>
      <c r="B48" s="9">
        <v>45820</v>
      </c>
      <c r="C48" s="14" t="s">
        <v>2152</v>
      </c>
      <c r="D48" s="10" t="s">
        <v>2153</v>
      </c>
      <c r="E48" s="9">
        <v>45820</v>
      </c>
      <c r="F48" s="10" t="s">
        <v>147</v>
      </c>
      <c r="G48" s="10" t="s">
        <v>2154</v>
      </c>
      <c r="H48" s="10" t="s">
        <v>24</v>
      </c>
      <c r="I48" s="10" t="s">
        <v>61</v>
      </c>
      <c r="J48" s="10"/>
      <c r="K48" s="10" t="s">
        <v>2155</v>
      </c>
      <c r="L48" s="12">
        <f t="shared" si="5"/>
        <v>1</v>
      </c>
      <c r="M48" s="12">
        <v>310000</v>
      </c>
      <c r="N48" s="12">
        <v>0</v>
      </c>
      <c r="O48" s="11">
        <v>310000</v>
      </c>
      <c r="P48" s="11">
        <f t="shared" si="6"/>
        <v>310000</v>
      </c>
      <c r="Q48" s="11">
        <v>0</v>
      </c>
      <c r="R48" s="11"/>
      <c r="S48" s="11">
        <v>0</v>
      </c>
      <c r="T48" s="11">
        <f t="shared" si="4"/>
        <v>310000</v>
      </c>
      <c r="U48" s="42">
        <v>1</v>
      </c>
    </row>
    <row r="49" spans="1:21" s="36" customFormat="1" ht="15.45" hidden="1" x14ac:dyDescent="0.35">
      <c r="A49" s="19" t="s">
        <v>150</v>
      </c>
      <c r="B49" s="9">
        <v>45820</v>
      </c>
      <c r="C49" s="14" t="s">
        <v>2152</v>
      </c>
      <c r="D49" s="10" t="s">
        <v>2153</v>
      </c>
      <c r="E49" s="9">
        <v>45820</v>
      </c>
      <c r="F49" s="10" t="s">
        <v>147</v>
      </c>
      <c r="G49" s="10" t="s">
        <v>226</v>
      </c>
      <c r="H49" s="10" t="s">
        <v>24</v>
      </c>
      <c r="I49" s="10" t="s">
        <v>61</v>
      </c>
      <c r="J49" s="10"/>
      <c r="K49" s="10" t="s">
        <v>124</v>
      </c>
      <c r="L49" s="12">
        <f t="shared" si="5"/>
        <v>9</v>
      </c>
      <c r="M49" s="12">
        <v>80000</v>
      </c>
      <c r="N49" s="12">
        <v>0</v>
      </c>
      <c r="O49" s="11">
        <v>720000</v>
      </c>
      <c r="P49" s="11">
        <f t="shared" si="6"/>
        <v>720000</v>
      </c>
      <c r="Q49" s="11">
        <v>0</v>
      </c>
      <c r="R49" s="11"/>
      <c r="S49" s="11">
        <v>0</v>
      </c>
      <c r="T49" s="11">
        <f t="shared" si="4"/>
        <v>720000</v>
      </c>
      <c r="U49" s="42">
        <v>9</v>
      </c>
    </row>
    <row r="50" spans="1:21" s="36" customFormat="1" ht="15.45" hidden="1" x14ac:dyDescent="0.35">
      <c r="A50" s="19" t="s">
        <v>117</v>
      </c>
      <c r="B50" s="9">
        <v>45820</v>
      </c>
      <c r="C50" s="14" t="s">
        <v>2156</v>
      </c>
      <c r="D50" s="10" t="s">
        <v>2157</v>
      </c>
      <c r="E50" s="9">
        <v>45820</v>
      </c>
      <c r="F50" s="10" t="s">
        <v>68</v>
      </c>
      <c r="G50" s="10" t="s">
        <v>1196</v>
      </c>
      <c r="H50" s="10" t="s">
        <v>24</v>
      </c>
      <c r="I50" s="10" t="s">
        <v>61</v>
      </c>
      <c r="J50" s="50" t="s">
        <v>2384</v>
      </c>
      <c r="K50" s="10" t="s">
        <v>1181</v>
      </c>
      <c r="L50" s="12">
        <f t="shared" si="5"/>
        <v>4</v>
      </c>
      <c r="M50" s="12">
        <v>66216.2</v>
      </c>
      <c r="N50" s="12">
        <v>0</v>
      </c>
      <c r="O50" s="11">
        <v>264864.8</v>
      </c>
      <c r="P50" s="11">
        <f t="shared" si="6"/>
        <v>264864.8</v>
      </c>
      <c r="Q50" s="11">
        <v>29135.128000000001</v>
      </c>
      <c r="R50" s="11"/>
      <c r="S50" s="11">
        <v>0</v>
      </c>
      <c r="T50" s="11">
        <f t="shared" si="4"/>
        <v>293999.92800000001</v>
      </c>
      <c r="U50" s="42">
        <v>4</v>
      </c>
    </row>
    <row r="51" spans="1:21" s="36" customFormat="1" ht="15.45" hidden="1" x14ac:dyDescent="0.35">
      <c r="A51" s="19" t="s">
        <v>117</v>
      </c>
      <c r="B51" s="9">
        <v>45820</v>
      </c>
      <c r="C51" s="14" t="s">
        <v>2156</v>
      </c>
      <c r="D51" s="10" t="s">
        <v>2157</v>
      </c>
      <c r="E51" s="9">
        <v>45820</v>
      </c>
      <c r="F51" s="10" t="s">
        <v>68</v>
      </c>
      <c r="G51" s="10" t="s">
        <v>180</v>
      </c>
      <c r="H51" s="10" t="s">
        <v>24</v>
      </c>
      <c r="I51" s="10" t="s">
        <v>61</v>
      </c>
      <c r="J51" s="50" t="s">
        <v>2384</v>
      </c>
      <c r="K51" s="10" t="s">
        <v>1</v>
      </c>
      <c r="L51" s="12">
        <f t="shared" si="5"/>
        <v>2</v>
      </c>
      <c r="M51" s="12">
        <v>12613</v>
      </c>
      <c r="N51" s="12">
        <v>0</v>
      </c>
      <c r="O51" s="11">
        <v>25226</v>
      </c>
      <c r="P51" s="11">
        <f t="shared" si="6"/>
        <v>25226</v>
      </c>
      <c r="Q51" s="11">
        <v>2774.86</v>
      </c>
      <c r="R51" s="11"/>
      <c r="S51" s="11">
        <v>0</v>
      </c>
      <c r="T51" s="11">
        <f t="shared" si="4"/>
        <v>28000.86</v>
      </c>
      <c r="U51" s="42">
        <v>2</v>
      </c>
    </row>
    <row r="52" spans="1:21" s="36" customFormat="1" ht="15.45" hidden="1" x14ac:dyDescent="0.35">
      <c r="A52" s="19" t="s">
        <v>132</v>
      </c>
      <c r="B52" s="9">
        <v>45820</v>
      </c>
      <c r="C52" s="14" t="s">
        <v>2158</v>
      </c>
      <c r="D52" s="10" t="s">
        <v>2159</v>
      </c>
      <c r="E52" s="9">
        <v>45820</v>
      </c>
      <c r="F52" s="10" t="s">
        <v>129</v>
      </c>
      <c r="G52" s="10" t="s">
        <v>2160</v>
      </c>
      <c r="H52" s="10" t="s">
        <v>24</v>
      </c>
      <c r="I52" s="10" t="s">
        <v>61</v>
      </c>
      <c r="J52" s="10"/>
      <c r="K52" s="10" t="s">
        <v>6</v>
      </c>
      <c r="L52" s="12">
        <f t="shared" si="5"/>
        <v>1</v>
      </c>
      <c r="M52" s="12">
        <v>75000</v>
      </c>
      <c r="N52" s="12">
        <v>0</v>
      </c>
      <c r="O52" s="11">
        <v>75000</v>
      </c>
      <c r="P52" s="11">
        <f t="shared" si="6"/>
        <v>75000</v>
      </c>
      <c r="Q52" s="11">
        <v>0</v>
      </c>
      <c r="R52" s="11"/>
      <c r="S52" s="11">
        <v>0</v>
      </c>
      <c r="T52" s="11">
        <f t="shared" si="4"/>
        <v>75000</v>
      </c>
      <c r="U52" s="42">
        <v>1</v>
      </c>
    </row>
    <row r="53" spans="1:21" s="36" customFormat="1" ht="15.45" hidden="1" x14ac:dyDescent="0.35">
      <c r="A53" s="19" t="s">
        <v>132</v>
      </c>
      <c r="B53" s="9">
        <v>45820</v>
      </c>
      <c r="C53" s="14" t="s">
        <v>2158</v>
      </c>
      <c r="D53" s="10" t="s">
        <v>2159</v>
      </c>
      <c r="E53" s="9">
        <v>45820</v>
      </c>
      <c r="F53" s="10" t="s">
        <v>129</v>
      </c>
      <c r="G53" s="10" t="s">
        <v>2161</v>
      </c>
      <c r="H53" s="10" t="s">
        <v>24</v>
      </c>
      <c r="I53" s="10" t="s">
        <v>61</v>
      </c>
      <c r="J53" s="10"/>
      <c r="K53" s="10" t="s">
        <v>6</v>
      </c>
      <c r="L53" s="12">
        <f t="shared" si="5"/>
        <v>100</v>
      </c>
      <c r="M53" s="12">
        <v>800</v>
      </c>
      <c r="N53" s="12">
        <v>0</v>
      </c>
      <c r="O53" s="11">
        <v>80000</v>
      </c>
      <c r="P53" s="11">
        <f t="shared" si="6"/>
        <v>80000</v>
      </c>
      <c r="Q53" s="11">
        <v>0</v>
      </c>
      <c r="R53" s="11"/>
      <c r="S53" s="11">
        <v>0</v>
      </c>
      <c r="T53" s="11">
        <f t="shared" si="4"/>
        <v>80000</v>
      </c>
      <c r="U53" s="42">
        <v>100</v>
      </c>
    </row>
    <row r="54" spans="1:21" s="36" customFormat="1" ht="15.45" hidden="1" x14ac:dyDescent="0.35">
      <c r="A54" s="19" t="s">
        <v>132</v>
      </c>
      <c r="B54" s="9">
        <v>45820</v>
      </c>
      <c r="C54" s="14" t="s">
        <v>2158</v>
      </c>
      <c r="D54" s="10" t="s">
        <v>2159</v>
      </c>
      <c r="E54" s="9">
        <v>45820</v>
      </c>
      <c r="F54" s="10" t="s">
        <v>129</v>
      </c>
      <c r="G54" s="10" t="s">
        <v>2162</v>
      </c>
      <c r="H54" s="10" t="s">
        <v>24</v>
      </c>
      <c r="I54" s="10" t="s">
        <v>61</v>
      </c>
      <c r="J54" s="10"/>
      <c r="K54" s="10" t="s">
        <v>0</v>
      </c>
      <c r="L54" s="12">
        <f t="shared" si="5"/>
        <v>4</v>
      </c>
      <c r="M54" s="12">
        <v>121000</v>
      </c>
      <c r="N54" s="12">
        <v>0</v>
      </c>
      <c r="O54" s="11">
        <v>484000</v>
      </c>
      <c r="P54" s="11">
        <f t="shared" si="6"/>
        <v>484000</v>
      </c>
      <c r="Q54" s="11">
        <v>0</v>
      </c>
      <c r="R54" s="11"/>
      <c r="S54" s="11">
        <v>0</v>
      </c>
      <c r="T54" s="11">
        <f t="shared" si="4"/>
        <v>484000</v>
      </c>
      <c r="U54" s="42">
        <v>4</v>
      </c>
    </row>
    <row r="55" spans="1:21" s="36" customFormat="1" ht="15.45" hidden="1" x14ac:dyDescent="0.35">
      <c r="A55" s="19" t="s">
        <v>132</v>
      </c>
      <c r="B55" s="9">
        <v>45820</v>
      </c>
      <c r="C55" s="14" t="s">
        <v>2158</v>
      </c>
      <c r="D55" s="10" t="s">
        <v>2159</v>
      </c>
      <c r="E55" s="9">
        <v>45820</v>
      </c>
      <c r="F55" s="10" t="s">
        <v>129</v>
      </c>
      <c r="G55" s="10" t="s">
        <v>2163</v>
      </c>
      <c r="H55" s="10" t="s">
        <v>24</v>
      </c>
      <c r="I55" s="10" t="s">
        <v>61</v>
      </c>
      <c r="J55" s="10"/>
      <c r="K55" s="10" t="s">
        <v>10</v>
      </c>
      <c r="L55" s="12">
        <f t="shared" si="5"/>
        <v>5</v>
      </c>
      <c r="M55" s="12">
        <v>15000</v>
      </c>
      <c r="N55" s="12">
        <v>0</v>
      </c>
      <c r="O55" s="11">
        <v>75000</v>
      </c>
      <c r="P55" s="11">
        <f t="shared" si="6"/>
        <v>75000</v>
      </c>
      <c r="Q55" s="11">
        <v>0</v>
      </c>
      <c r="R55" s="11"/>
      <c r="S55" s="11">
        <v>0</v>
      </c>
      <c r="T55" s="11">
        <f t="shared" si="4"/>
        <v>75000</v>
      </c>
      <c r="U55" s="42">
        <v>5</v>
      </c>
    </row>
    <row r="56" spans="1:21" s="36" customFormat="1" ht="15.45" hidden="1" x14ac:dyDescent="0.35">
      <c r="A56" s="19" t="s">
        <v>132</v>
      </c>
      <c r="B56" s="9">
        <v>45820</v>
      </c>
      <c r="C56" s="14" t="s">
        <v>2158</v>
      </c>
      <c r="D56" s="10" t="s">
        <v>2159</v>
      </c>
      <c r="E56" s="9">
        <v>45820</v>
      </c>
      <c r="F56" s="10" t="s">
        <v>129</v>
      </c>
      <c r="G56" s="10" t="s">
        <v>2164</v>
      </c>
      <c r="H56" s="10" t="s">
        <v>24</v>
      </c>
      <c r="I56" s="10" t="s">
        <v>61</v>
      </c>
      <c r="J56" s="10"/>
      <c r="K56" s="10" t="s">
        <v>6</v>
      </c>
      <c r="L56" s="12">
        <f t="shared" si="5"/>
        <v>100</v>
      </c>
      <c r="M56" s="12">
        <v>295</v>
      </c>
      <c r="N56" s="12">
        <v>0</v>
      </c>
      <c r="O56" s="11">
        <v>29500</v>
      </c>
      <c r="P56" s="11">
        <f t="shared" si="6"/>
        <v>29500</v>
      </c>
      <c r="Q56" s="11">
        <v>0</v>
      </c>
      <c r="R56" s="11"/>
      <c r="S56" s="11">
        <v>0</v>
      </c>
      <c r="T56" s="11">
        <f t="shared" si="4"/>
        <v>29500</v>
      </c>
      <c r="U56" s="42">
        <v>100</v>
      </c>
    </row>
    <row r="57" spans="1:21" s="36" customFormat="1" ht="15.45" hidden="1" x14ac:dyDescent="0.35">
      <c r="A57" s="19" t="s">
        <v>132</v>
      </c>
      <c r="B57" s="9">
        <v>45820</v>
      </c>
      <c r="C57" s="14" t="s">
        <v>2158</v>
      </c>
      <c r="D57" s="10" t="s">
        <v>2159</v>
      </c>
      <c r="E57" s="9">
        <v>45820</v>
      </c>
      <c r="F57" s="10" t="s">
        <v>129</v>
      </c>
      <c r="G57" s="10" t="s">
        <v>2165</v>
      </c>
      <c r="H57" s="10" t="s">
        <v>24</v>
      </c>
      <c r="I57" s="10" t="s">
        <v>61</v>
      </c>
      <c r="J57" s="10"/>
      <c r="K57" s="10" t="s">
        <v>177</v>
      </c>
      <c r="L57" s="12">
        <f t="shared" si="5"/>
        <v>1</v>
      </c>
      <c r="M57" s="12">
        <v>24500</v>
      </c>
      <c r="N57" s="12">
        <v>0</v>
      </c>
      <c r="O57" s="11">
        <v>24500</v>
      </c>
      <c r="P57" s="11">
        <f t="shared" si="6"/>
        <v>24500</v>
      </c>
      <c r="Q57" s="11">
        <v>0</v>
      </c>
      <c r="R57" s="11"/>
      <c r="S57" s="11">
        <v>0</v>
      </c>
      <c r="T57" s="11">
        <f t="shared" si="4"/>
        <v>24500</v>
      </c>
      <c r="U57" s="42">
        <v>1</v>
      </c>
    </row>
    <row r="58" spans="1:21" s="36" customFormat="1" ht="15.45" hidden="1" x14ac:dyDescent="0.35">
      <c r="A58" s="19" t="s">
        <v>132</v>
      </c>
      <c r="B58" s="9">
        <v>45820</v>
      </c>
      <c r="C58" s="14" t="s">
        <v>2158</v>
      </c>
      <c r="D58" s="10" t="s">
        <v>2159</v>
      </c>
      <c r="E58" s="9">
        <v>45820</v>
      </c>
      <c r="F58" s="10" t="s">
        <v>129</v>
      </c>
      <c r="G58" s="10" t="s">
        <v>677</v>
      </c>
      <c r="H58" s="10" t="s">
        <v>24</v>
      </c>
      <c r="I58" s="10" t="s">
        <v>61</v>
      </c>
      <c r="J58" s="10"/>
      <c r="K58" s="10" t="s">
        <v>124</v>
      </c>
      <c r="L58" s="12">
        <f t="shared" si="5"/>
        <v>5</v>
      </c>
      <c r="M58" s="12">
        <v>15000</v>
      </c>
      <c r="N58" s="12">
        <v>0</v>
      </c>
      <c r="O58" s="11">
        <v>75000</v>
      </c>
      <c r="P58" s="11">
        <f t="shared" si="6"/>
        <v>75000</v>
      </c>
      <c r="Q58" s="11">
        <v>0</v>
      </c>
      <c r="R58" s="11"/>
      <c r="S58" s="11">
        <v>0</v>
      </c>
      <c r="T58" s="11">
        <f t="shared" si="4"/>
        <v>75000</v>
      </c>
      <c r="U58" s="42">
        <v>5</v>
      </c>
    </row>
    <row r="59" spans="1:21" s="36" customFormat="1" ht="15.45" hidden="1" x14ac:dyDescent="0.35">
      <c r="A59" s="19" t="s">
        <v>132</v>
      </c>
      <c r="B59" s="9">
        <v>45820</v>
      </c>
      <c r="C59" s="14" t="s">
        <v>2158</v>
      </c>
      <c r="D59" s="10" t="s">
        <v>2159</v>
      </c>
      <c r="E59" s="9">
        <v>45820</v>
      </c>
      <c r="F59" s="10" t="s">
        <v>129</v>
      </c>
      <c r="G59" s="10" t="s">
        <v>2166</v>
      </c>
      <c r="H59" s="10" t="s">
        <v>24</v>
      </c>
      <c r="I59" s="10" t="s">
        <v>61</v>
      </c>
      <c r="J59" s="10"/>
      <c r="K59" s="10" t="s">
        <v>0</v>
      </c>
      <c r="L59" s="12">
        <f t="shared" si="5"/>
        <v>10</v>
      </c>
      <c r="M59" s="12">
        <v>125000</v>
      </c>
      <c r="N59" s="12">
        <v>0</v>
      </c>
      <c r="O59" s="11">
        <v>1250000</v>
      </c>
      <c r="P59" s="11">
        <f t="shared" si="6"/>
        <v>1250000</v>
      </c>
      <c r="Q59" s="11">
        <v>0</v>
      </c>
      <c r="R59" s="11"/>
      <c r="S59" s="11">
        <v>0</v>
      </c>
      <c r="T59" s="11">
        <f t="shared" si="4"/>
        <v>1250000</v>
      </c>
      <c r="U59" s="42">
        <v>10</v>
      </c>
    </row>
    <row r="60" spans="1:21" s="36" customFormat="1" ht="15.45" hidden="1" x14ac:dyDescent="0.35">
      <c r="A60" s="19" t="s">
        <v>111</v>
      </c>
      <c r="B60" s="9">
        <v>45820</v>
      </c>
      <c r="C60" s="14" t="s">
        <v>2167</v>
      </c>
      <c r="D60" s="10" t="s">
        <v>2168</v>
      </c>
      <c r="E60" s="9">
        <v>45820</v>
      </c>
      <c r="F60" s="10" t="s">
        <v>55</v>
      </c>
      <c r="G60" s="10" t="s">
        <v>2169</v>
      </c>
      <c r="H60" s="10" t="s">
        <v>24</v>
      </c>
      <c r="I60" s="10" t="s">
        <v>61</v>
      </c>
      <c r="J60" s="10"/>
      <c r="K60" s="10" t="s">
        <v>6</v>
      </c>
      <c r="L60" s="12">
        <f t="shared" si="5"/>
        <v>3</v>
      </c>
      <c r="M60" s="12">
        <v>100000</v>
      </c>
      <c r="N60" s="12">
        <v>0</v>
      </c>
      <c r="O60" s="11">
        <v>300000</v>
      </c>
      <c r="P60" s="11">
        <f t="shared" si="6"/>
        <v>300000</v>
      </c>
      <c r="Q60" s="11">
        <v>0</v>
      </c>
      <c r="R60" s="11"/>
      <c r="S60" s="11">
        <v>0</v>
      </c>
      <c r="T60" s="11">
        <f t="shared" si="4"/>
        <v>300000</v>
      </c>
      <c r="U60" s="42">
        <v>3</v>
      </c>
    </row>
    <row r="61" spans="1:21" s="36" customFormat="1" ht="15.45" hidden="1" x14ac:dyDescent="0.35">
      <c r="A61" s="19" t="s">
        <v>111</v>
      </c>
      <c r="B61" s="9">
        <v>45820</v>
      </c>
      <c r="C61" s="14" t="s">
        <v>2167</v>
      </c>
      <c r="D61" s="10" t="s">
        <v>2168</v>
      </c>
      <c r="E61" s="9">
        <v>45820</v>
      </c>
      <c r="F61" s="10" t="s">
        <v>55</v>
      </c>
      <c r="G61" s="10" t="s">
        <v>59</v>
      </c>
      <c r="H61" s="10" t="s">
        <v>24</v>
      </c>
      <c r="I61" s="10" t="s">
        <v>61</v>
      </c>
      <c r="J61" s="10"/>
      <c r="K61" s="10" t="s">
        <v>6</v>
      </c>
      <c r="L61" s="12">
        <f t="shared" si="5"/>
        <v>50</v>
      </c>
      <c r="M61" s="12">
        <v>15000</v>
      </c>
      <c r="N61" s="12">
        <v>0</v>
      </c>
      <c r="O61" s="11">
        <v>750000</v>
      </c>
      <c r="P61" s="11">
        <f t="shared" si="6"/>
        <v>750000</v>
      </c>
      <c r="Q61" s="11">
        <v>0</v>
      </c>
      <c r="R61" s="11"/>
      <c r="S61" s="11">
        <v>0</v>
      </c>
      <c r="T61" s="11">
        <f t="shared" si="4"/>
        <v>750000</v>
      </c>
      <c r="U61" s="42">
        <v>50</v>
      </c>
    </row>
    <row r="62" spans="1:21" s="36" customFormat="1" ht="15.45" hidden="1" x14ac:dyDescent="0.35">
      <c r="A62" s="19" t="s">
        <v>111</v>
      </c>
      <c r="B62" s="9">
        <v>45820</v>
      </c>
      <c r="C62" s="14" t="s">
        <v>2167</v>
      </c>
      <c r="D62" s="10" t="s">
        <v>2168</v>
      </c>
      <c r="E62" s="9">
        <v>45820</v>
      </c>
      <c r="F62" s="10" t="s">
        <v>55</v>
      </c>
      <c r="G62" s="10" t="s">
        <v>2170</v>
      </c>
      <c r="H62" s="10" t="s">
        <v>24</v>
      </c>
      <c r="I62" s="10" t="s">
        <v>61</v>
      </c>
      <c r="J62" s="10"/>
      <c r="K62" s="10" t="s">
        <v>6</v>
      </c>
      <c r="L62" s="12">
        <f t="shared" si="5"/>
        <v>10</v>
      </c>
      <c r="M62" s="12">
        <v>15000</v>
      </c>
      <c r="N62" s="12">
        <v>0</v>
      </c>
      <c r="O62" s="11">
        <v>150000</v>
      </c>
      <c r="P62" s="11">
        <f t="shared" si="6"/>
        <v>150000</v>
      </c>
      <c r="Q62" s="11">
        <v>0</v>
      </c>
      <c r="R62" s="11"/>
      <c r="S62" s="11">
        <v>0</v>
      </c>
      <c r="T62" s="11">
        <f t="shared" si="4"/>
        <v>150000</v>
      </c>
      <c r="U62" s="42">
        <v>10</v>
      </c>
    </row>
    <row r="63" spans="1:21" s="36" customFormat="1" ht="15.45" hidden="1" x14ac:dyDescent="0.35">
      <c r="A63" s="19" t="s">
        <v>111</v>
      </c>
      <c r="B63" s="9">
        <v>45820</v>
      </c>
      <c r="C63" s="14" t="s">
        <v>2167</v>
      </c>
      <c r="D63" s="10" t="s">
        <v>2168</v>
      </c>
      <c r="E63" s="9">
        <v>45820</v>
      </c>
      <c r="F63" s="10" t="s">
        <v>55</v>
      </c>
      <c r="G63" s="10" t="s">
        <v>735</v>
      </c>
      <c r="H63" s="10" t="s">
        <v>24</v>
      </c>
      <c r="I63" s="10" t="s">
        <v>61</v>
      </c>
      <c r="J63" s="10"/>
      <c r="K63" s="10" t="s">
        <v>10</v>
      </c>
      <c r="L63" s="12">
        <f t="shared" si="5"/>
        <v>20</v>
      </c>
      <c r="M63" s="12">
        <v>10000</v>
      </c>
      <c r="N63" s="12">
        <v>0</v>
      </c>
      <c r="O63" s="11">
        <v>200000</v>
      </c>
      <c r="P63" s="11">
        <f t="shared" si="6"/>
        <v>200000</v>
      </c>
      <c r="Q63" s="11">
        <v>0</v>
      </c>
      <c r="R63" s="11"/>
      <c r="S63" s="11">
        <v>0</v>
      </c>
      <c r="T63" s="11">
        <f t="shared" si="4"/>
        <v>200000</v>
      </c>
      <c r="U63" s="42">
        <v>20</v>
      </c>
    </row>
    <row r="64" spans="1:21" s="36" customFormat="1" ht="15.45" hidden="1" x14ac:dyDescent="0.35">
      <c r="A64" s="19" t="s">
        <v>111</v>
      </c>
      <c r="B64" s="9">
        <v>45820</v>
      </c>
      <c r="C64" s="14" t="s">
        <v>2167</v>
      </c>
      <c r="D64" s="10" t="s">
        <v>2168</v>
      </c>
      <c r="E64" s="9">
        <v>45820</v>
      </c>
      <c r="F64" s="10" t="s">
        <v>55</v>
      </c>
      <c r="G64" s="10" t="s">
        <v>1077</v>
      </c>
      <c r="H64" s="10" t="s">
        <v>24</v>
      </c>
      <c r="I64" s="10" t="s">
        <v>61</v>
      </c>
      <c r="J64" s="10"/>
      <c r="K64" s="10" t="s">
        <v>10</v>
      </c>
      <c r="L64" s="12">
        <f t="shared" si="5"/>
        <v>10</v>
      </c>
      <c r="M64" s="12">
        <v>15000</v>
      </c>
      <c r="N64" s="12">
        <v>0</v>
      </c>
      <c r="O64" s="11">
        <v>150000</v>
      </c>
      <c r="P64" s="11">
        <f t="shared" si="6"/>
        <v>150000</v>
      </c>
      <c r="Q64" s="11">
        <v>0</v>
      </c>
      <c r="R64" s="11"/>
      <c r="S64" s="11">
        <v>0</v>
      </c>
      <c r="T64" s="11">
        <f t="shared" si="4"/>
        <v>150000</v>
      </c>
      <c r="U64" s="42">
        <v>10</v>
      </c>
    </row>
    <row r="65" spans="1:22" s="36" customFormat="1" ht="15.45" hidden="1" x14ac:dyDescent="0.35">
      <c r="A65" s="19" t="s">
        <v>113</v>
      </c>
      <c r="B65" s="9">
        <v>45820</v>
      </c>
      <c r="C65" s="14" t="s">
        <v>2171</v>
      </c>
      <c r="D65" s="10" t="s">
        <v>2172</v>
      </c>
      <c r="E65" s="9">
        <v>45820</v>
      </c>
      <c r="F65" s="10" t="s">
        <v>42</v>
      </c>
      <c r="G65" s="10" t="s">
        <v>227</v>
      </c>
      <c r="H65" s="10" t="s">
        <v>24</v>
      </c>
      <c r="I65" s="10" t="s">
        <v>61</v>
      </c>
      <c r="J65" s="10"/>
      <c r="K65" s="10" t="s">
        <v>8</v>
      </c>
      <c r="L65" s="12">
        <f t="shared" si="5"/>
        <v>36</v>
      </c>
      <c r="M65" s="12">
        <v>4584</v>
      </c>
      <c r="N65" s="12">
        <v>0</v>
      </c>
      <c r="O65" s="11">
        <v>165024</v>
      </c>
      <c r="P65" s="11">
        <f t="shared" si="6"/>
        <v>165024</v>
      </c>
      <c r="Q65" s="11">
        <v>0</v>
      </c>
      <c r="R65" s="11"/>
      <c r="S65" s="11">
        <v>0</v>
      </c>
      <c r="T65" s="11">
        <f t="shared" si="4"/>
        <v>165024</v>
      </c>
      <c r="U65" s="42">
        <v>36</v>
      </c>
    </row>
    <row r="66" spans="1:22" s="36" customFormat="1" ht="15.45" hidden="1" x14ac:dyDescent="0.35">
      <c r="A66" s="19" t="s">
        <v>113</v>
      </c>
      <c r="B66" s="9">
        <v>45820</v>
      </c>
      <c r="C66" s="14" t="s">
        <v>2171</v>
      </c>
      <c r="D66" s="10" t="s">
        <v>2172</v>
      </c>
      <c r="E66" s="9">
        <v>45820</v>
      </c>
      <c r="F66" s="10" t="s">
        <v>42</v>
      </c>
      <c r="G66" s="10" t="s">
        <v>2173</v>
      </c>
      <c r="H66" s="10" t="s">
        <v>24</v>
      </c>
      <c r="I66" s="10" t="s">
        <v>61</v>
      </c>
      <c r="J66" s="10"/>
      <c r="K66" s="10" t="s">
        <v>6</v>
      </c>
      <c r="L66" s="12">
        <f t="shared" si="5"/>
        <v>2</v>
      </c>
      <c r="M66" s="12">
        <v>250000</v>
      </c>
      <c r="N66" s="12">
        <v>0</v>
      </c>
      <c r="O66" s="11">
        <v>500000</v>
      </c>
      <c r="P66" s="11">
        <f t="shared" si="6"/>
        <v>500000</v>
      </c>
      <c r="Q66" s="11">
        <v>0</v>
      </c>
      <c r="R66" s="11"/>
      <c r="S66" s="11">
        <v>0</v>
      </c>
      <c r="T66" s="11">
        <f t="shared" si="4"/>
        <v>500000</v>
      </c>
      <c r="U66" s="42">
        <v>2</v>
      </c>
    </row>
    <row r="67" spans="1:22" s="36" customFormat="1" ht="15.45" hidden="1" x14ac:dyDescent="0.35">
      <c r="A67" s="19" t="s">
        <v>2099</v>
      </c>
      <c r="B67" s="9">
        <v>45820</v>
      </c>
      <c r="C67" s="14" t="s">
        <v>2174</v>
      </c>
      <c r="D67" s="10" t="s">
        <v>2175</v>
      </c>
      <c r="E67" s="9">
        <v>45820</v>
      </c>
      <c r="F67" s="10" t="s">
        <v>2095</v>
      </c>
      <c r="G67" s="10" t="s">
        <v>2096</v>
      </c>
      <c r="H67" s="10" t="s">
        <v>23</v>
      </c>
      <c r="I67" s="10" t="s">
        <v>978</v>
      </c>
      <c r="J67" s="50" t="s">
        <v>2565</v>
      </c>
      <c r="K67" s="10" t="s">
        <v>1</v>
      </c>
      <c r="L67" s="12">
        <f t="shared" si="5"/>
        <v>500</v>
      </c>
      <c r="M67" s="12">
        <v>28000</v>
      </c>
      <c r="N67" s="12">
        <v>0</v>
      </c>
      <c r="O67" s="11">
        <v>14000000</v>
      </c>
      <c r="P67" s="11">
        <f t="shared" si="6"/>
        <v>14000000</v>
      </c>
      <c r="Q67" s="11">
        <v>1540000</v>
      </c>
      <c r="R67" s="11"/>
      <c r="S67" s="11">
        <v>0</v>
      </c>
      <c r="T67" s="11">
        <f t="shared" si="4"/>
        <v>15540000</v>
      </c>
      <c r="U67" s="42">
        <v>500</v>
      </c>
    </row>
    <row r="68" spans="1:22" s="36" customFormat="1" ht="15.45" hidden="1" x14ac:dyDescent="0.35">
      <c r="A68" s="19" t="s">
        <v>98</v>
      </c>
      <c r="B68" s="9">
        <v>45821</v>
      </c>
      <c r="C68" s="14" t="s">
        <v>2176</v>
      </c>
      <c r="D68" s="10" t="s">
        <v>2059</v>
      </c>
      <c r="E68" s="9">
        <v>45808</v>
      </c>
      <c r="F68" s="10" t="s">
        <v>84</v>
      </c>
      <c r="G68" s="10" t="s">
        <v>175</v>
      </c>
      <c r="H68" s="10" t="s">
        <v>25</v>
      </c>
      <c r="I68" s="10" t="s">
        <v>79</v>
      </c>
      <c r="J68" s="50" t="s">
        <v>2461</v>
      </c>
      <c r="K68" s="10" t="s">
        <v>1</v>
      </c>
      <c r="L68" s="12">
        <f t="shared" si="5"/>
        <v>31380</v>
      </c>
      <c r="M68" s="12">
        <v>1250</v>
      </c>
      <c r="N68" s="12">
        <v>0</v>
      </c>
      <c r="O68" s="11">
        <v>39225000</v>
      </c>
      <c r="P68" s="11">
        <f t="shared" si="6"/>
        <v>39225000</v>
      </c>
      <c r="Q68" s="11">
        <v>4314750</v>
      </c>
      <c r="R68" s="11">
        <f>P68*1.5%</f>
        <v>588375</v>
      </c>
      <c r="S68" s="11">
        <v>0</v>
      </c>
      <c r="T68" s="11">
        <f>P68+Q68-S68-R68</f>
        <v>42951375</v>
      </c>
      <c r="U68" s="42">
        <v>31380</v>
      </c>
    </row>
    <row r="69" spans="1:22" s="36" customFormat="1" ht="15.45" hidden="1" x14ac:dyDescent="0.35">
      <c r="A69" s="19" t="s">
        <v>98</v>
      </c>
      <c r="B69" s="9">
        <v>45821</v>
      </c>
      <c r="C69" s="14" t="s">
        <v>2177</v>
      </c>
      <c r="D69" s="10" t="s">
        <v>2178</v>
      </c>
      <c r="E69" s="9">
        <v>45821</v>
      </c>
      <c r="F69" s="10" t="s">
        <v>84</v>
      </c>
      <c r="G69" s="10" t="s">
        <v>89</v>
      </c>
      <c r="H69" s="10" t="s">
        <v>25</v>
      </c>
      <c r="I69" s="10" t="s">
        <v>79</v>
      </c>
      <c r="J69" s="50" t="s">
        <v>2463</v>
      </c>
      <c r="K69" s="10" t="s">
        <v>1</v>
      </c>
      <c r="L69" s="12">
        <f t="shared" si="5"/>
        <v>34250</v>
      </c>
      <c r="M69" s="12">
        <v>1535</v>
      </c>
      <c r="N69" s="12">
        <v>0</v>
      </c>
      <c r="O69" s="11">
        <v>52573750</v>
      </c>
      <c r="P69" s="11">
        <f t="shared" si="6"/>
        <v>52573750</v>
      </c>
      <c r="Q69" s="11">
        <v>5783112.5</v>
      </c>
      <c r="R69" s="11">
        <f>P69*1.5%</f>
        <v>788606.25</v>
      </c>
      <c r="S69" s="11">
        <v>0</v>
      </c>
      <c r="T69" s="11">
        <f>P69+Q69-S69-R69</f>
        <v>57568256.25</v>
      </c>
      <c r="U69" s="42">
        <v>34250</v>
      </c>
    </row>
    <row r="70" spans="1:22" s="36" customFormat="1" ht="15.45" hidden="1" x14ac:dyDescent="0.35">
      <c r="A70" s="19" t="s">
        <v>187</v>
      </c>
      <c r="B70" s="9">
        <v>45821</v>
      </c>
      <c r="C70" s="14" t="s">
        <v>2179</v>
      </c>
      <c r="D70" s="10" t="s">
        <v>2180</v>
      </c>
      <c r="E70" s="9">
        <v>45822</v>
      </c>
      <c r="F70" s="10" t="s">
        <v>186</v>
      </c>
      <c r="G70" s="10" t="s">
        <v>89</v>
      </c>
      <c r="H70" s="10" t="s">
        <v>25</v>
      </c>
      <c r="I70" s="10" t="s">
        <v>79</v>
      </c>
      <c r="J70" s="50" t="s">
        <v>2470</v>
      </c>
      <c r="K70" s="10" t="s">
        <v>1</v>
      </c>
      <c r="L70" s="12">
        <f t="shared" si="5"/>
        <v>29590</v>
      </c>
      <c r="M70" s="12">
        <v>1530</v>
      </c>
      <c r="N70" s="12">
        <v>0</v>
      </c>
      <c r="O70" s="11">
        <v>45272700</v>
      </c>
      <c r="P70" s="11">
        <f t="shared" si="6"/>
        <v>45272700</v>
      </c>
      <c r="Q70" s="11">
        <v>4979997</v>
      </c>
      <c r="R70" s="11">
        <f>P70*1.5%</f>
        <v>679090.5</v>
      </c>
      <c r="S70" s="11">
        <v>0</v>
      </c>
      <c r="T70" s="11">
        <f>P70+Q70-S70-R70</f>
        <v>49573606.5</v>
      </c>
      <c r="U70" s="42">
        <v>29590</v>
      </c>
    </row>
    <row r="71" spans="1:22" s="36" customFormat="1" ht="15.45" hidden="1" x14ac:dyDescent="0.35">
      <c r="A71" s="19" t="s">
        <v>108</v>
      </c>
      <c r="B71" s="9">
        <v>45821</v>
      </c>
      <c r="C71" s="14" t="s">
        <v>2181</v>
      </c>
      <c r="D71" s="10" t="s">
        <v>2182</v>
      </c>
      <c r="E71" s="9">
        <v>45820</v>
      </c>
      <c r="F71" s="10" t="s">
        <v>51</v>
      </c>
      <c r="G71" s="10" t="s">
        <v>2183</v>
      </c>
      <c r="H71" s="10" t="s">
        <v>24</v>
      </c>
      <c r="I71" s="10" t="s">
        <v>61</v>
      </c>
      <c r="J71" s="50" t="s">
        <v>2295</v>
      </c>
      <c r="K71" s="10" t="s">
        <v>6</v>
      </c>
      <c r="L71" s="12">
        <f t="shared" si="5"/>
        <v>2</v>
      </c>
      <c r="M71" s="12">
        <v>750000</v>
      </c>
      <c r="N71" s="12">
        <v>0</v>
      </c>
      <c r="O71" s="11">
        <v>1500000</v>
      </c>
      <c r="P71" s="11">
        <f t="shared" si="6"/>
        <v>1500000</v>
      </c>
      <c r="Q71" s="11">
        <v>165000</v>
      </c>
      <c r="R71" s="11"/>
      <c r="S71" s="11">
        <v>0</v>
      </c>
      <c r="T71" s="11">
        <f t="shared" ref="T71:T76" si="7">P71+Q71-S71</f>
        <v>1665000</v>
      </c>
      <c r="U71" s="42">
        <v>2</v>
      </c>
    </row>
    <row r="72" spans="1:22" s="36" customFormat="1" ht="15.45" hidden="1" x14ac:dyDescent="0.35">
      <c r="A72" s="19" t="s">
        <v>108</v>
      </c>
      <c r="B72" s="9">
        <v>45821</v>
      </c>
      <c r="C72" s="14" t="s">
        <v>2181</v>
      </c>
      <c r="D72" s="10" t="s">
        <v>2182</v>
      </c>
      <c r="E72" s="9">
        <v>45820</v>
      </c>
      <c r="F72" s="10" t="s">
        <v>51</v>
      </c>
      <c r="G72" s="10" t="s">
        <v>2184</v>
      </c>
      <c r="H72" s="10" t="s">
        <v>24</v>
      </c>
      <c r="I72" s="10" t="s">
        <v>61</v>
      </c>
      <c r="J72" s="50" t="s">
        <v>2295</v>
      </c>
      <c r="K72" s="10" t="s">
        <v>6</v>
      </c>
      <c r="L72" s="12">
        <f t="shared" si="5"/>
        <v>2</v>
      </c>
      <c r="M72" s="12">
        <v>600000</v>
      </c>
      <c r="N72" s="12">
        <v>0</v>
      </c>
      <c r="O72" s="11">
        <v>1200000</v>
      </c>
      <c r="P72" s="11">
        <f t="shared" ref="P72:P103" si="8">O72</f>
        <v>1200000</v>
      </c>
      <c r="Q72" s="11">
        <v>132000</v>
      </c>
      <c r="R72" s="11"/>
      <c r="S72" s="11">
        <v>0</v>
      </c>
      <c r="T72" s="11">
        <f t="shared" si="7"/>
        <v>1332000</v>
      </c>
      <c r="U72" s="42">
        <v>2</v>
      </c>
    </row>
    <row r="73" spans="1:22" s="36" customFormat="1" ht="15.45" hidden="1" x14ac:dyDescent="0.35">
      <c r="A73" s="19" t="s">
        <v>99</v>
      </c>
      <c r="B73" s="9">
        <v>45822</v>
      </c>
      <c r="C73" s="14" t="s">
        <v>2185</v>
      </c>
      <c r="D73" s="10" t="s">
        <v>2186</v>
      </c>
      <c r="E73" s="9">
        <v>45820</v>
      </c>
      <c r="F73" s="10" t="s">
        <v>64</v>
      </c>
      <c r="G73" s="10" t="s">
        <v>238</v>
      </c>
      <c r="H73" s="10" t="s">
        <v>23</v>
      </c>
      <c r="I73" s="10" t="s">
        <v>887</v>
      </c>
      <c r="J73" s="50" t="s">
        <v>2377</v>
      </c>
      <c r="K73" s="10" t="s">
        <v>1</v>
      </c>
      <c r="L73" s="12">
        <f t="shared" si="5"/>
        <v>300</v>
      </c>
      <c r="M73" s="12">
        <v>33000</v>
      </c>
      <c r="N73" s="12">
        <v>0</v>
      </c>
      <c r="O73" s="11">
        <v>9900000</v>
      </c>
      <c r="P73" s="11">
        <f t="shared" si="8"/>
        <v>9900000</v>
      </c>
      <c r="Q73" s="11">
        <v>1089000</v>
      </c>
      <c r="R73" s="11"/>
      <c r="S73" s="11">
        <v>0</v>
      </c>
      <c r="T73" s="11">
        <f t="shared" si="7"/>
        <v>10989000</v>
      </c>
      <c r="U73" s="42">
        <v>300</v>
      </c>
    </row>
    <row r="74" spans="1:22" s="36" customFormat="1" ht="15.45" hidden="1" x14ac:dyDescent="0.35">
      <c r="A74" s="19" t="s">
        <v>99</v>
      </c>
      <c r="B74" s="9">
        <v>45822</v>
      </c>
      <c r="C74" s="14" t="s">
        <v>2185</v>
      </c>
      <c r="D74" s="10" t="s">
        <v>2186</v>
      </c>
      <c r="E74" s="9">
        <v>45820</v>
      </c>
      <c r="F74" s="10" t="s">
        <v>64</v>
      </c>
      <c r="G74" s="10" t="s">
        <v>237</v>
      </c>
      <c r="H74" s="10" t="s">
        <v>23</v>
      </c>
      <c r="I74" s="10" t="s">
        <v>887</v>
      </c>
      <c r="J74" s="50" t="s">
        <v>2377</v>
      </c>
      <c r="K74" s="10" t="s">
        <v>1</v>
      </c>
      <c r="L74" s="12">
        <f t="shared" si="5"/>
        <v>300</v>
      </c>
      <c r="M74" s="12">
        <v>47500</v>
      </c>
      <c r="N74" s="12">
        <v>0</v>
      </c>
      <c r="O74" s="11">
        <v>14250000</v>
      </c>
      <c r="P74" s="11">
        <f t="shared" si="8"/>
        <v>14250000</v>
      </c>
      <c r="Q74" s="11">
        <v>1567500</v>
      </c>
      <c r="R74" s="11"/>
      <c r="S74" s="11">
        <v>0</v>
      </c>
      <c r="T74" s="11">
        <f t="shared" si="7"/>
        <v>15817500</v>
      </c>
      <c r="U74" s="42">
        <v>300</v>
      </c>
    </row>
    <row r="75" spans="1:22" s="36" customFormat="1" ht="15.45" hidden="1" x14ac:dyDescent="0.35">
      <c r="A75" s="19" t="s">
        <v>200</v>
      </c>
      <c r="B75" s="9">
        <v>45821</v>
      </c>
      <c r="C75" s="14" t="s">
        <v>2187</v>
      </c>
      <c r="D75" s="10" t="s">
        <v>2188</v>
      </c>
      <c r="E75" s="9">
        <v>45820</v>
      </c>
      <c r="F75" s="10" t="s">
        <v>194</v>
      </c>
      <c r="G75" s="10" t="s">
        <v>195</v>
      </c>
      <c r="H75" s="10" t="s">
        <v>23</v>
      </c>
      <c r="I75" s="10" t="s">
        <v>2192</v>
      </c>
      <c r="J75" s="50" t="s">
        <v>3087</v>
      </c>
      <c r="K75" s="10" t="s">
        <v>1</v>
      </c>
      <c r="L75" s="12">
        <f t="shared" si="5"/>
        <v>300</v>
      </c>
      <c r="M75" s="12">
        <v>17000</v>
      </c>
      <c r="N75" s="12">
        <v>0</v>
      </c>
      <c r="O75" s="11">
        <v>5100000</v>
      </c>
      <c r="P75" s="11">
        <f t="shared" si="8"/>
        <v>5100000</v>
      </c>
      <c r="Q75" s="11">
        <v>561000</v>
      </c>
      <c r="R75" s="11"/>
      <c r="S75" s="11">
        <v>0</v>
      </c>
      <c r="T75" s="11">
        <f t="shared" si="7"/>
        <v>5661000</v>
      </c>
      <c r="U75" s="42">
        <v>300</v>
      </c>
    </row>
    <row r="76" spans="1:22" s="36" customFormat="1" ht="15.45" hidden="1" x14ac:dyDescent="0.35">
      <c r="A76" s="19" t="s">
        <v>109</v>
      </c>
      <c r="B76" s="9">
        <v>45821</v>
      </c>
      <c r="C76" s="14" t="s">
        <v>2189</v>
      </c>
      <c r="D76" s="10" t="s">
        <v>2084</v>
      </c>
      <c r="E76" s="9">
        <v>45803</v>
      </c>
      <c r="F76" s="10" t="s">
        <v>54</v>
      </c>
      <c r="G76" s="10" t="s">
        <v>49</v>
      </c>
      <c r="H76" s="10" t="s">
        <v>24</v>
      </c>
      <c r="I76" s="10" t="s">
        <v>61</v>
      </c>
      <c r="J76" s="50" t="s">
        <v>2276</v>
      </c>
      <c r="K76" s="10" t="s">
        <v>15</v>
      </c>
      <c r="L76" s="12">
        <f t="shared" si="5"/>
        <v>144</v>
      </c>
      <c r="M76" s="12">
        <v>6454</v>
      </c>
      <c r="N76" s="12">
        <v>0</v>
      </c>
      <c r="O76" s="11">
        <v>929376</v>
      </c>
      <c r="P76" s="11">
        <f t="shared" si="8"/>
        <v>929376</v>
      </c>
      <c r="Q76" s="11">
        <v>102231.36</v>
      </c>
      <c r="R76" s="11"/>
      <c r="S76" s="11">
        <v>0</v>
      </c>
      <c r="T76" s="11">
        <f t="shared" si="7"/>
        <v>1031607.36</v>
      </c>
      <c r="U76" s="42">
        <v>144</v>
      </c>
    </row>
    <row r="77" spans="1:22" s="36" customFormat="1" ht="15.45" hidden="1" x14ac:dyDescent="0.35">
      <c r="A77" s="19" t="s">
        <v>118</v>
      </c>
      <c r="B77" s="9">
        <v>45819</v>
      </c>
      <c r="C77" s="14" t="s">
        <v>2244</v>
      </c>
      <c r="D77" s="10"/>
      <c r="E77" s="9"/>
      <c r="F77" s="10" t="s">
        <v>217</v>
      </c>
      <c r="G77" s="10" t="s">
        <v>2245</v>
      </c>
      <c r="H77" s="10" t="s">
        <v>119</v>
      </c>
      <c r="I77" s="10" t="s">
        <v>120</v>
      </c>
      <c r="J77" s="10"/>
      <c r="K77" s="10" t="s">
        <v>135</v>
      </c>
      <c r="L77" s="12">
        <v>2640</v>
      </c>
      <c r="M77" s="12">
        <v>8500</v>
      </c>
      <c r="N77" s="12"/>
      <c r="O77" s="11">
        <f>L77*M77</f>
        <v>22440000</v>
      </c>
      <c r="P77" s="11">
        <f t="shared" si="8"/>
        <v>22440000</v>
      </c>
      <c r="Q77" s="11">
        <v>0</v>
      </c>
      <c r="R77" s="11"/>
      <c r="S77" s="11"/>
      <c r="T77" s="11">
        <f>P77</f>
        <v>22440000</v>
      </c>
      <c r="U77" s="42"/>
    </row>
    <row r="78" spans="1:22" s="36" customFormat="1" ht="15.45" hidden="1" x14ac:dyDescent="0.35">
      <c r="A78" s="19" t="s">
        <v>768</v>
      </c>
      <c r="B78" s="9">
        <v>45810</v>
      </c>
      <c r="C78" s="14"/>
      <c r="D78" s="10"/>
      <c r="E78" s="9"/>
      <c r="F78" s="10" t="s">
        <v>1951</v>
      </c>
      <c r="G78" s="10" t="s">
        <v>2040</v>
      </c>
      <c r="H78" s="23" t="s">
        <v>119</v>
      </c>
      <c r="I78" s="23" t="s">
        <v>120</v>
      </c>
      <c r="J78" s="50" t="s">
        <v>2285</v>
      </c>
      <c r="K78" s="10"/>
      <c r="L78" s="12">
        <v>1</v>
      </c>
      <c r="M78" s="12">
        <v>714414</v>
      </c>
      <c r="N78" s="12">
        <v>0</v>
      </c>
      <c r="O78" s="11">
        <f>L78*M78</f>
        <v>714414</v>
      </c>
      <c r="P78" s="11">
        <f t="shared" si="8"/>
        <v>714414</v>
      </c>
      <c r="Q78" s="11">
        <f>P78*0.11</f>
        <v>78585.539999999994</v>
      </c>
      <c r="R78" s="11">
        <f>P78*2%</f>
        <v>14288.28</v>
      </c>
      <c r="S78" s="11"/>
      <c r="T78" s="11">
        <f>P78+Q78-R78</f>
        <v>778711.26</v>
      </c>
      <c r="U78" s="42"/>
      <c r="V78" s="36" t="s">
        <v>2286</v>
      </c>
    </row>
    <row r="79" spans="1:22" s="36" customFormat="1" ht="15.45" hidden="1" x14ac:dyDescent="0.35">
      <c r="A79" s="19" t="s">
        <v>96</v>
      </c>
      <c r="B79" s="9">
        <v>45815</v>
      </c>
      <c r="C79" s="14" t="s">
        <v>2299</v>
      </c>
      <c r="D79" s="10" t="s">
        <v>2300</v>
      </c>
      <c r="E79" s="9">
        <v>45824</v>
      </c>
      <c r="F79" s="10" t="s">
        <v>39</v>
      </c>
      <c r="G79" s="10" t="s">
        <v>189</v>
      </c>
      <c r="H79" s="10" t="s">
        <v>190</v>
      </c>
      <c r="I79" s="10" t="s">
        <v>191</v>
      </c>
      <c r="J79" s="10"/>
      <c r="K79" s="10" t="s">
        <v>16</v>
      </c>
      <c r="L79" s="12">
        <f t="shared" ref="L79:L95" si="9">IF(LEFT(C79,2)="RP",U79*-1,U79)</f>
        <v>1</v>
      </c>
      <c r="M79" s="12">
        <v>600000</v>
      </c>
      <c r="N79" s="12">
        <v>0</v>
      </c>
      <c r="O79" s="11">
        <v>600000</v>
      </c>
      <c r="P79" s="11">
        <f t="shared" si="8"/>
        <v>600000</v>
      </c>
      <c r="Q79" s="11">
        <v>0</v>
      </c>
      <c r="R79" s="11"/>
      <c r="S79" s="11">
        <v>0</v>
      </c>
      <c r="T79" s="11">
        <f>P79+Q79-S79</f>
        <v>600000</v>
      </c>
      <c r="U79" s="42">
        <v>1</v>
      </c>
    </row>
    <row r="80" spans="1:22" s="36" customFormat="1" ht="15.45" hidden="1" x14ac:dyDescent="0.35">
      <c r="A80" s="19" t="s">
        <v>105</v>
      </c>
      <c r="B80" s="9">
        <v>45824</v>
      </c>
      <c r="C80" s="14" t="s">
        <v>2301</v>
      </c>
      <c r="D80" s="10" t="s">
        <v>2136</v>
      </c>
      <c r="E80" s="9">
        <v>45817</v>
      </c>
      <c r="F80" s="10" t="s">
        <v>85</v>
      </c>
      <c r="G80" s="10" t="s">
        <v>660</v>
      </c>
      <c r="H80" s="10" t="s">
        <v>23</v>
      </c>
      <c r="I80" s="10" t="s">
        <v>890</v>
      </c>
      <c r="J80" s="50" t="s">
        <v>2479</v>
      </c>
      <c r="K80" s="10" t="s">
        <v>1</v>
      </c>
      <c r="L80" s="12">
        <f t="shared" si="9"/>
        <v>1200</v>
      </c>
      <c r="M80" s="12">
        <v>24398</v>
      </c>
      <c r="N80" s="12">
        <v>16265</v>
      </c>
      <c r="O80" s="11">
        <v>29277600</v>
      </c>
      <c r="P80" s="11">
        <f t="shared" si="8"/>
        <v>29277600</v>
      </c>
      <c r="Q80" s="11">
        <v>3220536</v>
      </c>
      <c r="R80" s="11"/>
      <c r="S80" s="11">
        <v>0</v>
      </c>
      <c r="T80" s="11">
        <f>P80+Q80-S80</f>
        <v>32498136</v>
      </c>
      <c r="U80" s="42">
        <v>1200</v>
      </c>
    </row>
    <row r="81" spans="1:21" s="36" customFormat="1" ht="15.45" hidden="1" x14ac:dyDescent="0.35">
      <c r="A81" s="19" t="s">
        <v>184</v>
      </c>
      <c r="B81" s="9">
        <v>45824</v>
      </c>
      <c r="C81" s="14" t="s">
        <v>2302</v>
      </c>
      <c r="D81" s="10" t="s">
        <v>2303</v>
      </c>
      <c r="E81" s="9">
        <v>45819</v>
      </c>
      <c r="F81" s="10" t="s">
        <v>183</v>
      </c>
      <c r="G81" s="10" t="s">
        <v>216</v>
      </c>
      <c r="H81" s="10" t="s">
        <v>23</v>
      </c>
      <c r="I81" s="10" t="s">
        <v>886</v>
      </c>
      <c r="J81" s="50" t="s">
        <v>2393</v>
      </c>
      <c r="K81" s="10" t="s">
        <v>1</v>
      </c>
      <c r="L81" s="12">
        <f t="shared" si="9"/>
        <v>30</v>
      </c>
      <c r="M81" s="12">
        <v>113785</v>
      </c>
      <c r="N81" s="12">
        <v>16255</v>
      </c>
      <c r="O81" s="11">
        <v>3413550</v>
      </c>
      <c r="P81" s="11">
        <f t="shared" si="8"/>
        <v>3413550</v>
      </c>
      <c r="Q81" s="11">
        <v>375490.5</v>
      </c>
      <c r="R81" s="11"/>
      <c r="S81" s="11">
        <v>0</v>
      </c>
      <c r="T81" s="11">
        <f>P81+Q81-S81</f>
        <v>3789040.5</v>
      </c>
      <c r="U81" s="42">
        <v>30</v>
      </c>
    </row>
    <row r="82" spans="1:21" s="36" customFormat="1" ht="15.45" hidden="1" x14ac:dyDescent="0.35">
      <c r="A82" s="19" t="s">
        <v>218</v>
      </c>
      <c r="B82" s="9">
        <v>45824</v>
      </c>
      <c r="C82" s="14" t="s">
        <v>2304</v>
      </c>
      <c r="D82" s="10" t="s">
        <v>2305</v>
      </c>
      <c r="E82" s="9">
        <v>45819</v>
      </c>
      <c r="F82" s="10" t="s">
        <v>44</v>
      </c>
      <c r="G82" s="10" t="s">
        <v>1922</v>
      </c>
      <c r="H82" s="10" t="s">
        <v>23</v>
      </c>
      <c r="I82" s="10" t="s">
        <v>885</v>
      </c>
      <c r="J82" s="50" t="s">
        <v>2381</v>
      </c>
      <c r="K82" s="10" t="s">
        <v>1</v>
      </c>
      <c r="L82" s="12">
        <f t="shared" si="9"/>
        <v>500</v>
      </c>
      <c r="M82" s="12">
        <v>25195.25</v>
      </c>
      <c r="N82" s="12">
        <v>16255</v>
      </c>
      <c r="O82" s="11">
        <v>12597625</v>
      </c>
      <c r="P82" s="11">
        <f t="shared" si="8"/>
        <v>12597625</v>
      </c>
      <c r="Q82" s="11">
        <v>1385738.75</v>
      </c>
      <c r="R82" s="11"/>
      <c r="S82" s="11">
        <v>0</v>
      </c>
      <c r="T82" s="11">
        <f>P82+Q82-S82</f>
        <v>13983363.75</v>
      </c>
      <c r="U82" s="42">
        <v>500</v>
      </c>
    </row>
    <row r="83" spans="1:21" s="36" customFormat="1" ht="15.45" hidden="1" x14ac:dyDescent="0.35">
      <c r="A83" s="19" t="s">
        <v>98</v>
      </c>
      <c r="B83" s="9">
        <v>45824</v>
      </c>
      <c r="C83" s="14" t="s">
        <v>2306</v>
      </c>
      <c r="D83" s="10" t="s">
        <v>2059</v>
      </c>
      <c r="E83" s="9">
        <v>45808</v>
      </c>
      <c r="F83" s="10" t="s">
        <v>84</v>
      </c>
      <c r="G83" s="10" t="s">
        <v>175</v>
      </c>
      <c r="H83" s="10" t="s">
        <v>25</v>
      </c>
      <c r="I83" s="10" t="s">
        <v>79</v>
      </c>
      <c r="J83" s="50" t="s">
        <v>2461</v>
      </c>
      <c r="K83" s="10" t="s">
        <v>1</v>
      </c>
      <c r="L83" s="12">
        <f t="shared" si="9"/>
        <v>31950</v>
      </c>
      <c r="M83" s="12">
        <v>1250</v>
      </c>
      <c r="N83" s="12">
        <v>0</v>
      </c>
      <c r="O83" s="11">
        <v>39937500</v>
      </c>
      <c r="P83" s="11">
        <f t="shared" si="8"/>
        <v>39937500</v>
      </c>
      <c r="Q83" s="11">
        <v>4393125</v>
      </c>
      <c r="R83" s="11">
        <f>P83*1.5%</f>
        <v>599062.5</v>
      </c>
      <c r="S83" s="11">
        <v>0</v>
      </c>
      <c r="T83" s="11">
        <f>P83+Q83-S83-R83</f>
        <v>43731562.5</v>
      </c>
      <c r="U83" s="42">
        <v>31950</v>
      </c>
    </row>
    <row r="84" spans="1:21" s="36" customFormat="1" ht="15.45" hidden="1" x14ac:dyDescent="0.35">
      <c r="A84" s="19" t="s">
        <v>132</v>
      </c>
      <c r="B84" s="9">
        <v>45825</v>
      </c>
      <c r="C84" s="14" t="s">
        <v>2307</v>
      </c>
      <c r="D84" s="10" t="s">
        <v>2308</v>
      </c>
      <c r="E84" s="9">
        <v>45825</v>
      </c>
      <c r="F84" s="10" t="s">
        <v>129</v>
      </c>
      <c r="G84" s="10" t="s">
        <v>2309</v>
      </c>
      <c r="H84" s="10" t="s">
        <v>24</v>
      </c>
      <c r="I84" s="10" t="s">
        <v>61</v>
      </c>
      <c r="J84" s="10"/>
      <c r="K84" s="10" t="s">
        <v>10</v>
      </c>
      <c r="L84" s="12">
        <f t="shared" si="9"/>
        <v>3</v>
      </c>
      <c r="M84" s="12">
        <v>25500</v>
      </c>
      <c r="N84" s="12">
        <v>0</v>
      </c>
      <c r="O84" s="11">
        <v>76500</v>
      </c>
      <c r="P84" s="11">
        <f t="shared" si="8"/>
        <v>76500</v>
      </c>
      <c r="Q84" s="11">
        <v>0</v>
      </c>
      <c r="R84" s="11"/>
      <c r="S84" s="11">
        <v>0</v>
      </c>
      <c r="T84" s="11">
        <f t="shared" ref="T84:T95" si="10">P84+Q84-S84</f>
        <v>76500</v>
      </c>
      <c r="U84" s="42">
        <v>3</v>
      </c>
    </row>
    <row r="85" spans="1:21" s="36" customFormat="1" ht="15.45" hidden="1" x14ac:dyDescent="0.35">
      <c r="A85" s="19" t="s">
        <v>132</v>
      </c>
      <c r="B85" s="9">
        <v>45825</v>
      </c>
      <c r="C85" s="14" t="s">
        <v>2307</v>
      </c>
      <c r="D85" s="10" t="s">
        <v>2308</v>
      </c>
      <c r="E85" s="9">
        <v>45825</v>
      </c>
      <c r="F85" s="10" t="s">
        <v>129</v>
      </c>
      <c r="G85" s="10" t="s">
        <v>90</v>
      </c>
      <c r="H85" s="10" t="s">
        <v>24</v>
      </c>
      <c r="I85" s="10" t="s">
        <v>61</v>
      </c>
      <c r="J85" s="10"/>
      <c r="K85" s="10" t="s">
        <v>6</v>
      </c>
      <c r="L85" s="12">
        <f t="shared" si="9"/>
        <v>40</v>
      </c>
      <c r="M85" s="12">
        <v>3250</v>
      </c>
      <c r="N85" s="12">
        <v>0</v>
      </c>
      <c r="O85" s="11">
        <v>130000</v>
      </c>
      <c r="P85" s="11">
        <f t="shared" si="8"/>
        <v>130000</v>
      </c>
      <c r="Q85" s="11">
        <v>0</v>
      </c>
      <c r="R85" s="11"/>
      <c r="S85" s="11">
        <v>0</v>
      </c>
      <c r="T85" s="11">
        <f t="shared" si="10"/>
        <v>130000</v>
      </c>
      <c r="U85" s="42">
        <v>40</v>
      </c>
    </row>
    <row r="86" spans="1:21" s="36" customFormat="1" ht="15.45" hidden="1" x14ac:dyDescent="0.35">
      <c r="A86" s="19" t="s">
        <v>592</v>
      </c>
      <c r="B86" s="9">
        <v>45825</v>
      </c>
      <c r="C86" s="14" t="s">
        <v>2310</v>
      </c>
      <c r="D86" s="10" t="s">
        <v>2311</v>
      </c>
      <c r="E86" s="9">
        <v>45824</v>
      </c>
      <c r="F86" s="10" t="s">
        <v>585</v>
      </c>
      <c r="G86" s="10" t="s">
        <v>786</v>
      </c>
      <c r="H86" s="10" t="s">
        <v>23</v>
      </c>
      <c r="I86" s="10" t="s">
        <v>886</v>
      </c>
      <c r="J86" s="50" t="s">
        <v>2476</v>
      </c>
      <c r="K86" s="10" t="s">
        <v>1</v>
      </c>
      <c r="L86" s="12">
        <f t="shared" si="9"/>
        <v>400</v>
      </c>
      <c r="M86" s="12">
        <v>60329</v>
      </c>
      <c r="N86" s="12">
        <v>16305</v>
      </c>
      <c r="O86" s="11">
        <v>24131600</v>
      </c>
      <c r="P86" s="11">
        <f t="shared" si="8"/>
        <v>24131600</v>
      </c>
      <c r="Q86" s="11">
        <v>2654476</v>
      </c>
      <c r="R86" s="11"/>
      <c r="S86" s="11">
        <v>0</v>
      </c>
      <c r="T86" s="11">
        <f t="shared" si="10"/>
        <v>26786076</v>
      </c>
      <c r="U86" s="42">
        <v>400</v>
      </c>
    </row>
    <row r="87" spans="1:21" s="36" customFormat="1" ht="15.45" hidden="1" x14ac:dyDescent="0.35">
      <c r="A87" s="19" t="s">
        <v>170</v>
      </c>
      <c r="B87" s="9">
        <v>45825</v>
      </c>
      <c r="C87" s="14" t="s">
        <v>2312</v>
      </c>
      <c r="D87" s="10" t="s">
        <v>2313</v>
      </c>
      <c r="E87" s="9">
        <v>45820</v>
      </c>
      <c r="F87" s="10" t="s">
        <v>36</v>
      </c>
      <c r="G87" s="10" t="s">
        <v>203</v>
      </c>
      <c r="H87" s="10" t="s">
        <v>23</v>
      </c>
      <c r="I87" s="10" t="s">
        <v>891</v>
      </c>
      <c r="J87" s="50" t="s">
        <v>2458</v>
      </c>
      <c r="K87" s="10" t="s">
        <v>1</v>
      </c>
      <c r="L87" s="12">
        <f t="shared" si="9"/>
        <v>200</v>
      </c>
      <c r="M87" s="12">
        <v>9741</v>
      </c>
      <c r="N87" s="12">
        <v>16235</v>
      </c>
      <c r="O87" s="11">
        <v>1948200</v>
      </c>
      <c r="P87" s="11">
        <f t="shared" si="8"/>
        <v>1948200</v>
      </c>
      <c r="Q87" s="11">
        <v>214302</v>
      </c>
      <c r="R87" s="11"/>
      <c r="S87" s="11">
        <v>0</v>
      </c>
      <c r="T87" s="11">
        <f t="shared" si="10"/>
        <v>2162502</v>
      </c>
      <c r="U87" s="42">
        <v>200</v>
      </c>
    </row>
    <row r="88" spans="1:21" s="36" customFormat="1" ht="15.45" hidden="1" x14ac:dyDescent="0.35">
      <c r="A88" s="19" t="s">
        <v>864</v>
      </c>
      <c r="B88" s="9">
        <v>45825</v>
      </c>
      <c r="C88" s="14" t="s">
        <v>2314</v>
      </c>
      <c r="D88" s="10" t="s">
        <v>2315</v>
      </c>
      <c r="E88" s="9">
        <v>45824</v>
      </c>
      <c r="F88" s="10" t="s">
        <v>853</v>
      </c>
      <c r="G88" s="10" t="s">
        <v>2316</v>
      </c>
      <c r="H88" s="10" t="s">
        <v>24</v>
      </c>
      <c r="I88" s="10" t="s">
        <v>61</v>
      </c>
      <c r="J88" s="50" t="s">
        <v>2468</v>
      </c>
      <c r="K88" s="10" t="s">
        <v>124</v>
      </c>
      <c r="L88" s="12">
        <f t="shared" si="9"/>
        <v>2</v>
      </c>
      <c r="M88" s="12">
        <v>450000</v>
      </c>
      <c r="N88" s="12">
        <v>0</v>
      </c>
      <c r="O88" s="11">
        <v>900000</v>
      </c>
      <c r="P88" s="11">
        <f t="shared" si="8"/>
        <v>900000</v>
      </c>
      <c r="Q88" s="11">
        <v>99000</v>
      </c>
      <c r="R88" s="11"/>
      <c r="S88" s="11">
        <v>0</v>
      </c>
      <c r="T88" s="11">
        <f t="shared" si="10"/>
        <v>999000</v>
      </c>
      <c r="U88" s="42">
        <v>2</v>
      </c>
    </row>
    <row r="89" spans="1:21" s="36" customFormat="1" ht="15.45" hidden="1" x14ac:dyDescent="0.35">
      <c r="A89" s="19" t="s">
        <v>864</v>
      </c>
      <c r="B89" s="9">
        <v>45825</v>
      </c>
      <c r="C89" s="14" t="s">
        <v>2317</v>
      </c>
      <c r="D89" s="10" t="s">
        <v>2318</v>
      </c>
      <c r="E89" s="9">
        <v>45825</v>
      </c>
      <c r="F89" s="10" t="s">
        <v>853</v>
      </c>
      <c r="G89" s="10" t="s">
        <v>858</v>
      </c>
      <c r="H89" s="10" t="s">
        <v>24</v>
      </c>
      <c r="I89" s="10" t="s">
        <v>61</v>
      </c>
      <c r="J89" s="50" t="s">
        <v>2469</v>
      </c>
      <c r="K89" s="10" t="s">
        <v>124</v>
      </c>
      <c r="L89" s="12">
        <f t="shared" si="9"/>
        <v>2</v>
      </c>
      <c r="M89" s="12">
        <v>250000</v>
      </c>
      <c r="N89" s="12">
        <v>0</v>
      </c>
      <c r="O89" s="11">
        <v>500000</v>
      </c>
      <c r="P89" s="11">
        <f t="shared" si="8"/>
        <v>500000</v>
      </c>
      <c r="Q89" s="11">
        <v>55000</v>
      </c>
      <c r="R89" s="11"/>
      <c r="S89" s="11">
        <v>0</v>
      </c>
      <c r="T89" s="11">
        <f t="shared" si="10"/>
        <v>555000</v>
      </c>
      <c r="U89" s="42">
        <v>2</v>
      </c>
    </row>
    <row r="90" spans="1:21" s="36" customFormat="1" ht="15.45" hidden="1" x14ac:dyDescent="0.35">
      <c r="A90" s="19" t="s">
        <v>109</v>
      </c>
      <c r="B90" s="9">
        <v>45826</v>
      </c>
      <c r="C90" s="14" t="s">
        <v>2319</v>
      </c>
      <c r="D90" s="10" t="s">
        <v>2084</v>
      </c>
      <c r="E90" s="9">
        <v>45803</v>
      </c>
      <c r="F90" s="10" t="s">
        <v>54</v>
      </c>
      <c r="G90" s="10" t="s">
        <v>49</v>
      </c>
      <c r="H90" s="10" t="s">
        <v>24</v>
      </c>
      <c r="I90" s="10" t="s">
        <v>61</v>
      </c>
      <c r="J90" s="50" t="s">
        <v>2386</v>
      </c>
      <c r="K90" s="10" t="s">
        <v>15</v>
      </c>
      <c r="L90" s="12">
        <f t="shared" si="9"/>
        <v>144</v>
      </c>
      <c r="M90" s="12">
        <v>6454</v>
      </c>
      <c r="N90" s="12">
        <v>0</v>
      </c>
      <c r="O90" s="11">
        <v>929376</v>
      </c>
      <c r="P90" s="11">
        <f t="shared" si="8"/>
        <v>929376</v>
      </c>
      <c r="Q90" s="11">
        <v>102231.36</v>
      </c>
      <c r="R90" s="11"/>
      <c r="S90" s="11">
        <v>0</v>
      </c>
      <c r="T90" s="11">
        <f t="shared" si="10"/>
        <v>1031607.36</v>
      </c>
      <c r="U90" s="42">
        <v>144</v>
      </c>
    </row>
    <row r="91" spans="1:21" s="36" customFormat="1" ht="15.45" hidden="1" x14ac:dyDescent="0.35">
      <c r="A91" s="19" t="s">
        <v>109</v>
      </c>
      <c r="B91" s="9">
        <v>45826</v>
      </c>
      <c r="C91" s="14" t="s">
        <v>2320</v>
      </c>
      <c r="D91" s="10" t="s">
        <v>2321</v>
      </c>
      <c r="E91" s="9">
        <v>45825</v>
      </c>
      <c r="F91" s="10" t="s">
        <v>54</v>
      </c>
      <c r="G91" s="10" t="s">
        <v>722</v>
      </c>
      <c r="H91" s="10" t="s">
        <v>24</v>
      </c>
      <c r="I91" s="10" t="s">
        <v>61</v>
      </c>
      <c r="J91" s="50" t="s">
        <v>2387</v>
      </c>
      <c r="K91" s="10" t="s">
        <v>15</v>
      </c>
      <c r="L91" s="12">
        <f t="shared" si="9"/>
        <v>48</v>
      </c>
      <c r="M91" s="12">
        <v>5909</v>
      </c>
      <c r="N91" s="12">
        <v>0</v>
      </c>
      <c r="O91" s="11">
        <v>283632</v>
      </c>
      <c r="P91" s="11">
        <f t="shared" si="8"/>
        <v>283632</v>
      </c>
      <c r="Q91" s="11">
        <v>31199.52</v>
      </c>
      <c r="R91" s="11"/>
      <c r="S91" s="11">
        <v>0</v>
      </c>
      <c r="T91" s="11">
        <f t="shared" si="10"/>
        <v>314831.52</v>
      </c>
      <c r="U91" s="42">
        <v>48</v>
      </c>
    </row>
    <row r="92" spans="1:21" s="36" customFormat="1" ht="15.45" hidden="1" x14ac:dyDescent="0.35">
      <c r="A92" s="19" t="s">
        <v>110</v>
      </c>
      <c r="B92" s="9">
        <v>45827</v>
      </c>
      <c r="C92" s="14" t="s">
        <v>2322</v>
      </c>
      <c r="D92" s="10" t="s">
        <v>2147</v>
      </c>
      <c r="E92" s="9">
        <v>45807</v>
      </c>
      <c r="F92" s="10" t="s">
        <v>72</v>
      </c>
      <c r="G92" s="10" t="s">
        <v>29</v>
      </c>
      <c r="H92" s="10" t="s">
        <v>23</v>
      </c>
      <c r="I92" s="10" t="s">
        <v>887</v>
      </c>
      <c r="J92" s="50" t="s">
        <v>2481</v>
      </c>
      <c r="K92" s="10" t="s">
        <v>1</v>
      </c>
      <c r="L92" s="12">
        <f t="shared" si="9"/>
        <v>5000</v>
      </c>
      <c r="M92" s="12">
        <v>5500</v>
      </c>
      <c r="N92" s="12">
        <v>0</v>
      </c>
      <c r="O92" s="11">
        <v>27500000</v>
      </c>
      <c r="P92" s="11">
        <f t="shared" si="8"/>
        <v>27500000</v>
      </c>
      <c r="Q92" s="11">
        <v>3025000</v>
      </c>
      <c r="R92" s="11"/>
      <c r="S92" s="11">
        <v>0</v>
      </c>
      <c r="T92" s="11">
        <f t="shared" si="10"/>
        <v>30525000</v>
      </c>
      <c r="U92" s="42">
        <v>5000</v>
      </c>
    </row>
    <row r="93" spans="1:21" s="36" customFormat="1" ht="15.45" hidden="1" x14ac:dyDescent="0.35">
      <c r="A93" s="19" t="s">
        <v>149</v>
      </c>
      <c r="B93" s="9">
        <v>45826</v>
      </c>
      <c r="C93" s="14" t="s">
        <v>2323</v>
      </c>
      <c r="D93" s="10" t="s">
        <v>2324</v>
      </c>
      <c r="E93" s="9">
        <v>45825</v>
      </c>
      <c r="F93" s="10" t="s">
        <v>143</v>
      </c>
      <c r="G93" s="10" t="s">
        <v>2325</v>
      </c>
      <c r="H93" s="10" t="s">
        <v>24</v>
      </c>
      <c r="I93" s="10" t="s">
        <v>61</v>
      </c>
      <c r="J93" s="50" t="s">
        <v>2466</v>
      </c>
      <c r="K93" s="10" t="s">
        <v>10</v>
      </c>
      <c r="L93" s="12">
        <f t="shared" si="9"/>
        <v>4</v>
      </c>
      <c r="M93" s="12">
        <v>185250</v>
      </c>
      <c r="N93" s="12">
        <v>0</v>
      </c>
      <c r="O93" s="11">
        <v>741000</v>
      </c>
      <c r="P93" s="11">
        <f t="shared" si="8"/>
        <v>741000</v>
      </c>
      <c r="Q93" s="11">
        <v>81510</v>
      </c>
      <c r="R93" s="11"/>
      <c r="S93" s="11">
        <v>0</v>
      </c>
      <c r="T93" s="11">
        <f t="shared" si="10"/>
        <v>822510</v>
      </c>
      <c r="U93" s="42">
        <v>4</v>
      </c>
    </row>
    <row r="94" spans="1:21" s="36" customFormat="1" ht="15.45" hidden="1" x14ac:dyDescent="0.35">
      <c r="A94" s="19" t="s">
        <v>105</v>
      </c>
      <c r="B94" s="9">
        <v>45826</v>
      </c>
      <c r="C94" s="14" t="s">
        <v>2326</v>
      </c>
      <c r="D94" s="10" t="s">
        <v>2327</v>
      </c>
      <c r="E94" s="9">
        <v>45825</v>
      </c>
      <c r="F94" s="10" t="s">
        <v>85</v>
      </c>
      <c r="G94" s="10" t="s">
        <v>660</v>
      </c>
      <c r="H94" s="10" t="s">
        <v>23</v>
      </c>
      <c r="I94" s="10" t="s">
        <v>890</v>
      </c>
      <c r="J94" s="50" t="s">
        <v>2593</v>
      </c>
      <c r="K94" s="10" t="s">
        <v>1</v>
      </c>
      <c r="L94" s="12">
        <f t="shared" si="9"/>
        <v>1980</v>
      </c>
      <c r="M94" s="12">
        <v>23577</v>
      </c>
      <c r="N94" s="12">
        <v>16260</v>
      </c>
      <c r="O94" s="11">
        <v>46682460</v>
      </c>
      <c r="P94" s="11">
        <f t="shared" si="8"/>
        <v>46682460</v>
      </c>
      <c r="Q94" s="11">
        <v>5135070.5999999996</v>
      </c>
      <c r="R94" s="11"/>
      <c r="S94" s="11">
        <v>0</v>
      </c>
      <c r="T94" s="11">
        <f t="shared" si="10"/>
        <v>51817530.600000001</v>
      </c>
      <c r="U94" s="42">
        <v>1980</v>
      </c>
    </row>
    <row r="95" spans="1:21" s="36" customFormat="1" ht="15.45" hidden="1" x14ac:dyDescent="0.35">
      <c r="A95" s="19" t="s">
        <v>1112</v>
      </c>
      <c r="B95" s="9">
        <v>45826</v>
      </c>
      <c r="C95" s="14" t="s">
        <v>2328</v>
      </c>
      <c r="D95" s="10" t="s">
        <v>2329</v>
      </c>
      <c r="E95" s="9">
        <v>45825</v>
      </c>
      <c r="F95" s="10" t="s">
        <v>1098</v>
      </c>
      <c r="G95" s="10" t="s">
        <v>1470</v>
      </c>
      <c r="H95" s="10" t="s">
        <v>23</v>
      </c>
      <c r="I95" s="10" t="s">
        <v>2192</v>
      </c>
      <c r="J95" s="50" t="s">
        <v>2385</v>
      </c>
      <c r="K95" s="10" t="s">
        <v>1</v>
      </c>
      <c r="L95" s="12">
        <f t="shared" si="9"/>
        <v>70</v>
      </c>
      <c r="M95" s="12">
        <v>35000</v>
      </c>
      <c r="N95" s="12">
        <v>0</v>
      </c>
      <c r="O95" s="11">
        <v>2450000</v>
      </c>
      <c r="P95" s="11">
        <f t="shared" si="8"/>
        <v>2450000</v>
      </c>
      <c r="Q95" s="11">
        <v>269500</v>
      </c>
      <c r="R95" s="11"/>
      <c r="S95" s="11">
        <v>0</v>
      </c>
      <c r="T95" s="11">
        <f t="shared" si="10"/>
        <v>2719500</v>
      </c>
      <c r="U95" s="42">
        <v>70</v>
      </c>
    </row>
    <row r="96" spans="1:21" s="36" customFormat="1" ht="15.45" hidden="1" x14ac:dyDescent="0.35">
      <c r="A96" s="19" t="s">
        <v>166</v>
      </c>
      <c r="B96" s="9">
        <v>45810</v>
      </c>
      <c r="C96" s="14" t="s">
        <v>2333</v>
      </c>
      <c r="D96" s="10"/>
      <c r="E96" s="9"/>
      <c r="F96" s="23" t="s">
        <v>210</v>
      </c>
      <c r="G96" s="23" t="s">
        <v>168</v>
      </c>
      <c r="H96" s="23" t="s">
        <v>169</v>
      </c>
      <c r="I96" s="23" t="s">
        <v>192</v>
      </c>
      <c r="J96" s="50" t="s">
        <v>2568</v>
      </c>
      <c r="K96" s="10" t="s">
        <v>0</v>
      </c>
      <c r="L96" s="12">
        <v>6760</v>
      </c>
      <c r="M96" s="12">
        <v>225.23</v>
      </c>
      <c r="N96" s="12">
        <v>0</v>
      </c>
      <c r="O96" s="11">
        <f t="shared" ref="O96:O107" si="11">L96*M96</f>
        <v>1522554.8</v>
      </c>
      <c r="P96" s="11">
        <f t="shared" si="8"/>
        <v>1522554.8</v>
      </c>
      <c r="Q96" s="11">
        <f t="shared" ref="Q96:Q107" si="12">P96*0.11</f>
        <v>167481.02800000002</v>
      </c>
      <c r="R96" s="11">
        <f t="shared" ref="R96:R107" si="13">P96*2%</f>
        <v>30451.096000000001</v>
      </c>
      <c r="S96" s="11">
        <v>0</v>
      </c>
      <c r="T96" s="11">
        <f t="shared" ref="T96:T108" si="14">P96+Q96-S96-R96</f>
        <v>1659584.7320000001</v>
      </c>
      <c r="U96" s="42">
        <v>36</v>
      </c>
    </row>
    <row r="97" spans="1:21" s="36" customFormat="1" ht="15.45" hidden="1" x14ac:dyDescent="0.35">
      <c r="A97" s="19" t="s">
        <v>166</v>
      </c>
      <c r="B97" s="9">
        <v>45811</v>
      </c>
      <c r="C97" s="14" t="s">
        <v>2334</v>
      </c>
      <c r="D97" s="10"/>
      <c r="E97" s="9"/>
      <c r="F97" s="23" t="s">
        <v>210</v>
      </c>
      <c r="G97" s="23" t="s">
        <v>168</v>
      </c>
      <c r="H97" s="23" t="s">
        <v>169</v>
      </c>
      <c r="I97" s="23" t="s">
        <v>192</v>
      </c>
      <c r="J97" s="50" t="s">
        <v>2570</v>
      </c>
      <c r="K97" s="10" t="s">
        <v>0</v>
      </c>
      <c r="L97" s="12">
        <v>6040</v>
      </c>
      <c r="M97" s="12">
        <v>225.23</v>
      </c>
      <c r="N97" s="12">
        <v>0</v>
      </c>
      <c r="O97" s="11">
        <f t="shared" si="11"/>
        <v>1360389.2</v>
      </c>
      <c r="P97" s="11">
        <f t="shared" si="8"/>
        <v>1360389.2</v>
      </c>
      <c r="Q97" s="11">
        <f t="shared" si="12"/>
        <v>149642.81200000001</v>
      </c>
      <c r="R97" s="11">
        <f t="shared" si="13"/>
        <v>27207.784</v>
      </c>
      <c r="S97" s="11">
        <v>0</v>
      </c>
      <c r="T97" s="11">
        <f t="shared" si="14"/>
        <v>1482824.2279999999</v>
      </c>
      <c r="U97" s="42"/>
    </row>
    <row r="98" spans="1:21" s="36" customFormat="1" ht="15.45" hidden="1" x14ac:dyDescent="0.35">
      <c r="A98" s="19" t="s">
        <v>166</v>
      </c>
      <c r="B98" s="9">
        <v>45812</v>
      </c>
      <c r="C98" s="14" t="s">
        <v>2335</v>
      </c>
      <c r="D98" s="10"/>
      <c r="E98" s="9"/>
      <c r="F98" s="23" t="s">
        <v>210</v>
      </c>
      <c r="G98" s="23" t="s">
        <v>168</v>
      </c>
      <c r="H98" s="23" t="s">
        <v>169</v>
      </c>
      <c r="I98" s="23" t="s">
        <v>192</v>
      </c>
      <c r="J98" s="50" t="s">
        <v>2569</v>
      </c>
      <c r="K98" s="10" t="s">
        <v>0</v>
      </c>
      <c r="L98" s="12">
        <v>6550</v>
      </c>
      <c r="M98" s="12">
        <v>225.23</v>
      </c>
      <c r="N98" s="12">
        <v>0</v>
      </c>
      <c r="O98" s="11">
        <f t="shared" si="11"/>
        <v>1475256.5</v>
      </c>
      <c r="P98" s="11">
        <f t="shared" si="8"/>
        <v>1475256.5</v>
      </c>
      <c r="Q98" s="11">
        <f t="shared" si="12"/>
        <v>162278.215</v>
      </c>
      <c r="R98" s="11">
        <f t="shared" si="13"/>
        <v>29505.13</v>
      </c>
      <c r="S98" s="11">
        <v>0</v>
      </c>
      <c r="T98" s="11">
        <f t="shared" si="14"/>
        <v>1608029.5850000002</v>
      </c>
      <c r="U98" s="42"/>
    </row>
    <row r="99" spans="1:21" s="36" customFormat="1" ht="15.45" hidden="1" x14ac:dyDescent="0.35">
      <c r="A99" s="19" t="s">
        <v>166</v>
      </c>
      <c r="B99" s="9">
        <v>45817</v>
      </c>
      <c r="C99" s="14" t="s">
        <v>2336</v>
      </c>
      <c r="D99" s="10"/>
      <c r="E99" s="9"/>
      <c r="F99" s="23" t="s">
        <v>210</v>
      </c>
      <c r="G99" s="23" t="s">
        <v>168</v>
      </c>
      <c r="H99" s="23" t="s">
        <v>169</v>
      </c>
      <c r="I99" s="23" t="s">
        <v>192</v>
      </c>
      <c r="J99" s="50" t="s">
        <v>2571</v>
      </c>
      <c r="K99" s="10" t="s">
        <v>0</v>
      </c>
      <c r="L99" s="12">
        <v>6760</v>
      </c>
      <c r="M99" s="12">
        <v>225.23</v>
      </c>
      <c r="N99" s="12">
        <v>0</v>
      </c>
      <c r="O99" s="11">
        <f t="shared" si="11"/>
        <v>1522554.8</v>
      </c>
      <c r="P99" s="11">
        <f t="shared" si="8"/>
        <v>1522554.8</v>
      </c>
      <c r="Q99" s="11">
        <f t="shared" si="12"/>
        <v>167481.02800000002</v>
      </c>
      <c r="R99" s="11">
        <f t="shared" si="13"/>
        <v>30451.096000000001</v>
      </c>
      <c r="S99" s="11">
        <v>0</v>
      </c>
      <c r="T99" s="11">
        <f t="shared" si="14"/>
        <v>1659584.7320000001</v>
      </c>
      <c r="U99" s="42"/>
    </row>
    <row r="100" spans="1:21" s="36" customFormat="1" ht="15.45" hidden="1" x14ac:dyDescent="0.35">
      <c r="A100" s="19" t="s">
        <v>166</v>
      </c>
      <c r="B100" s="9">
        <v>45817</v>
      </c>
      <c r="C100" s="14" t="s">
        <v>2337</v>
      </c>
      <c r="D100" s="10"/>
      <c r="E100" s="9"/>
      <c r="F100" s="23" t="s">
        <v>210</v>
      </c>
      <c r="G100" s="23" t="s">
        <v>168</v>
      </c>
      <c r="H100" s="23" t="s">
        <v>169</v>
      </c>
      <c r="I100" s="23" t="s">
        <v>192</v>
      </c>
      <c r="J100" s="50" t="s">
        <v>2571</v>
      </c>
      <c r="K100" s="10" t="s">
        <v>0</v>
      </c>
      <c r="L100" s="12">
        <v>6570</v>
      </c>
      <c r="M100" s="12">
        <v>225.23</v>
      </c>
      <c r="N100" s="12">
        <v>0</v>
      </c>
      <c r="O100" s="11">
        <f t="shared" si="11"/>
        <v>1479761.0999999999</v>
      </c>
      <c r="P100" s="11">
        <f t="shared" si="8"/>
        <v>1479761.0999999999</v>
      </c>
      <c r="Q100" s="11">
        <f t="shared" si="12"/>
        <v>162773.72099999999</v>
      </c>
      <c r="R100" s="11">
        <f t="shared" si="13"/>
        <v>29595.221999999998</v>
      </c>
      <c r="S100" s="11">
        <v>0</v>
      </c>
      <c r="T100" s="11">
        <f t="shared" si="14"/>
        <v>1612939.5989999997</v>
      </c>
      <c r="U100" s="42"/>
    </row>
    <row r="101" spans="1:21" s="36" customFormat="1" ht="15.45" hidden="1" x14ac:dyDescent="0.35">
      <c r="A101" s="19" t="s">
        <v>166</v>
      </c>
      <c r="B101" s="9">
        <v>45819</v>
      </c>
      <c r="C101" s="14" t="s">
        <v>2338</v>
      </c>
      <c r="D101" s="10"/>
      <c r="E101" s="9"/>
      <c r="F101" s="23" t="s">
        <v>210</v>
      </c>
      <c r="G101" s="23" t="s">
        <v>168</v>
      </c>
      <c r="H101" s="23" t="s">
        <v>169</v>
      </c>
      <c r="I101" s="23" t="s">
        <v>192</v>
      </c>
      <c r="J101" s="50" t="s">
        <v>2572</v>
      </c>
      <c r="K101" s="10" t="s">
        <v>0</v>
      </c>
      <c r="L101" s="12">
        <v>6000</v>
      </c>
      <c r="M101" s="12">
        <v>225.23</v>
      </c>
      <c r="N101" s="12">
        <v>0</v>
      </c>
      <c r="O101" s="11">
        <f t="shared" si="11"/>
        <v>1351380</v>
      </c>
      <c r="P101" s="11">
        <f t="shared" si="8"/>
        <v>1351380</v>
      </c>
      <c r="Q101" s="11">
        <f t="shared" si="12"/>
        <v>148651.79999999999</v>
      </c>
      <c r="R101" s="11">
        <f t="shared" si="13"/>
        <v>27027.600000000002</v>
      </c>
      <c r="S101" s="11">
        <v>0</v>
      </c>
      <c r="T101" s="11">
        <f t="shared" si="14"/>
        <v>1473004.2</v>
      </c>
      <c r="U101" s="42"/>
    </row>
    <row r="102" spans="1:21" s="36" customFormat="1" ht="15.45" hidden="1" x14ac:dyDescent="0.35">
      <c r="A102" s="19" t="s">
        <v>166</v>
      </c>
      <c r="B102" s="9">
        <v>45821</v>
      </c>
      <c r="C102" s="14" t="s">
        <v>2339</v>
      </c>
      <c r="D102" s="10"/>
      <c r="E102" s="9"/>
      <c r="F102" s="23" t="s">
        <v>210</v>
      </c>
      <c r="G102" s="23" t="s">
        <v>168</v>
      </c>
      <c r="H102" s="23" t="s">
        <v>169</v>
      </c>
      <c r="I102" s="23" t="s">
        <v>192</v>
      </c>
      <c r="J102" s="50" t="s">
        <v>2573</v>
      </c>
      <c r="K102" s="10" t="s">
        <v>0</v>
      </c>
      <c r="L102" s="12">
        <v>6710</v>
      </c>
      <c r="M102" s="12">
        <v>225.23</v>
      </c>
      <c r="N102" s="12">
        <v>0</v>
      </c>
      <c r="O102" s="11">
        <f t="shared" si="11"/>
        <v>1511293.3</v>
      </c>
      <c r="P102" s="11">
        <f t="shared" si="8"/>
        <v>1511293.3</v>
      </c>
      <c r="Q102" s="11">
        <f t="shared" si="12"/>
        <v>166242.26300000001</v>
      </c>
      <c r="R102" s="11">
        <f t="shared" si="13"/>
        <v>30225.866000000002</v>
      </c>
      <c r="S102" s="11">
        <v>0</v>
      </c>
      <c r="T102" s="11">
        <f t="shared" si="14"/>
        <v>1647309.6970000002</v>
      </c>
      <c r="U102" s="42"/>
    </row>
    <row r="103" spans="1:21" s="36" customFormat="1" ht="15.45" hidden="1" x14ac:dyDescent="0.35">
      <c r="A103" s="19" t="s">
        <v>166</v>
      </c>
      <c r="B103" s="9">
        <v>45822</v>
      </c>
      <c r="C103" s="14" t="s">
        <v>2340</v>
      </c>
      <c r="D103" s="10"/>
      <c r="E103" s="9"/>
      <c r="F103" s="23" t="s">
        <v>210</v>
      </c>
      <c r="G103" s="23" t="s">
        <v>168</v>
      </c>
      <c r="H103" s="23" t="s">
        <v>169</v>
      </c>
      <c r="I103" s="23" t="s">
        <v>192</v>
      </c>
      <c r="J103" s="50" t="s">
        <v>2574</v>
      </c>
      <c r="K103" s="10" t="s">
        <v>0</v>
      </c>
      <c r="L103" s="12">
        <v>6510</v>
      </c>
      <c r="M103" s="12">
        <v>225.23</v>
      </c>
      <c r="N103" s="12">
        <v>0</v>
      </c>
      <c r="O103" s="11">
        <f t="shared" si="11"/>
        <v>1466247.3</v>
      </c>
      <c r="P103" s="11">
        <f t="shared" si="8"/>
        <v>1466247.3</v>
      </c>
      <c r="Q103" s="11">
        <f t="shared" si="12"/>
        <v>161287.20300000001</v>
      </c>
      <c r="R103" s="11">
        <f t="shared" si="13"/>
        <v>29324.946</v>
      </c>
      <c r="S103" s="11">
        <v>0</v>
      </c>
      <c r="T103" s="11">
        <f t="shared" si="14"/>
        <v>1598209.557</v>
      </c>
      <c r="U103" s="42"/>
    </row>
    <row r="104" spans="1:21" s="36" customFormat="1" ht="15.45" hidden="1" x14ac:dyDescent="0.35">
      <c r="A104" s="19" t="s">
        <v>166</v>
      </c>
      <c r="B104" s="9">
        <v>45825</v>
      </c>
      <c r="C104" s="14" t="s">
        <v>2341</v>
      </c>
      <c r="D104" s="10"/>
      <c r="E104" s="9"/>
      <c r="F104" s="23" t="s">
        <v>210</v>
      </c>
      <c r="G104" s="23" t="s">
        <v>168</v>
      </c>
      <c r="H104" s="23" t="s">
        <v>169</v>
      </c>
      <c r="I104" s="23" t="s">
        <v>192</v>
      </c>
      <c r="J104" s="50" t="s">
        <v>2575</v>
      </c>
      <c r="K104" s="10" t="s">
        <v>0</v>
      </c>
      <c r="L104" s="12">
        <v>6550</v>
      </c>
      <c r="M104" s="12">
        <v>225.23</v>
      </c>
      <c r="N104" s="12">
        <v>0</v>
      </c>
      <c r="O104" s="11">
        <f t="shared" si="11"/>
        <v>1475256.5</v>
      </c>
      <c r="P104" s="11">
        <f t="shared" ref="P104:P135" si="15">O104</f>
        <v>1475256.5</v>
      </c>
      <c r="Q104" s="11">
        <f t="shared" si="12"/>
        <v>162278.215</v>
      </c>
      <c r="R104" s="11">
        <f t="shared" si="13"/>
        <v>29505.13</v>
      </c>
      <c r="S104" s="11">
        <v>0</v>
      </c>
      <c r="T104" s="11">
        <f t="shared" si="14"/>
        <v>1608029.5850000002</v>
      </c>
      <c r="U104" s="42"/>
    </row>
    <row r="105" spans="1:21" s="36" customFormat="1" ht="15.45" hidden="1" x14ac:dyDescent="0.35">
      <c r="A105" s="19" t="s">
        <v>166</v>
      </c>
      <c r="B105" s="9">
        <v>45826</v>
      </c>
      <c r="C105" s="14" t="s">
        <v>2342</v>
      </c>
      <c r="D105" s="10"/>
      <c r="E105" s="9"/>
      <c r="F105" s="23" t="s">
        <v>210</v>
      </c>
      <c r="G105" s="23" t="s">
        <v>168</v>
      </c>
      <c r="H105" s="23" t="s">
        <v>169</v>
      </c>
      <c r="I105" s="23" t="s">
        <v>192</v>
      </c>
      <c r="J105" s="50" t="s">
        <v>2576</v>
      </c>
      <c r="K105" s="10" t="s">
        <v>0</v>
      </c>
      <c r="L105" s="12">
        <v>6350</v>
      </c>
      <c r="M105" s="12">
        <v>225.23</v>
      </c>
      <c r="N105" s="12">
        <v>0</v>
      </c>
      <c r="O105" s="11">
        <f t="shared" si="11"/>
        <v>1430210.5</v>
      </c>
      <c r="P105" s="11">
        <f t="shared" si="15"/>
        <v>1430210.5</v>
      </c>
      <c r="Q105" s="11">
        <f t="shared" si="12"/>
        <v>157323.155</v>
      </c>
      <c r="R105" s="11">
        <f t="shared" si="13"/>
        <v>28604.21</v>
      </c>
      <c r="S105" s="11">
        <v>0</v>
      </c>
      <c r="T105" s="11">
        <f t="shared" si="14"/>
        <v>1558929.4450000001</v>
      </c>
      <c r="U105" s="42"/>
    </row>
    <row r="106" spans="1:21" s="36" customFormat="1" ht="15.45" hidden="1" x14ac:dyDescent="0.35">
      <c r="A106" s="19" t="s">
        <v>166</v>
      </c>
      <c r="B106" s="9">
        <v>45827</v>
      </c>
      <c r="C106" s="14" t="s">
        <v>2343</v>
      </c>
      <c r="D106" s="10"/>
      <c r="E106" s="9"/>
      <c r="F106" s="23" t="s">
        <v>210</v>
      </c>
      <c r="G106" s="23" t="s">
        <v>168</v>
      </c>
      <c r="H106" s="23" t="s">
        <v>169</v>
      </c>
      <c r="I106" s="23" t="s">
        <v>192</v>
      </c>
      <c r="J106" s="50" t="s">
        <v>2577</v>
      </c>
      <c r="K106" s="10" t="s">
        <v>0</v>
      </c>
      <c r="L106" s="12">
        <v>6870</v>
      </c>
      <c r="M106" s="12">
        <v>225.23</v>
      </c>
      <c r="N106" s="12">
        <v>0</v>
      </c>
      <c r="O106" s="11">
        <f t="shared" si="11"/>
        <v>1547330.0999999999</v>
      </c>
      <c r="P106" s="11">
        <f t="shared" si="15"/>
        <v>1547330.0999999999</v>
      </c>
      <c r="Q106" s="11">
        <f t="shared" si="12"/>
        <v>170206.31099999999</v>
      </c>
      <c r="R106" s="11">
        <f t="shared" si="13"/>
        <v>30946.601999999999</v>
      </c>
      <c r="S106" s="11">
        <v>0</v>
      </c>
      <c r="T106" s="11">
        <f t="shared" si="14"/>
        <v>1686589.8089999999</v>
      </c>
      <c r="U106" s="42"/>
    </row>
    <row r="107" spans="1:21" s="36" customFormat="1" ht="15.45" hidden="1" x14ac:dyDescent="0.35">
      <c r="A107" s="19" t="s">
        <v>166</v>
      </c>
      <c r="B107" s="9">
        <v>45828</v>
      </c>
      <c r="C107" s="14" t="s">
        <v>2344</v>
      </c>
      <c r="D107" s="10"/>
      <c r="E107" s="9"/>
      <c r="F107" s="23" t="s">
        <v>210</v>
      </c>
      <c r="G107" s="23" t="s">
        <v>168</v>
      </c>
      <c r="H107" s="23" t="s">
        <v>169</v>
      </c>
      <c r="I107" s="23" t="s">
        <v>192</v>
      </c>
      <c r="J107" s="50" t="s">
        <v>2578</v>
      </c>
      <c r="K107" s="10" t="s">
        <v>0</v>
      </c>
      <c r="L107" s="12">
        <v>5290</v>
      </c>
      <c r="M107" s="12">
        <v>225.23</v>
      </c>
      <c r="N107" s="12">
        <v>0</v>
      </c>
      <c r="O107" s="11">
        <f t="shared" si="11"/>
        <v>1191466.7</v>
      </c>
      <c r="P107" s="11">
        <f t="shared" si="15"/>
        <v>1191466.7</v>
      </c>
      <c r="Q107" s="11">
        <f t="shared" si="12"/>
        <v>131061.337</v>
      </c>
      <c r="R107" s="11">
        <f t="shared" si="13"/>
        <v>23829.333999999999</v>
      </c>
      <c r="S107" s="11">
        <v>0</v>
      </c>
      <c r="T107" s="11">
        <f t="shared" si="14"/>
        <v>1298698.703</v>
      </c>
      <c r="U107" s="42"/>
    </row>
    <row r="108" spans="1:21" s="36" customFormat="1" ht="15.45" hidden="1" x14ac:dyDescent="0.35">
      <c r="A108" s="19" t="s">
        <v>187</v>
      </c>
      <c r="B108" s="9">
        <v>45826</v>
      </c>
      <c r="C108" s="14" t="s">
        <v>2346</v>
      </c>
      <c r="D108" s="10" t="s">
        <v>2347</v>
      </c>
      <c r="E108" s="9">
        <v>45826</v>
      </c>
      <c r="F108" s="10" t="s">
        <v>186</v>
      </c>
      <c r="G108" s="10" t="s">
        <v>89</v>
      </c>
      <c r="H108" s="10" t="s">
        <v>25</v>
      </c>
      <c r="I108" s="10" t="s">
        <v>79</v>
      </c>
      <c r="J108" s="50" t="s">
        <v>2470</v>
      </c>
      <c r="K108" s="10" t="s">
        <v>1</v>
      </c>
      <c r="L108" s="12">
        <f t="shared" ref="L108:L127" si="16">IF(LEFT(C108,2)="RP",U108*-1,U108)</f>
        <v>29570</v>
      </c>
      <c r="M108" s="12">
        <v>1530</v>
      </c>
      <c r="N108" s="12">
        <v>0</v>
      </c>
      <c r="O108" s="11">
        <v>45242100</v>
      </c>
      <c r="P108" s="11">
        <f t="shared" si="15"/>
        <v>45242100</v>
      </c>
      <c r="Q108" s="11">
        <v>4976631</v>
      </c>
      <c r="R108" s="11">
        <f>P108*1.5%</f>
        <v>678631.5</v>
      </c>
      <c r="S108" s="11">
        <v>0</v>
      </c>
      <c r="T108" s="11">
        <f t="shared" si="14"/>
        <v>49540099.5</v>
      </c>
      <c r="U108" s="42">
        <v>29570</v>
      </c>
    </row>
    <row r="109" spans="1:21" s="36" customFormat="1" ht="15.45" hidden="1" x14ac:dyDescent="0.35">
      <c r="A109" s="19" t="s">
        <v>108</v>
      </c>
      <c r="B109" s="9">
        <v>45827</v>
      </c>
      <c r="C109" s="14" t="s">
        <v>2348</v>
      </c>
      <c r="D109" s="10" t="s">
        <v>2182</v>
      </c>
      <c r="E109" s="9">
        <v>45820</v>
      </c>
      <c r="F109" s="10" t="s">
        <v>51</v>
      </c>
      <c r="G109" s="10" t="s">
        <v>729</v>
      </c>
      <c r="H109" s="10" t="s">
        <v>24</v>
      </c>
      <c r="I109" s="10" t="s">
        <v>61</v>
      </c>
      <c r="J109" s="50" t="s">
        <v>2388</v>
      </c>
      <c r="K109" s="10" t="s">
        <v>10</v>
      </c>
      <c r="L109" s="12">
        <f t="shared" si="16"/>
        <v>5</v>
      </c>
      <c r="M109" s="12">
        <v>100000</v>
      </c>
      <c r="N109" s="12">
        <v>0</v>
      </c>
      <c r="O109" s="11">
        <v>500000</v>
      </c>
      <c r="P109" s="11">
        <f t="shared" si="15"/>
        <v>500000</v>
      </c>
      <c r="Q109" s="11">
        <v>55000</v>
      </c>
      <c r="R109" s="11"/>
      <c r="S109" s="11">
        <v>0</v>
      </c>
      <c r="T109" s="11">
        <f t="shared" ref="T109:T121" si="17">P109+Q109-S109</f>
        <v>555000</v>
      </c>
      <c r="U109" s="42">
        <v>5</v>
      </c>
    </row>
    <row r="110" spans="1:21" s="36" customFormat="1" ht="15.45" hidden="1" x14ac:dyDescent="0.35">
      <c r="A110" s="19" t="s">
        <v>108</v>
      </c>
      <c r="B110" s="9">
        <v>45827</v>
      </c>
      <c r="C110" s="14" t="s">
        <v>2349</v>
      </c>
      <c r="D110" s="10" t="s">
        <v>2350</v>
      </c>
      <c r="E110" s="9">
        <v>45824</v>
      </c>
      <c r="F110" s="10" t="s">
        <v>51</v>
      </c>
      <c r="G110" s="10" t="s">
        <v>2351</v>
      </c>
      <c r="H110" s="10" t="s">
        <v>24</v>
      </c>
      <c r="I110" s="10" t="s">
        <v>61</v>
      </c>
      <c r="J110" s="50" t="s">
        <v>2389</v>
      </c>
      <c r="K110" s="10" t="s">
        <v>6</v>
      </c>
      <c r="L110" s="12">
        <f t="shared" si="16"/>
        <v>20</v>
      </c>
      <c r="M110" s="12">
        <v>65000</v>
      </c>
      <c r="N110" s="12">
        <v>0</v>
      </c>
      <c r="O110" s="11">
        <v>1300000</v>
      </c>
      <c r="P110" s="11">
        <f t="shared" si="15"/>
        <v>1300000</v>
      </c>
      <c r="Q110" s="11">
        <v>143000</v>
      </c>
      <c r="R110" s="11"/>
      <c r="S110" s="11">
        <v>0</v>
      </c>
      <c r="T110" s="11">
        <f t="shared" si="17"/>
        <v>1443000</v>
      </c>
      <c r="U110" s="42">
        <v>20</v>
      </c>
    </row>
    <row r="111" spans="1:21" s="36" customFormat="1" ht="15.45" hidden="1" x14ac:dyDescent="0.35">
      <c r="A111" s="19" t="s">
        <v>1331</v>
      </c>
      <c r="B111" s="9">
        <v>45827</v>
      </c>
      <c r="C111" s="14" t="s">
        <v>2352</v>
      </c>
      <c r="D111" s="10" t="s">
        <v>2353</v>
      </c>
      <c r="E111" s="9">
        <v>45825</v>
      </c>
      <c r="F111" s="10" t="s">
        <v>1317</v>
      </c>
      <c r="G111" s="10" t="s">
        <v>1318</v>
      </c>
      <c r="H111" s="10" t="s">
        <v>23</v>
      </c>
      <c r="I111" s="10" t="s">
        <v>2192</v>
      </c>
      <c r="J111" s="50" t="s">
        <v>2457</v>
      </c>
      <c r="K111" s="10" t="s">
        <v>1</v>
      </c>
      <c r="L111" s="12">
        <f t="shared" si="16"/>
        <v>50</v>
      </c>
      <c r="M111" s="12">
        <v>113820</v>
      </c>
      <c r="N111" s="12">
        <v>16260</v>
      </c>
      <c r="O111" s="11">
        <v>5691000</v>
      </c>
      <c r="P111" s="11">
        <f t="shared" si="15"/>
        <v>5691000</v>
      </c>
      <c r="Q111" s="11">
        <v>626010</v>
      </c>
      <c r="R111" s="11"/>
      <c r="S111" s="11">
        <v>0</v>
      </c>
      <c r="T111" s="11">
        <f t="shared" si="17"/>
        <v>6317010</v>
      </c>
      <c r="U111" s="42">
        <v>50</v>
      </c>
    </row>
    <row r="112" spans="1:21" s="36" customFormat="1" ht="15.45" hidden="1" x14ac:dyDescent="0.35">
      <c r="A112" s="19" t="s">
        <v>102</v>
      </c>
      <c r="B112" s="9">
        <v>45826</v>
      </c>
      <c r="C112" s="14" t="s">
        <v>2354</v>
      </c>
      <c r="D112" s="10" t="s">
        <v>2138</v>
      </c>
      <c r="E112" s="9">
        <v>45803</v>
      </c>
      <c r="F112" s="10" t="s">
        <v>65</v>
      </c>
      <c r="G112" s="10" t="s">
        <v>48</v>
      </c>
      <c r="H112" s="10" t="s">
        <v>24</v>
      </c>
      <c r="I112" s="10" t="s">
        <v>61</v>
      </c>
      <c r="J112" s="10" t="s">
        <v>2651</v>
      </c>
      <c r="K112" s="10" t="s">
        <v>15</v>
      </c>
      <c r="L112" s="12">
        <f t="shared" si="16"/>
        <v>288</v>
      </c>
      <c r="M112" s="12">
        <v>8200</v>
      </c>
      <c r="N112" s="12">
        <v>0</v>
      </c>
      <c r="O112" s="11">
        <v>2361600</v>
      </c>
      <c r="P112" s="11">
        <f t="shared" si="15"/>
        <v>2361600</v>
      </c>
      <c r="Q112" s="11">
        <v>259776</v>
      </c>
      <c r="R112" s="11"/>
      <c r="S112" s="11">
        <v>0</v>
      </c>
      <c r="T112" s="11">
        <f t="shared" si="17"/>
        <v>2621376</v>
      </c>
      <c r="U112" s="42">
        <v>288</v>
      </c>
    </row>
    <row r="113" spans="1:21" s="36" customFormat="1" ht="15.45" hidden="1" x14ac:dyDescent="0.35">
      <c r="A113" s="19" t="s">
        <v>132</v>
      </c>
      <c r="B113" s="9">
        <v>45827</v>
      </c>
      <c r="C113" s="14" t="s">
        <v>2355</v>
      </c>
      <c r="D113" s="10" t="s">
        <v>2356</v>
      </c>
      <c r="E113" s="9">
        <v>45827</v>
      </c>
      <c r="F113" s="10" t="s">
        <v>129</v>
      </c>
      <c r="G113" s="10" t="s">
        <v>2357</v>
      </c>
      <c r="H113" s="10" t="s">
        <v>24</v>
      </c>
      <c r="I113" s="10" t="s">
        <v>61</v>
      </c>
      <c r="J113" s="10"/>
      <c r="K113" s="10" t="s">
        <v>839</v>
      </c>
      <c r="L113" s="12">
        <f t="shared" si="16"/>
        <v>5</v>
      </c>
      <c r="M113" s="12">
        <v>45000</v>
      </c>
      <c r="N113" s="12">
        <v>0</v>
      </c>
      <c r="O113" s="11">
        <v>225000</v>
      </c>
      <c r="P113" s="11">
        <f t="shared" si="15"/>
        <v>225000</v>
      </c>
      <c r="Q113" s="11">
        <v>0</v>
      </c>
      <c r="R113" s="11"/>
      <c r="S113" s="11">
        <v>0</v>
      </c>
      <c r="T113" s="11">
        <f t="shared" si="17"/>
        <v>225000</v>
      </c>
      <c r="U113" s="42">
        <v>5</v>
      </c>
    </row>
    <row r="114" spans="1:21" s="36" customFormat="1" ht="15.45" hidden="1" x14ac:dyDescent="0.35">
      <c r="A114" s="19" t="s">
        <v>132</v>
      </c>
      <c r="B114" s="9">
        <v>45827</v>
      </c>
      <c r="C114" s="14" t="s">
        <v>2355</v>
      </c>
      <c r="D114" s="10" t="s">
        <v>2356</v>
      </c>
      <c r="E114" s="9">
        <v>45827</v>
      </c>
      <c r="F114" s="10" t="s">
        <v>129</v>
      </c>
      <c r="G114" s="10" t="s">
        <v>1550</v>
      </c>
      <c r="H114" s="10" t="s">
        <v>24</v>
      </c>
      <c r="I114" s="10" t="s">
        <v>61</v>
      </c>
      <c r="J114" s="10"/>
      <c r="K114" s="10" t="s">
        <v>6</v>
      </c>
      <c r="L114" s="12">
        <f t="shared" si="16"/>
        <v>2</v>
      </c>
      <c r="M114" s="12">
        <v>35000</v>
      </c>
      <c r="N114" s="12">
        <v>0</v>
      </c>
      <c r="O114" s="11">
        <v>70000</v>
      </c>
      <c r="P114" s="11">
        <f t="shared" si="15"/>
        <v>70000</v>
      </c>
      <c r="Q114" s="11">
        <v>0</v>
      </c>
      <c r="R114" s="11"/>
      <c r="S114" s="11">
        <v>0</v>
      </c>
      <c r="T114" s="11">
        <f t="shared" si="17"/>
        <v>70000</v>
      </c>
      <c r="U114" s="42">
        <v>2</v>
      </c>
    </row>
    <row r="115" spans="1:21" s="36" customFormat="1" ht="15.45" hidden="1" x14ac:dyDescent="0.35">
      <c r="A115" s="19" t="s">
        <v>132</v>
      </c>
      <c r="B115" s="9">
        <v>45827</v>
      </c>
      <c r="C115" s="14" t="s">
        <v>2355</v>
      </c>
      <c r="D115" s="10" t="s">
        <v>2356</v>
      </c>
      <c r="E115" s="9">
        <v>45827</v>
      </c>
      <c r="F115" s="10" t="s">
        <v>129</v>
      </c>
      <c r="G115" s="10" t="s">
        <v>741</v>
      </c>
      <c r="H115" s="10" t="s">
        <v>24</v>
      </c>
      <c r="I115" s="10" t="s">
        <v>61</v>
      </c>
      <c r="J115" s="10"/>
      <c r="K115" s="10" t="s">
        <v>10</v>
      </c>
      <c r="L115" s="12">
        <f t="shared" si="16"/>
        <v>5</v>
      </c>
      <c r="M115" s="12">
        <v>22000</v>
      </c>
      <c r="N115" s="12">
        <v>0</v>
      </c>
      <c r="O115" s="11">
        <v>110000</v>
      </c>
      <c r="P115" s="11">
        <f t="shared" si="15"/>
        <v>110000</v>
      </c>
      <c r="Q115" s="11">
        <v>0</v>
      </c>
      <c r="R115" s="11"/>
      <c r="S115" s="11">
        <v>0</v>
      </c>
      <c r="T115" s="11">
        <f t="shared" si="17"/>
        <v>110000</v>
      </c>
      <c r="U115" s="42">
        <v>5</v>
      </c>
    </row>
    <row r="116" spans="1:21" s="36" customFormat="1" ht="15.45" hidden="1" x14ac:dyDescent="0.35">
      <c r="A116" s="19" t="s">
        <v>113</v>
      </c>
      <c r="B116" s="9">
        <v>45827</v>
      </c>
      <c r="C116" s="14" t="s">
        <v>2358</v>
      </c>
      <c r="D116" s="10" t="s">
        <v>2359</v>
      </c>
      <c r="E116" s="9">
        <v>45827</v>
      </c>
      <c r="F116" s="10" t="s">
        <v>42</v>
      </c>
      <c r="G116" s="10" t="s">
        <v>2360</v>
      </c>
      <c r="H116" s="10" t="s">
        <v>24</v>
      </c>
      <c r="I116" s="10" t="s">
        <v>61</v>
      </c>
      <c r="J116" s="10"/>
      <c r="K116" s="10" t="s">
        <v>6</v>
      </c>
      <c r="L116" s="12">
        <f t="shared" si="16"/>
        <v>2</v>
      </c>
      <c r="M116" s="12">
        <v>160000</v>
      </c>
      <c r="N116" s="12">
        <v>0</v>
      </c>
      <c r="O116" s="11">
        <v>320000</v>
      </c>
      <c r="P116" s="11">
        <f t="shared" si="15"/>
        <v>320000</v>
      </c>
      <c r="Q116" s="11">
        <v>0</v>
      </c>
      <c r="R116" s="11"/>
      <c r="S116" s="11">
        <v>0</v>
      </c>
      <c r="T116" s="11">
        <f t="shared" si="17"/>
        <v>320000</v>
      </c>
      <c r="U116" s="42">
        <v>2</v>
      </c>
    </row>
    <row r="117" spans="1:21" s="36" customFormat="1" ht="15.45" hidden="1" x14ac:dyDescent="0.35">
      <c r="A117" s="19" t="s">
        <v>116</v>
      </c>
      <c r="B117" s="9">
        <v>45827</v>
      </c>
      <c r="C117" s="14" t="s">
        <v>2361</v>
      </c>
      <c r="D117" s="10" t="s">
        <v>2362</v>
      </c>
      <c r="E117" s="9">
        <v>45827</v>
      </c>
      <c r="F117" s="10" t="s">
        <v>40</v>
      </c>
      <c r="G117" s="10" t="s">
        <v>559</v>
      </c>
      <c r="H117" s="10" t="s">
        <v>24</v>
      </c>
      <c r="I117" s="10" t="s">
        <v>61</v>
      </c>
      <c r="J117" s="10"/>
      <c r="K117" s="10" t="s">
        <v>6</v>
      </c>
      <c r="L117" s="12">
        <f t="shared" si="16"/>
        <v>4</v>
      </c>
      <c r="M117" s="12">
        <v>430000</v>
      </c>
      <c r="N117" s="12">
        <v>0</v>
      </c>
      <c r="O117" s="11">
        <v>1720000</v>
      </c>
      <c r="P117" s="11">
        <f t="shared" si="15"/>
        <v>1720000</v>
      </c>
      <c r="Q117" s="11">
        <v>0</v>
      </c>
      <c r="R117" s="11"/>
      <c r="S117" s="11">
        <v>0</v>
      </c>
      <c r="T117" s="11">
        <f t="shared" si="17"/>
        <v>1720000</v>
      </c>
      <c r="U117" s="42">
        <v>4</v>
      </c>
    </row>
    <row r="118" spans="1:21" s="36" customFormat="1" ht="15.45" hidden="1" x14ac:dyDescent="0.35">
      <c r="A118" s="19" t="s">
        <v>184</v>
      </c>
      <c r="B118" s="9">
        <v>45827</v>
      </c>
      <c r="C118" s="14" t="s">
        <v>2363</v>
      </c>
      <c r="D118" s="10" t="s">
        <v>2364</v>
      </c>
      <c r="E118" s="9">
        <v>45825</v>
      </c>
      <c r="F118" s="10" t="s">
        <v>183</v>
      </c>
      <c r="G118" s="10" t="s">
        <v>213</v>
      </c>
      <c r="H118" s="10" t="s">
        <v>23</v>
      </c>
      <c r="I118" s="10" t="s">
        <v>890</v>
      </c>
      <c r="J118" s="50" t="s">
        <v>2473</v>
      </c>
      <c r="K118" s="10" t="s">
        <v>1</v>
      </c>
      <c r="L118" s="12">
        <f t="shared" si="16"/>
        <v>120</v>
      </c>
      <c r="M118" s="12">
        <v>55284</v>
      </c>
      <c r="N118" s="12">
        <v>16260</v>
      </c>
      <c r="O118" s="11">
        <v>6634080</v>
      </c>
      <c r="P118" s="11">
        <f t="shared" si="15"/>
        <v>6634080</v>
      </c>
      <c r="Q118" s="11">
        <v>729748.8</v>
      </c>
      <c r="R118" s="11"/>
      <c r="S118" s="11">
        <v>0</v>
      </c>
      <c r="T118" s="11">
        <f t="shared" si="17"/>
        <v>7363828.7999999998</v>
      </c>
      <c r="U118" s="42">
        <v>120</v>
      </c>
    </row>
    <row r="119" spans="1:21" s="36" customFormat="1" ht="15.45" hidden="1" x14ac:dyDescent="0.35">
      <c r="A119" s="19" t="s">
        <v>108</v>
      </c>
      <c r="B119" s="9">
        <v>45827</v>
      </c>
      <c r="C119" s="14" t="s">
        <v>2365</v>
      </c>
      <c r="D119" s="10" t="s">
        <v>2366</v>
      </c>
      <c r="E119" s="9">
        <v>45826</v>
      </c>
      <c r="F119" s="10" t="s">
        <v>51</v>
      </c>
      <c r="G119" s="10" t="s">
        <v>1229</v>
      </c>
      <c r="H119" s="10" t="s">
        <v>24</v>
      </c>
      <c r="I119" s="10" t="s">
        <v>61</v>
      </c>
      <c r="J119" s="50" t="s">
        <v>2390</v>
      </c>
      <c r="K119" s="10" t="s">
        <v>6</v>
      </c>
      <c r="L119" s="12">
        <f t="shared" si="16"/>
        <v>20</v>
      </c>
      <c r="M119" s="12">
        <v>55000</v>
      </c>
      <c r="N119" s="12">
        <v>0</v>
      </c>
      <c r="O119" s="11">
        <v>1100000</v>
      </c>
      <c r="P119" s="11">
        <f t="shared" si="15"/>
        <v>1100000</v>
      </c>
      <c r="Q119" s="11">
        <v>121000</v>
      </c>
      <c r="R119" s="11"/>
      <c r="S119" s="11">
        <v>0</v>
      </c>
      <c r="T119" s="11">
        <f t="shared" si="17"/>
        <v>1221000</v>
      </c>
      <c r="U119" s="42">
        <v>20</v>
      </c>
    </row>
    <row r="120" spans="1:21" s="36" customFormat="1" ht="15.45" hidden="1" x14ac:dyDescent="0.35">
      <c r="A120" s="19" t="s">
        <v>108</v>
      </c>
      <c r="B120" s="9">
        <v>45827</v>
      </c>
      <c r="C120" s="14" t="s">
        <v>2365</v>
      </c>
      <c r="D120" s="10" t="s">
        <v>2366</v>
      </c>
      <c r="E120" s="9">
        <v>45826</v>
      </c>
      <c r="F120" s="10" t="s">
        <v>51</v>
      </c>
      <c r="G120" s="10" t="s">
        <v>1401</v>
      </c>
      <c r="H120" s="10" t="s">
        <v>24</v>
      </c>
      <c r="I120" s="10" t="s">
        <v>61</v>
      </c>
      <c r="J120" s="50" t="s">
        <v>2390</v>
      </c>
      <c r="K120" s="10" t="s">
        <v>10</v>
      </c>
      <c r="L120" s="12">
        <f t="shared" si="16"/>
        <v>5</v>
      </c>
      <c r="M120" s="12">
        <v>32000</v>
      </c>
      <c r="N120" s="12">
        <v>0</v>
      </c>
      <c r="O120" s="11">
        <v>160000</v>
      </c>
      <c r="P120" s="11">
        <f t="shared" si="15"/>
        <v>160000</v>
      </c>
      <c r="Q120" s="11">
        <v>17600</v>
      </c>
      <c r="R120" s="11"/>
      <c r="S120" s="11">
        <v>0</v>
      </c>
      <c r="T120" s="11">
        <f t="shared" si="17"/>
        <v>177600</v>
      </c>
      <c r="U120" s="42">
        <v>5</v>
      </c>
    </row>
    <row r="121" spans="1:21" s="36" customFormat="1" ht="15.45" hidden="1" x14ac:dyDescent="0.35">
      <c r="A121" s="19" t="s">
        <v>148</v>
      </c>
      <c r="B121" s="9">
        <v>45828</v>
      </c>
      <c r="C121" s="14" t="s">
        <v>2367</v>
      </c>
      <c r="D121" s="10" t="s">
        <v>2149</v>
      </c>
      <c r="E121" s="9">
        <v>45812</v>
      </c>
      <c r="F121" s="10" t="s">
        <v>141</v>
      </c>
      <c r="G121" s="10" t="s">
        <v>142</v>
      </c>
      <c r="H121" s="10" t="s">
        <v>23</v>
      </c>
      <c r="I121" s="10" t="s">
        <v>887</v>
      </c>
      <c r="J121" s="50" t="s">
        <v>2478</v>
      </c>
      <c r="K121" s="10" t="s">
        <v>1</v>
      </c>
      <c r="L121" s="12">
        <f t="shared" si="16"/>
        <v>250</v>
      </c>
      <c r="M121" s="12">
        <v>14750</v>
      </c>
      <c r="N121" s="12">
        <v>0</v>
      </c>
      <c r="O121" s="11">
        <v>3687500</v>
      </c>
      <c r="P121" s="11">
        <f t="shared" si="15"/>
        <v>3687500</v>
      </c>
      <c r="Q121" s="11">
        <v>405625</v>
      </c>
      <c r="R121" s="11"/>
      <c r="S121" s="11">
        <v>0</v>
      </c>
      <c r="T121" s="11">
        <f t="shared" si="17"/>
        <v>4093125</v>
      </c>
      <c r="U121" s="42">
        <v>250</v>
      </c>
    </row>
    <row r="122" spans="1:21" s="36" customFormat="1" ht="15.45" hidden="1" x14ac:dyDescent="0.35">
      <c r="A122" s="19" t="s">
        <v>98</v>
      </c>
      <c r="B122" s="9">
        <v>45828</v>
      </c>
      <c r="C122" s="14" t="s">
        <v>2368</v>
      </c>
      <c r="D122" s="10" t="s">
        <v>2059</v>
      </c>
      <c r="E122" s="9">
        <v>45808</v>
      </c>
      <c r="F122" s="10" t="s">
        <v>84</v>
      </c>
      <c r="G122" s="10" t="s">
        <v>175</v>
      </c>
      <c r="H122" s="10" t="s">
        <v>25</v>
      </c>
      <c r="I122" s="10" t="s">
        <v>79</v>
      </c>
      <c r="J122" s="50" t="s">
        <v>2461</v>
      </c>
      <c r="K122" s="10" t="s">
        <v>1</v>
      </c>
      <c r="L122" s="12">
        <f t="shared" si="16"/>
        <v>31540</v>
      </c>
      <c r="M122" s="12">
        <v>1250</v>
      </c>
      <c r="N122" s="12">
        <v>0</v>
      </c>
      <c r="O122" s="11">
        <v>39425000</v>
      </c>
      <c r="P122" s="11">
        <f t="shared" si="15"/>
        <v>39425000</v>
      </c>
      <c r="Q122" s="11">
        <v>4336750</v>
      </c>
      <c r="R122" s="11">
        <f>P122*1.5%</f>
        <v>591375</v>
      </c>
      <c r="S122" s="11">
        <v>0</v>
      </c>
      <c r="T122" s="11">
        <f>P122+Q122-S122-R122</f>
        <v>43170375</v>
      </c>
      <c r="U122" s="42">
        <v>31540</v>
      </c>
    </row>
    <row r="123" spans="1:21" s="36" customFormat="1" ht="15.45" x14ac:dyDescent="0.35">
      <c r="A123" s="19" t="s">
        <v>160</v>
      </c>
      <c r="B123" s="9">
        <v>45829</v>
      </c>
      <c r="C123" s="14" t="s">
        <v>2369</v>
      </c>
      <c r="D123" s="10" t="s">
        <v>2370</v>
      </c>
      <c r="E123" s="9">
        <v>45825</v>
      </c>
      <c r="F123" s="10" t="s">
        <v>153</v>
      </c>
      <c r="G123" s="10" t="s">
        <v>154</v>
      </c>
      <c r="H123" s="10" t="s">
        <v>24</v>
      </c>
      <c r="I123" s="10" t="s">
        <v>61</v>
      </c>
      <c r="J123" s="50" t="s">
        <v>2380</v>
      </c>
      <c r="K123" s="10" t="s">
        <v>4</v>
      </c>
      <c r="L123" s="12">
        <f t="shared" si="16"/>
        <v>40</v>
      </c>
      <c r="M123" s="12">
        <v>337500</v>
      </c>
      <c r="N123" s="12">
        <v>0</v>
      </c>
      <c r="O123" s="11">
        <v>13500000</v>
      </c>
      <c r="P123" s="11">
        <f t="shared" si="15"/>
        <v>13500000</v>
      </c>
      <c r="Q123" s="11">
        <v>1485000</v>
      </c>
      <c r="R123" s="11">
        <f>P123*0.3%</f>
        <v>40500</v>
      </c>
      <c r="S123" s="11">
        <v>0</v>
      </c>
      <c r="T123" s="11">
        <f>P123+Q123-S123+R123</f>
        <v>15025500</v>
      </c>
      <c r="U123" s="42">
        <v>40</v>
      </c>
    </row>
    <row r="124" spans="1:21" s="36" customFormat="1" ht="15.45" hidden="1" x14ac:dyDescent="0.35">
      <c r="A124" s="19" t="s">
        <v>96</v>
      </c>
      <c r="B124" s="9">
        <v>45831</v>
      </c>
      <c r="C124" s="14" t="s">
        <v>2371</v>
      </c>
      <c r="D124" s="10" t="s">
        <v>2372</v>
      </c>
      <c r="E124" s="9">
        <v>45831</v>
      </c>
      <c r="F124" s="10" t="s">
        <v>39</v>
      </c>
      <c r="G124" s="10" t="s">
        <v>2373</v>
      </c>
      <c r="H124" s="10" t="s">
        <v>24</v>
      </c>
      <c r="I124" s="10" t="s">
        <v>61</v>
      </c>
      <c r="J124" s="10"/>
      <c r="K124" s="10" t="s">
        <v>6</v>
      </c>
      <c r="L124" s="12">
        <f t="shared" si="16"/>
        <v>1</v>
      </c>
      <c r="M124" s="12">
        <v>17500000</v>
      </c>
      <c r="N124" s="12">
        <v>0</v>
      </c>
      <c r="O124" s="11">
        <v>17500000</v>
      </c>
      <c r="P124" s="11">
        <f t="shared" si="15"/>
        <v>17500000</v>
      </c>
      <c r="Q124" s="11">
        <v>0</v>
      </c>
      <c r="R124" s="11"/>
      <c r="S124" s="11">
        <v>0</v>
      </c>
      <c r="T124" s="11">
        <f>P124+Q124-S124</f>
        <v>17500000</v>
      </c>
      <c r="U124" s="42">
        <v>1</v>
      </c>
    </row>
    <row r="125" spans="1:21" s="36" customFormat="1" ht="15.45" hidden="1" x14ac:dyDescent="0.35">
      <c r="A125" s="19" t="s">
        <v>103</v>
      </c>
      <c r="B125" s="9">
        <v>45831</v>
      </c>
      <c r="C125" s="14" t="s">
        <v>2374</v>
      </c>
      <c r="D125" s="10" t="s">
        <v>2375</v>
      </c>
      <c r="E125" s="9">
        <v>45826</v>
      </c>
      <c r="F125" s="10" t="s">
        <v>70</v>
      </c>
      <c r="G125" s="10" t="s">
        <v>46</v>
      </c>
      <c r="H125" s="10" t="s">
        <v>23</v>
      </c>
      <c r="I125" s="10" t="s">
        <v>889</v>
      </c>
      <c r="J125" s="50" t="s">
        <v>2391</v>
      </c>
      <c r="K125" s="10" t="s">
        <v>1</v>
      </c>
      <c r="L125" s="12">
        <f t="shared" si="16"/>
        <v>240</v>
      </c>
      <c r="M125" s="12">
        <v>24000</v>
      </c>
      <c r="N125" s="12">
        <v>0</v>
      </c>
      <c r="O125" s="11">
        <v>5760000</v>
      </c>
      <c r="P125" s="11">
        <f t="shared" si="15"/>
        <v>5760000</v>
      </c>
      <c r="Q125" s="11">
        <v>633600</v>
      </c>
      <c r="R125" s="11"/>
      <c r="S125" s="11">
        <v>0</v>
      </c>
      <c r="T125" s="11">
        <f>P125+Q125-S125</f>
        <v>6393600</v>
      </c>
      <c r="U125" s="42">
        <v>240</v>
      </c>
    </row>
    <row r="126" spans="1:21" s="36" customFormat="1" ht="15.45" hidden="1" x14ac:dyDescent="0.35">
      <c r="A126" s="19" t="s">
        <v>103</v>
      </c>
      <c r="B126" s="9">
        <v>45831</v>
      </c>
      <c r="C126" s="14" t="s">
        <v>2374</v>
      </c>
      <c r="D126" s="10" t="s">
        <v>2375</v>
      </c>
      <c r="E126" s="9">
        <v>45826</v>
      </c>
      <c r="F126" s="10" t="s">
        <v>70</v>
      </c>
      <c r="G126" s="10" t="s">
        <v>47</v>
      </c>
      <c r="H126" s="10" t="s">
        <v>23</v>
      </c>
      <c r="I126" s="10" t="s">
        <v>889</v>
      </c>
      <c r="J126" s="50" t="s">
        <v>2391</v>
      </c>
      <c r="K126" s="10" t="s">
        <v>1</v>
      </c>
      <c r="L126" s="12">
        <f t="shared" si="16"/>
        <v>240</v>
      </c>
      <c r="M126" s="12">
        <v>23000</v>
      </c>
      <c r="N126" s="12">
        <v>0</v>
      </c>
      <c r="O126" s="11">
        <v>5520000</v>
      </c>
      <c r="P126" s="11">
        <f t="shared" si="15"/>
        <v>5520000</v>
      </c>
      <c r="Q126" s="11">
        <v>607200</v>
      </c>
      <c r="R126" s="11"/>
      <c r="S126" s="11">
        <v>0</v>
      </c>
      <c r="T126" s="11">
        <f>P126+Q126-S126</f>
        <v>6127200</v>
      </c>
      <c r="U126" s="42">
        <v>240</v>
      </c>
    </row>
    <row r="127" spans="1:21" s="36" customFormat="1" ht="15.45" hidden="1" x14ac:dyDescent="0.35">
      <c r="A127" s="19" t="s">
        <v>109</v>
      </c>
      <c r="B127" s="9">
        <v>45831</v>
      </c>
      <c r="C127" s="14" t="s">
        <v>2376</v>
      </c>
      <c r="D127" s="10" t="s">
        <v>2084</v>
      </c>
      <c r="E127" s="9">
        <v>45803</v>
      </c>
      <c r="F127" s="10" t="s">
        <v>54</v>
      </c>
      <c r="G127" s="10" t="s">
        <v>49</v>
      </c>
      <c r="H127" s="10" t="s">
        <v>24</v>
      </c>
      <c r="I127" s="10" t="s">
        <v>61</v>
      </c>
      <c r="J127" s="50" t="s">
        <v>2379</v>
      </c>
      <c r="K127" s="10" t="s">
        <v>15</v>
      </c>
      <c r="L127" s="12">
        <f t="shared" si="16"/>
        <v>144</v>
      </c>
      <c r="M127" s="12">
        <v>6454</v>
      </c>
      <c r="N127" s="12">
        <v>0</v>
      </c>
      <c r="O127" s="11">
        <v>929376</v>
      </c>
      <c r="P127" s="11">
        <f t="shared" si="15"/>
        <v>929376</v>
      </c>
      <c r="Q127" s="11">
        <v>102231.36</v>
      </c>
      <c r="R127" s="11"/>
      <c r="S127" s="11">
        <v>0</v>
      </c>
      <c r="T127" s="11">
        <f>P127+Q127-S127</f>
        <v>1031607.36</v>
      </c>
      <c r="U127" s="42">
        <v>144</v>
      </c>
    </row>
    <row r="128" spans="1:21" s="36" customFormat="1" ht="15.45" hidden="1" x14ac:dyDescent="0.35">
      <c r="A128" s="19" t="s">
        <v>166</v>
      </c>
      <c r="B128" s="9">
        <v>45831</v>
      </c>
      <c r="C128" s="14" t="s">
        <v>2382</v>
      </c>
      <c r="D128" s="10"/>
      <c r="E128" s="9"/>
      <c r="F128" s="23" t="s">
        <v>210</v>
      </c>
      <c r="G128" s="23" t="s">
        <v>168</v>
      </c>
      <c r="H128" s="23" t="s">
        <v>169</v>
      </c>
      <c r="I128" s="23" t="s">
        <v>192</v>
      </c>
      <c r="J128" s="50" t="s">
        <v>2579</v>
      </c>
      <c r="K128" s="10" t="s">
        <v>0</v>
      </c>
      <c r="L128" s="12">
        <v>6230</v>
      </c>
      <c r="M128" s="12">
        <v>225.23</v>
      </c>
      <c r="N128" s="12">
        <v>0</v>
      </c>
      <c r="O128" s="11">
        <f>L128*M128</f>
        <v>1403182.9</v>
      </c>
      <c r="P128" s="11">
        <f t="shared" si="15"/>
        <v>1403182.9</v>
      </c>
      <c r="Q128" s="11">
        <f>P128*0.11</f>
        <v>154350.11899999998</v>
      </c>
      <c r="R128" s="11">
        <f>P128*2%</f>
        <v>28063.657999999999</v>
      </c>
      <c r="S128" s="11">
        <v>0</v>
      </c>
      <c r="T128" s="11">
        <f>P128+Q128-S128-R128</f>
        <v>1529469.3609999998</v>
      </c>
      <c r="U128" s="42"/>
    </row>
    <row r="129" spans="1:21" s="36" customFormat="1" ht="15.45" hidden="1" x14ac:dyDescent="0.35">
      <c r="A129" s="19" t="s">
        <v>166</v>
      </c>
      <c r="B129" s="9">
        <v>45832</v>
      </c>
      <c r="C129" s="14" t="s">
        <v>2383</v>
      </c>
      <c r="D129" s="10"/>
      <c r="E129" s="9"/>
      <c r="F129" s="23" t="s">
        <v>210</v>
      </c>
      <c r="G129" s="23" t="s">
        <v>168</v>
      </c>
      <c r="H129" s="23" t="s">
        <v>169</v>
      </c>
      <c r="I129" s="23" t="s">
        <v>192</v>
      </c>
      <c r="J129" s="50" t="s">
        <v>2580</v>
      </c>
      <c r="K129" s="10" t="s">
        <v>0</v>
      </c>
      <c r="L129" s="12">
        <v>6590</v>
      </c>
      <c r="M129" s="12">
        <v>225.23</v>
      </c>
      <c r="N129" s="12">
        <v>0</v>
      </c>
      <c r="O129" s="11">
        <f>L129*M129</f>
        <v>1484265.7</v>
      </c>
      <c r="P129" s="11">
        <f t="shared" si="15"/>
        <v>1484265.7</v>
      </c>
      <c r="Q129" s="11">
        <f>P129*0.11</f>
        <v>163269.22699999998</v>
      </c>
      <c r="R129" s="11">
        <f>P129*2%</f>
        <v>29685.313999999998</v>
      </c>
      <c r="S129" s="11">
        <v>0</v>
      </c>
      <c r="T129" s="11">
        <f>P129+Q129-S129-R129</f>
        <v>1617849.6129999999</v>
      </c>
      <c r="U129" s="42"/>
    </row>
    <row r="130" spans="1:21" s="36" customFormat="1" ht="15.45" hidden="1" x14ac:dyDescent="0.35">
      <c r="A130" s="19" t="s">
        <v>166</v>
      </c>
      <c r="B130" s="9">
        <v>45833</v>
      </c>
      <c r="C130" s="14" t="s">
        <v>2394</v>
      </c>
      <c r="D130" s="10"/>
      <c r="E130" s="9"/>
      <c r="F130" s="23" t="s">
        <v>210</v>
      </c>
      <c r="G130" s="23" t="s">
        <v>168</v>
      </c>
      <c r="H130" s="23" t="s">
        <v>169</v>
      </c>
      <c r="I130" s="23" t="s">
        <v>192</v>
      </c>
      <c r="J130" s="50" t="s">
        <v>2581</v>
      </c>
      <c r="K130" s="10" t="s">
        <v>0</v>
      </c>
      <c r="L130" s="12">
        <v>6790</v>
      </c>
      <c r="M130" s="12">
        <v>225.23</v>
      </c>
      <c r="N130" s="12">
        <v>0</v>
      </c>
      <c r="O130" s="11">
        <f>L130*M130</f>
        <v>1529311.7</v>
      </c>
      <c r="P130" s="11">
        <f t="shared" si="15"/>
        <v>1529311.7</v>
      </c>
      <c r="Q130" s="11">
        <f>P130*0.11</f>
        <v>168224.28699999998</v>
      </c>
      <c r="R130" s="11">
        <f>P130*2%</f>
        <v>30586.234</v>
      </c>
      <c r="S130" s="11">
        <v>0</v>
      </c>
      <c r="T130" s="11">
        <f>P130+Q130-S130-R130</f>
        <v>1666949.753</v>
      </c>
      <c r="U130" s="42"/>
    </row>
    <row r="131" spans="1:21" s="36" customFormat="1" ht="15.45" hidden="1" x14ac:dyDescent="0.35">
      <c r="A131" s="19" t="s">
        <v>2190</v>
      </c>
      <c r="B131" s="9">
        <v>45831</v>
      </c>
      <c r="C131" s="14" t="s">
        <v>2395</v>
      </c>
      <c r="D131" s="10" t="s">
        <v>2127</v>
      </c>
      <c r="E131" s="9">
        <v>45808</v>
      </c>
      <c r="F131" s="10" t="s">
        <v>2128</v>
      </c>
      <c r="G131" s="10" t="s">
        <v>53</v>
      </c>
      <c r="H131" s="10" t="s">
        <v>23</v>
      </c>
      <c r="I131" s="10" t="s">
        <v>978</v>
      </c>
      <c r="J131" s="50" t="s">
        <v>2472</v>
      </c>
      <c r="K131" s="10" t="s">
        <v>1</v>
      </c>
      <c r="L131" s="12">
        <f t="shared" ref="L131:L147" si="18">IF(LEFT(C131,2)="RP",U131*-1,U131)</f>
        <v>1000</v>
      </c>
      <c r="M131" s="12">
        <v>11200</v>
      </c>
      <c r="N131" s="12">
        <v>0</v>
      </c>
      <c r="O131" s="11">
        <v>11200000</v>
      </c>
      <c r="P131" s="11">
        <f t="shared" si="15"/>
        <v>11200000</v>
      </c>
      <c r="Q131" s="11">
        <v>1232000</v>
      </c>
      <c r="R131" s="11"/>
      <c r="S131" s="11">
        <v>0</v>
      </c>
      <c r="T131" s="11">
        <f t="shared" ref="T131:T140" si="19">P131+Q131-S131</f>
        <v>12432000</v>
      </c>
      <c r="U131" s="42">
        <v>1000</v>
      </c>
    </row>
    <row r="132" spans="1:21" s="36" customFormat="1" ht="15.45" hidden="1" x14ac:dyDescent="0.35">
      <c r="A132" s="19" t="s">
        <v>105</v>
      </c>
      <c r="B132" s="9">
        <v>45831</v>
      </c>
      <c r="C132" s="14" t="s">
        <v>2396</v>
      </c>
      <c r="D132" s="10" t="s">
        <v>2054</v>
      </c>
      <c r="E132" s="9">
        <v>45793</v>
      </c>
      <c r="F132" s="10" t="s">
        <v>85</v>
      </c>
      <c r="G132" s="10" t="s">
        <v>91</v>
      </c>
      <c r="H132" s="10" t="s">
        <v>23</v>
      </c>
      <c r="I132" s="10" t="s">
        <v>886</v>
      </c>
      <c r="J132" s="10" t="s">
        <v>2594</v>
      </c>
      <c r="K132" s="10" t="s">
        <v>1</v>
      </c>
      <c r="L132" s="12">
        <f t="shared" si="18"/>
        <v>400</v>
      </c>
      <c r="M132" s="12">
        <v>77089.399999999994</v>
      </c>
      <c r="N132" s="12">
        <v>16402</v>
      </c>
      <c r="O132" s="11">
        <v>30835760</v>
      </c>
      <c r="P132" s="11">
        <f t="shared" si="15"/>
        <v>30835760</v>
      </c>
      <c r="Q132" s="11">
        <v>3391933.6</v>
      </c>
      <c r="R132" s="11"/>
      <c r="S132" s="11">
        <v>0</v>
      </c>
      <c r="T132" s="11">
        <f t="shared" si="19"/>
        <v>34227693.600000001</v>
      </c>
      <c r="U132" s="42">
        <v>400</v>
      </c>
    </row>
    <row r="133" spans="1:21" s="36" customFormat="1" ht="15.45" hidden="1" x14ac:dyDescent="0.35">
      <c r="A133" s="19" t="s">
        <v>105</v>
      </c>
      <c r="B133" s="9">
        <v>45831</v>
      </c>
      <c r="C133" s="14" t="s">
        <v>2397</v>
      </c>
      <c r="D133" s="10" t="s">
        <v>2327</v>
      </c>
      <c r="E133" s="9">
        <v>45825</v>
      </c>
      <c r="F133" s="10" t="s">
        <v>85</v>
      </c>
      <c r="G133" s="10" t="s">
        <v>660</v>
      </c>
      <c r="H133" s="10" t="s">
        <v>23</v>
      </c>
      <c r="I133" s="10" t="s">
        <v>890</v>
      </c>
      <c r="J133" s="50" t="s">
        <v>2595</v>
      </c>
      <c r="K133" s="10" t="s">
        <v>1</v>
      </c>
      <c r="L133" s="12">
        <f t="shared" si="18"/>
        <v>1980</v>
      </c>
      <c r="M133" s="12">
        <v>23577</v>
      </c>
      <c r="N133" s="12">
        <v>16260</v>
      </c>
      <c r="O133" s="11">
        <v>46682460</v>
      </c>
      <c r="P133" s="11">
        <f t="shared" si="15"/>
        <v>46682460</v>
      </c>
      <c r="Q133" s="11">
        <v>5135070.5999999996</v>
      </c>
      <c r="R133" s="11"/>
      <c r="S133" s="11">
        <v>0</v>
      </c>
      <c r="T133" s="11">
        <f t="shared" si="19"/>
        <v>51817530.600000001</v>
      </c>
      <c r="U133" s="42">
        <v>1980</v>
      </c>
    </row>
    <row r="134" spans="1:21" s="36" customFormat="1" ht="15.45" hidden="1" x14ac:dyDescent="0.35">
      <c r="A134" s="19" t="s">
        <v>593</v>
      </c>
      <c r="B134" s="9">
        <v>45831</v>
      </c>
      <c r="C134" s="14" t="s">
        <v>2398</v>
      </c>
      <c r="D134" s="10" t="s">
        <v>2399</v>
      </c>
      <c r="E134" s="9">
        <v>45826</v>
      </c>
      <c r="F134" s="10" t="s">
        <v>566</v>
      </c>
      <c r="G134" s="10" t="s">
        <v>567</v>
      </c>
      <c r="H134" s="10" t="s">
        <v>23</v>
      </c>
      <c r="I134" s="10" t="s">
        <v>885</v>
      </c>
      <c r="J134" s="50" t="s">
        <v>2566</v>
      </c>
      <c r="K134" s="10" t="s">
        <v>1</v>
      </c>
      <c r="L134" s="12">
        <f t="shared" si="18"/>
        <v>60</v>
      </c>
      <c r="M134" s="12">
        <v>68523</v>
      </c>
      <c r="N134" s="12">
        <v>16315</v>
      </c>
      <c r="O134" s="11">
        <v>4111380</v>
      </c>
      <c r="P134" s="11">
        <f t="shared" si="15"/>
        <v>4111380</v>
      </c>
      <c r="Q134" s="11">
        <v>452251.8</v>
      </c>
      <c r="R134" s="11"/>
      <c r="S134" s="11">
        <v>0</v>
      </c>
      <c r="T134" s="11">
        <f t="shared" si="19"/>
        <v>4563631.8</v>
      </c>
      <c r="U134" s="42">
        <v>60</v>
      </c>
    </row>
    <row r="135" spans="1:21" s="36" customFormat="1" ht="15.45" hidden="1" x14ac:dyDescent="0.35">
      <c r="A135" s="19" t="s">
        <v>209</v>
      </c>
      <c r="B135" s="9">
        <v>45831</v>
      </c>
      <c r="C135" s="14" t="s">
        <v>2400</v>
      </c>
      <c r="D135" s="10" t="s">
        <v>2401</v>
      </c>
      <c r="E135" s="9">
        <v>45829</v>
      </c>
      <c r="F135" s="10" t="s">
        <v>208</v>
      </c>
      <c r="G135" s="10" t="s">
        <v>2402</v>
      </c>
      <c r="H135" s="10" t="s">
        <v>24</v>
      </c>
      <c r="I135" s="10" t="s">
        <v>61</v>
      </c>
      <c r="J135" s="10"/>
      <c r="K135" s="10" t="s">
        <v>839</v>
      </c>
      <c r="L135" s="12">
        <f t="shared" si="18"/>
        <v>45</v>
      </c>
      <c r="M135" s="12">
        <v>233334</v>
      </c>
      <c r="N135" s="12">
        <v>0</v>
      </c>
      <c r="O135" s="11">
        <v>10500030</v>
      </c>
      <c r="P135" s="11">
        <f t="shared" si="15"/>
        <v>10500030</v>
      </c>
      <c r="Q135" s="11">
        <v>0</v>
      </c>
      <c r="R135" s="11"/>
      <c r="S135" s="11">
        <v>0</v>
      </c>
      <c r="T135" s="11">
        <f t="shared" si="19"/>
        <v>10500030</v>
      </c>
      <c r="U135" s="42">
        <v>45</v>
      </c>
    </row>
    <row r="136" spans="1:21" s="36" customFormat="1" ht="15.45" hidden="1" x14ac:dyDescent="0.35">
      <c r="A136" s="19" t="s">
        <v>100</v>
      </c>
      <c r="B136" s="9">
        <v>45831</v>
      </c>
      <c r="C136" s="14" t="s">
        <v>2403</v>
      </c>
      <c r="D136" s="10" t="s">
        <v>2404</v>
      </c>
      <c r="E136" s="9">
        <v>45831</v>
      </c>
      <c r="F136" s="10" t="s">
        <v>56</v>
      </c>
      <c r="G136" s="10" t="s">
        <v>2405</v>
      </c>
      <c r="H136" s="10" t="s">
        <v>27</v>
      </c>
      <c r="I136" s="10" t="s">
        <v>69</v>
      </c>
      <c r="J136" s="10"/>
      <c r="K136" s="10" t="s">
        <v>145</v>
      </c>
      <c r="L136" s="12">
        <f t="shared" si="18"/>
        <v>1000</v>
      </c>
      <c r="M136" s="12">
        <v>1500</v>
      </c>
      <c r="N136" s="12">
        <v>0</v>
      </c>
      <c r="O136" s="11">
        <v>1500000</v>
      </c>
      <c r="P136" s="11">
        <f t="shared" ref="P136:P166" si="20">O136</f>
        <v>1500000</v>
      </c>
      <c r="Q136" s="11">
        <v>0</v>
      </c>
      <c r="R136" s="11"/>
      <c r="S136" s="11">
        <v>0</v>
      </c>
      <c r="T136" s="11">
        <f t="shared" si="19"/>
        <v>1500000</v>
      </c>
      <c r="U136" s="42">
        <v>1000</v>
      </c>
    </row>
    <row r="137" spans="1:21" s="36" customFormat="1" ht="15.45" hidden="1" x14ac:dyDescent="0.35">
      <c r="A137" s="19" t="s">
        <v>100</v>
      </c>
      <c r="B137" s="9">
        <v>45831</v>
      </c>
      <c r="C137" s="14" t="s">
        <v>2403</v>
      </c>
      <c r="D137" s="10" t="s">
        <v>2404</v>
      </c>
      <c r="E137" s="9">
        <v>45831</v>
      </c>
      <c r="F137" s="10" t="s">
        <v>56</v>
      </c>
      <c r="G137" s="10" t="s">
        <v>2406</v>
      </c>
      <c r="H137" s="10" t="s">
        <v>27</v>
      </c>
      <c r="I137" s="10" t="s">
        <v>69</v>
      </c>
      <c r="J137" s="10"/>
      <c r="K137" s="10" t="s">
        <v>1381</v>
      </c>
      <c r="L137" s="12">
        <f t="shared" si="18"/>
        <v>2</v>
      </c>
      <c r="M137" s="12">
        <v>56000</v>
      </c>
      <c r="N137" s="12">
        <v>0</v>
      </c>
      <c r="O137" s="11">
        <v>112000</v>
      </c>
      <c r="P137" s="11">
        <f t="shared" si="20"/>
        <v>112000</v>
      </c>
      <c r="Q137" s="11">
        <v>0</v>
      </c>
      <c r="R137" s="11"/>
      <c r="S137" s="11">
        <v>0</v>
      </c>
      <c r="T137" s="11">
        <f t="shared" si="19"/>
        <v>112000</v>
      </c>
      <c r="U137" s="42">
        <v>2</v>
      </c>
    </row>
    <row r="138" spans="1:21" s="36" customFormat="1" ht="15.45" hidden="1" x14ac:dyDescent="0.35">
      <c r="A138" s="19" t="s">
        <v>100</v>
      </c>
      <c r="B138" s="9">
        <v>45831</v>
      </c>
      <c r="C138" s="14" t="s">
        <v>2403</v>
      </c>
      <c r="D138" s="10" t="s">
        <v>2404</v>
      </c>
      <c r="E138" s="9">
        <v>45831</v>
      </c>
      <c r="F138" s="10" t="s">
        <v>56</v>
      </c>
      <c r="G138" s="10" t="s">
        <v>2407</v>
      </c>
      <c r="H138" s="10" t="s">
        <v>27</v>
      </c>
      <c r="I138" s="10" t="s">
        <v>69</v>
      </c>
      <c r="J138" s="10"/>
      <c r="K138" s="10" t="s">
        <v>1381</v>
      </c>
      <c r="L138" s="12">
        <f t="shared" si="18"/>
        <v>2</v>
      </c>
      <c r="M138" s="12">
        <v>56000</v>
      </c>
      <c r="N138" s="12">
        <v>0</v>
      </c>
      <c r="O138" s="11">
        <v>112000</v>
      </c>
      <c r="P138" s="11">
        <f t="shared" si="20"/>
        <v>112000</v>
      </c>
      <c r="Q138" s="11">
        <v>0</v>
      </c>
      <c r="R138" s="11"/>
      <c r="S138" s="11">
        <v>0</v>
      </c>
      <c r="T138" s="11">
        <f t="shared" si="19"/>
        <v>112000</v>
      </c>
      <c r="U138" s="42">
        <v>2</v>
      </c>
    </row>
    <row r="139" spans="1:21" s="36" customFormat="1" ht="15.45" hidden="1" x14ac:dyDescent="0.35">
      <c r="A139" s="19" t="s">
        <v>100</v>
      </c>
      <c r="B139" s="9">
        <v>45831</v>
      </c>
      <c r="C139" s="14" t="s">
        <v>2403</v>
      </c>
      <c r="D139" s="10" t="s">
        <v>2404</v>
      </c>
      <c r="E139" s="9">
        <v>45831</v>
      </c>
      <c r="F139" s="10" t="s">
        <v>56</v>
      </c>
      <c r="G139" s="10" t="s">
        <v>185</v>
      </c>
      <c r="H139" s="10" t="s">
        <v>27</v>
      </c>
      <c r="I139" s="10" t="s">
        <v>69</v>
      </c>
      <c r="J139" s="10"/>
      <c r="K139" s="10" t="s">
        <v>145</v>
      </c>
      <c r="L139" s="12">
        <f t="shared" si="18"/>
        <v>1000</v>
      </c>
      <c r="M139" s="12">
        <v>750</v>
      </c>
      <c r="N139" s="12">
        <v>0</v>
      </c>
      <c r="O139" s="11">
        <v>750000</v>
      </c>
      <c r="P139" s="11">
        <f t="shared" si="20"/>
        <v>750000</v>
      </c>
      <c r="Q139" s="11">
        <v>0</v>
      </c>
      <c r="R139" s="11"/>
      <c r="S139" s="11">
        <v>0</v>
      </c>
      <c r="T139" s="11">
        <f t="shared" si="19"/>
        <v>750000</v>
      </c>
      <c r="U139" s="42">
        <v>1000</v>
      </c>
    </row>
    <row r="140" spans="1:21" s="36" customFormat="1" ht="15.45" hidden="1" x14ac:dyDescent="0.35">
      <c r="A140" s="19" t="s">
        <v>100</v>
      </c>
      <c r="B140" s="9">
        <v>45831</v>
      </c>
      <c r="C140" s="14" t="s">
        <v>2403</v>
      </c>
      <c r="D140" s="10" t="s">
        <v>2404</v>
      </c>
      <c r="E140" s="9">
        <v>45831</v>
      </c>
      <c r="F140" s="10" t="s">
        <v>56</v>
      </c>
      <c r="G140" s="10" t="s">
        <v>2408</v>
      </c>
      <c r="H140" s="10" t="s">
        <v>27</v>
      </c>
      <c r="I140" s="10" t="s">
        <v>69</v>
      </c>
      <c r="J140" s="10"/>
      <c r="K140" s="10" t="s">
        <v>1381</v>
      </c>
      <c r="L140" s="12">
        <f t="shared" si="18"/>
        <v>2</v>
      </c>
      <c r="M140" s="12">
        <v>56000</v>
      </c>
      <c r="N140" s="12">
        <v>0</v>
      </c>
      <c r="O140" s="11">
        <v>112000</v>
      </c>
      <c r="P140" s="11">
        <f t="shared" si="20"/>
        <v>112000</v>
      </c>
      <c r="Q140" s="11">
        <v>0</v>
      </c>
      <c r="R140" s="11"/>
      <c r="S140" s="11">
        <v>0</v>
      </c>
      <c r="T140" s="11">
        <f t="shared" si="19"/>
        <v>112000</v>
      </c>
      <c r="U140" s="42">
        <v>2</v>
      </c>
    </row>
    <row r="141" spans="1:21" s="36" customFormat="1" ht="15.45" hidden="1" x14ac:dyDescent="0.35">
      <c r="A141" s="19" t="s">
        <v>98</v>
      </c>
      <c r="B141" s="9">
        <v>45832</v>
      </c>
      <c r="C141" s="14" t="s">
        <v>2409</v>
      </c>
      <c r="D141" s="10" t="s">
        <v>2410</v>
      </c>
      <c r="E141" s="9">
        <v>45832</v>
      </c>
      <c r="F141" s="10" t="s">
        <v>84</v>
      </c>
      <c r="G141" s="10" t="s">
        <v>89</v>
      </c>
      <c r="H141" s="10" t="s">
        <v>25</v>
      </c>
      <c r="I141" s="10" t="s">
        <v>79</v>
      </c>
      <c r="J141" s="50" t="s">
        <v>2464</v>
      </c>
      <c r="K141" s="10" t="s">
        <v>1</v>
      </c>
      <c r="L141" s="12">
        <f t="shared" si="18"/>
        <v>30470</v>
      </c>
      <c r="M141" s="12">
        <v>1525</v>
      </c>
      <c r="N141" s="12">
        <v>0</v>
      </c>
      <c r="O141" s="11">
        <v>46466750</v>
      </c>
      <c r="P141" s="11">
        <f t="shared" si="20"/>
        <v>46466750</v>
      </c>
      <c r="Q141" s="11">
        <v>5111342.5</v>
      </c>
      <c r="R141" s="11">
        <f>P141*1.5%</f>
        <v>697001.25</v>
      </c>
      <c r="S141" s="11">
        <v>0</v>
      </c>
      <c r="T141" s="11">
        <f>P141+Q141-S141-R141</f>
        <v>50881091.25</v>
      </c>
      <c r="U141" s="42">
        <v>30470</v>
      </c>
    </row>
    <row r="142" spans="1:21" s="36" customFormat="1" ht="15.45" hidden="1" x14ac:dyDescent="0.35">
      <c r="A142" s="19" t="s">
        <v>105</v>
      </c>
      <c r="B142" s="9">
        <v>45832</v>
      </c>
      <c r="C142" s="14" t="s">
        <v>2411</v>
      </c>
      <c r="D142" s="10" t="s">
        <v>2412</v>
      </c>
      <c r="E142" s="9">
        <v>45819</v>
      </c>
      <c r="F142" s="10" t="s">
        <v>85</v>
      </c>
      <c r="G142" s="10" t="s">
        <v>67</v>
      </c>
      <c r="H142" s="10" t="s">
        <v>23</v>
      </c>
      <c r="I142" s="10" t="s">
        <v>886</v>
      </c>
      <c r="J142" s="50" t="s">
        <v>2597</v>
      </c>
      <c r="K142" s="10" t="s">
        <v>1</v>
      </c>
      <c r="L142" s="12">
        <f t="shared" si="18"/>
        <v>400</v>
      </c>
      <c r="M142" s="12">
        <v>52016</v>
      </c>
      <c r="N142" s="12">
        <v>16255</v>
      </c>
      <c r="O142" s="11">
        <v>20806400</v>
      </c>
      <c r="P142" s="11">
        <f t="shared" si="20"/>
        <v>20806400</v>
      </c>
      <c r="Q142" s="11">
        <v>2288704</v>
      </c>
      <c r="R142" s="11"/>
      <c r="S142" s="11">
        <v>0</v>
      </c>
      <c r="T142" s="11">
        <f>P142+Q142-S142</f>
        <v>23095104</v>
      </c>
      <c r="U142" s="42">
        <v>400</v>
      </c>
    </row>
    <row r="143" spans="1:21" s="36" customFormat="1" ht="15.45" hidden="1" x14ac:dyDescent="0.35">
      <c r="A143" s="19" t="s">
        <v>105</v>
      </c>
      <c r="B143" s="9">
        <v>45832</v>
      </c>
      <c r="C143" s="14" t="s">
        <v>2413</v>
      </c>
      <c r="D143" s="10" t="s">
        <v>2414</v>
      </c>
      <c r="E143" s="9">
        <v>45819</v>
      </c>
      <c r="F143" s="10" t="s">
        <v>85</v>
      </c>
      <c r="G143" s="10" t="s">
        <v>783</v>
      </c>
      <c r="H143" s="10" t="s">
        <v>23</v>
      </c>
      <c r="I143" s="10" t="s">
        <v>886</v>
      </c>
      <c r="J143" s="50" t="s">
        <v>2596</v>
      </c>
      <c r="K143" s="10" t="s">
        <v>1</v>
      </c>
      <c r="L143" s="12">
        <f t="shared" si="18"/>
        <v>400</v>
      </c>
      <c r="M143" s="12">
        <v>71522</v>
      </c>
      <c r="N143" s="12">
        <v>16255</v>
      </c>
      <c r="O143" s="11">
        <v>28608800</v>
      </c>
      <c r="P143" s="11">
        <f t="shared" si="20"/>
        <v>28608800</v>
      </c>
      <c r="Q143" s="11">
        <v>3146968</v>
      </c>
      <c r="R143" s="11"/>
      <c r="S143" s="11">
        <v>0</v>
      </c>
      <c r="T143" s="11">
        <f>P143+Q143-S143</f>
        <v>31755768</v>
      </c>
      <c r="U143" s="42">
        <v>400</v>
      </c>
    </row>
    <row r="144" spans="1:21" s="36" customFormat="1" ht="15.45" hidden="1" x14ac:dyDescent="0.35">
      <c r="A144" s="19" t="s">
        <v>115</v>
      </c>
      <c r="B144" s="9">
        <v>45831</v>
      </c>
      <c r="C144" s="14" t="s">
        <v>2415</v>
      </c>
      <c r="D144" s="10" t="s">
        <v>2416</v>
      </c>
      <c r="E144" s="9">
        <v>45831</v>
      </c>
      <c r="F144" s="10" t="s">
        <v>81</v>
      </c>
      <c r="G144" s="10" t="s">
        <v>89</v>
      </c>
      <c r="H144" s="10" t="s">
        <v>25</v>
      </c>
      <c r="I144" s="10" t="s">
        <v>79</v>
      </c>
      <c r="J144" s="50" t="s">
        <v>2681</v>
      </c>
      <c r="K144" s="10" t="s">
        <v>1</v>
      </c>
      <c r="L144" s="12">
        <f t="shared" si="18"/>
        <v>31880</v>
      </c>
      <c r="M144" s="12">
        <v>1525</v>
      </c>
      <c r="N144" s="12">
        <v>0</v>
      </c>
      <c r="O144" s="11">
        <v>48617000</v>
      </c>
      <c r="P144" s="11">
        <f t="shared" si="20"/>
        <v>48617000</v>
      </c>
      <c r="Q144" s="11">
        <v>5347870</v>
      </c>
      <c r="R144" s="11">
        <f>P144*1.5%</f>
        <v>729255</v>
      </c>
      <c r="S144" s="11">
        <v>0</v>
      </c>
      <c r="T144" s="11">
        <f>P144+Q144-S144-R144</f>
        <v>53235615</v>
      </c>
      <c r="U144" s="42">
        <v>31880</v>
      </c>
    </row>
    <row r="145" spans="1:23" s="36" customFormat="1" ht="15.45" hidden="1" x14ac:dyDescent="0.35">
      <c r="A145" s="19" t="s">
        <v>98</v>
      </c>
      <c r="B145" s="9">
        <v>45832</v>
      </c>
      <c r="C145" s="14" t="s">
        <v>2417</v>
      </c>
      <c r="D145" s="10" t="s">
        <v>2059</v>
      </c>
      <c r="E145" s="9">
        <v>45808</v>
      </c>
      <c r="F145" s="10" t="s">
        <v>84</v>
      </c>
      <c r="G145" s="10" t="s">
        <v>175</v>
      </c>
      <c r="H145" s="10" t="s">
        <v>25</v>
      </c>
      <c r="I145" s="10" t="s">
        <v>79</v>
      </c>
      <c r="J145" s="50" t="s">
        <v>2461</v>
      </c>
      <c r="K145" s="10" t="s">
        <v>1</v>
      </c>
      <c r="L145" s="12">
        <f t="shared" si="18"/>
        <v>26730</v>
      </c>
      <c r="M145" s="12">
        <v>1250</v>
      </c>
      <c r="N145" s="12">
        <v>0</v>
      </c>
      <c r="O145" s="11">
        <v>33412500</v>
      </c>
      <c r="P145" s="11">
        <f t="shared" si="20"/>
        <v>33412500</v>
      </c>
      <c r="Q145" s="11">
        <v>3675375</v>
      </c>
      <c r="R145" s="11">
        <f>P145*1.5%</f>
        <v>501187.5</v>
      </c>
      <c r="S145" s="11">
        <v>0</v>
      </c>
      <c r="T145" s="11">
        <f>P145+Q145-S145-R145</f>
        <v>36586687.5</v>
      </c>
      <c r="U145" s="42">
        <v>26730</v>
      </c>
    </row>
    <row r="146" spans="1:23" s="36" customFormat="1" ht="15.45" hidden="1" x14ac:dyDescent="0.35">
      <c r="A146" s="19" t="s">
        <v>110</v>
      </c>
      <c r="B146" s="9">
        <v>45834</v>
      </c>
      <c r="C146" s="14" t="s">
        <v>2418</v>
      </c>
      <c r="D146" s="10" t="s">
        <v>2147</v>
      </c>
      <c r="E146" s="9">
        <v>45807</v>
      </c>
      <c r="F146" s="10" t="s">
        <v>72</v>
      </c>
      <c r="G146" s="10" t="s">
        <v>29</v>
      </c>
      <c r="H146" s="10" t="s">
        <v>23</v>
      </c>
      <c r="I146" s="10" t="s">
        <v>887</v>
      </c>
      <c r="J146" s="50" t="s">
        <v>2482</v>
      </c>
      <c r="K146" s="10" t="s">
        <v>1</v>
      </c>
      <c r="L146" s="12">
        <f t="shared" si="18"/>
        <v>5000</v>
      </c>
      <c r="M146" s="12">
        <v>5500</v>
      </c>
      <c r="N146" s="12">
        <v>0</v>
      </c>
      <c r="O146" s="11">
        <v>27500000</v>
      </c>
      <c r="P146" s="11">
        <f t="shared" si="20"/>
        <v>27500000</v>
      </c>
      <c r="Q146" s="11">
        <v>3025000</v>
      </c>
      <c r="R146" s="11"/>
      <c r="S146" s="11">
        <v>0</v>
      </c>
      <c r="T146" s="11">
        <f>P146+Q146-S146</f>
        <v>30525000</v>
      </c>
      <c r="U146" s="42">
        <v>5000</v>
      </c>
    </row>
    <row r="147" spans="1:23" s="36" customFormat="1" ht="15.45" hidden="1" x14ac:dyDescent="0.35">
      <c r="A147" s="19" t="s">
        <v>114</v>
      </c>
      <c r="B147" s="9">
        <v>45834</v>
      </c>
      <c r="C147" s="14" t="s">
        <v>2419</v>
      </c>
      <c r="D147" s="10" t="s">
        <v>2098</v>
      </c>
      <c r="E147" s="9">
        <v>45808</v>
      </c>
      <c r="F147" s="10" t="s">
        <v>71</v>
      </c>
      <c r="G147" s="10" t="s">
        <v>76</v>
      </c>
      <c r="H147" s="10" t="s">
        <v>23</v>
      </c>
      <c r="I147" s="10" t="s">
        <v>978</v>
      </c>
      <c r="J147" s="50" t="s">
        <v>2590</v>
      </c>
      <c r="K147" s="10" t="s">
        <v>1</v>
      </c>
      <c r="L147" s="12">
        <f t="shared" si="18"/>
        <v>500</v>
      </c>
      <c r="M147" s="12">
        <v>30155</v>
      </c>
      <c r="N147" s="12">
        <v>16300</v>
      </c>
      <c r="O147" s="11">
        <v>15077500</v>
      </c>
      <c r="P147" s="11">
        <f t="shared" si="20"/>
        <v>15077500</v>
      </c>
      <c r="Q147" s="11">
        <v>1658525</v>
      </c>
      <c r="R147" s="11"/>
      <c r="S147" s="11">
        <v>0</v>
      </c>
      <c r="T147" s="11">
        <f>P147+Q147-S147</f>
        <v>16736025</v>
      </c>
      <c r="U147" s="42">
        <v>500</v>
      </c>
    </row>
    <row r="148" spans="1:23" s="36" customFormat="1" ht="15.45" hidden="1" x14ac:dyDescent="0.35">
      <c r="A148" s="19" t="s">
        <v>510</v>
      </c>
      <c r="B148" s="21">
        <v>45834</v>
      </c>
      <c r="C148" s="22" t="s">
        <v>2421</v>
      </c>
      <c r="D148" s="23"/>
      <c r="E148" s="21"/>
      <c r="F148" s="23" t="s">
        <v>511</v>
      </c>
      <c r="G148" s="23" t="s">
        <v>1157</v>
      </c>
      <c r="H148" s="23" t="s">
        <v>513</v>
      </c>
      <c r="I148" s="23" t="s">
        <v>514</v>
      </c>
      <c r="J148" s="46" t="s">
        <v>2420</v>
      </c>
      <c r="K148" s="23" t="s">
        <v>1159</v>
      </c>
      <c r="L148" s="24">
        <v>1</v>
      </c>
      <c r="M148" s="24">
        <v>450000</v>
      </c>
      <c r="N148" s="24"/>
      <c r="O148" s="25">
        <f>L148*M148</f>
        <v>450000</v>
      </c>
      <c r="P148" s="25">
        <f t="shared" si="20"/>
        <v>450000</v>
      </c>
      <c r="Q148" s="72">
        <f>P148*0.11</f>
        <v>49500</v>
      </c>
      <c r="R148" s="25">
        <f>P148*2%</f>
        <v>9000</v>
      </c>
      <c r="S148" s="25"/>
      <c r="T148" s="25">
        <f>P148+Q148-R148</f>
        <v>490500</v>
      </c>
      <c r="U148" s="29"/>
      <c r="V148" s="28"/>
      <c r="W148" s="28"/>
    </row>
    <row r="149" spans="1:23" s="36" customFormat="1" ht="15.45" hidden="1" x14ac:dyDescent="0.35">
      <c r="A149" s="19" t="s">
        <v>166</v>
      </c>
      <c r="B149" s="9">
        <v>45835</v>
      </c>
      <c r="C149" s="14" t="s">
        <v>2422</v>
      </c>
      <c r="D149" s="10"/>
      <c r="E149" s="9"/>
      <c r="F149" s="23" t="s">
        <v>210</v>
      </c>
      <c r="G149" s="23" t="s">
        <v>168</v>
      </c>
      <c r="H149" s="23" t="s">
        <v>169</v>
      </c>
      <c r="I149" s="23" t="s">
        <v>192</v>
      </c>
      <c r="J149" s="50" t="s">
        <v>2582</v>
      </c>
      <c r="K149" s="10" t="s">
        <v>0</v>
      </c>
      <c r="L149" s="12">
        <v>6420</v>
      </c>
      <c r="M149" s="12">
        <v>225.23</v>
      </c>
      <c r="N149" s="12">
        <v>0</v>
      </c>
      <c r="O149" s="11">
        <f>L149*M149</f>
        <v>1445976.5999999999</v>
      </c>
      <c r="P149" s="11">
        <f t="shared" si="20"/>
        <v>1445976.5999999999</v>
      </c>
      <c r="Q149" s="11">
        <f>P149*0.11</f>
        <v>159057.42599999998</v>
      </c>
      <c r="R149" s="11">
        <f>P149*2%</f>
        <v>28919.531999999999</v>
      </c>
      <c r="S149" s="11">
        <v>0</v>
      </c>
      <c r="T149" s="11">
        <f>P149+Q149-S149-R149</f>
        <v>1576114.4939999999</v>
      </c>
      <c r="U149" s="42"/>
    </row>
    <row r="150" spans="1:23" s="36" customFormat="1" ht="15.45" hidden="1" x14ac:dyDescent="0.35">
      <c r="A150" s="19" t="s">
        <v>166</v>
      </c>
      <c r="B150" s="9">
        <v>45835</v>
      </c>
      <c r="C150" s="14" t="s">
        <v>2423</v>
      </c>
      <c r="D150" s="10"/>
      <c r="E150" s="9"/>
      <c r="F150" s="23" t="s">
        <v>210</v>
      </c>
      <c r="G150" s="23" t="s">
        <v>168</v>
      </c>
      <c r="H150" s="23" t="s">
        <v>169</v>
      </c>
      <c r="I150" s="23" t="s">
        <v>192</v>
      </c>
      <c r="J150" s="50" t="s">
        <v>2582</v>
      </c>
      <c r="K150" s="10" t="s">
        <v>0</v>
      </c>
      <c r="L150" s="12">
        <v>6020</v>
      </c>
      <c r="M150" s="12">
        <v>225.23</v>
      </c>
      <c r="N150" s="12">
        <v>0</v>
      </c>
      <c r="O150" s="11">
        <f>L150*M150</f>
        <v>1355884.5999999999</v>
      </c>
      <c r="P150" s="11">
        <f t="shared" si="20"/>
        <v>1355884.5999999999</v>
      </c>
      <c r="Q150" s="11">
        <f>P150*0.11</f>
        <v>149147.30599999998</v>
      </c>
      <c r="R150" s="11">
        <f>P150*2%</f>
        <v>27117.691999999999</v>
      </c>
      <c r="S150" s="11">
        <v>0</v>
      </c>
      <c r="T150" s="11">
        <f>P150+Q150-S150-R150</f>
        <v>1477914.2139999999</v>
      </c>
      <c r="U150" s="42"/>
    </row>
    <row r="151" spans="1:23" s="36" customFormat="1" ht="15.45" hidden="1" x14ac:dyDescent="0.35">
      <c r="A151" s="19" t="s">
        <v>166</v>
      </c>
      <c r="B151" s="9">
        <v>45838</v>
      </c>
      <c r="C151" s="14" t="s">
        <v>2424</v>
      </c>
      <c r="D151" s="10"/>
      <c r="E151" s="9"/>
      <c r="F151" s="23" t="s">
        <v>210</v>
      </c>
      <c r="G151" s="23" t="s">
        <v>168</v>
      </c>
      <c r="H151" s="23" t="s">
        <v>169</v>
      </c>
      <c r="I151" s="23" t="s">
        <v>192</v>
      </c>
      <c r="J151" s="50" t="s">
        <v>2583</v>
      </c>
      <c r="K151" s="10" t="s">
        <v>0</v>
      </c>
      <c r="L151" s="12">
        <v>6710</v>
      </c>
      <c r="M151" s="12">
        <v>225.23</v>
      </c>
      <c r="N151" s="12">
        <v>0</v>
      </c>
      <c r="O151" s="11">
        <f>L151*M151</f>
        <v>1511293.3</v>
      </c>
      <c r="P151" s="11">
        <f t="shared" si="20"/>
        <v>1511293.3</v>
      </c>
      <c r="Q151" s="11">
        <f>P151*0.11</f>
        <v>166242.26300000001</v>
      </c>
      <c r="R151" s="11">
        <f>P151*2%</f>
        <v>30225.866000000002</v>
      </c>
      <c r="S151" s="11">
        <v>0</v>
      </c>
      <c r="T151" s="11">
        <f>P151+Q151-S151-R151</f>
        <v>1647309.6970000002</v>
      </c>
      <c r="U151" s="42"/>
    </row>
    <row r="152" spans="1:23" s="36" customFormat="1" ht="15.45" hidden="1" x14ac:dyDescent="0.35">
      <c r="A152" s="19" t="s">
        <v>96</v>
      </c>
      <c r="B152" s="9">
        <v>45834</v>
      </c>
      <c r="C152" s="14" t="s">
        <v>2425</v>
      </c>
      <c r="D152" s="10" t="s">
        <v>2426</v>
      </c>
      <c r="E152" s="9">
        <v>45833</v>
      </c>
      <c r="F152" s="10" t="s">
        <v>39</v>
      </c>
      <c r="G152" s="10" t="s">
        <v>649</v>
      </c>
      <c r="H152" s="10" t="s">
        <v>24</v>
      </c>
      <c r="I152" s="10" t="s">
        <v>61</v>
      </c>
      <c r="J152" s="10"/>
      <c r="K152" s="10" t="s">
        <v>650</v>
      </c>
      <c r="L152" s="12">
        <f t="shared" ref="L152:L165" si="21">IF(LEFT(C152,2)="RP",U152*-1,U152)</f>
        <v>5</v>
      </c>
      <c r="M152" s="12">
        <v>800000</v>
      </c>
      <c r="N152" s="12">
        <v>0</v>
      </c>
      <c r="O152" s="11">
        <v>4000000</v>
      </c>
      <c r="P152" s="11">
        <f t="shared" si="20"/>
        <v>4000000</v>
      </c>
      <c r="Q152" s="11">
        <v>0</v>
      </c>
      <c r="R152" s="11"/>
      <c r="S152" s="11">
        <v>0</v>
      </c>
      <c r="T152" s="11">
        <f>P152+Q152-S152</f>
        <v>4000000</v>
      </c>
      <c r="U152" s="42">
        <v>5</v>
      </c>
    </row>
    <row r="153" spans="1:23" s="36" customFormat="1" ht="15.45" hidden="1" x14ac:dyDescent="0.35">
      <c r="A153" s="19" t="s">
        <v>117</v>
      </c>
      <c r="B153" s="9">
        <v>45835</v>
      </c>
      <c r="C153" s="14" t="s">
        <v>2427</v>
      </c>
      <c r="D153" s="10" t="s">
        <v>2428</v>
      </c>
      <c r="E153" s="9">
        <v>45834</v>
      </c>
      <c r="F153" s="10" t="s">
        <v>68</v>
      </c>
      <c r="G153" s="10" t="s">
        <v>125</v>
      </c>
      <c r="H153" s="10" t="s">
        <v>24</v>
      </c>
      <c r="I153" s="10" t="s">
        <v>61</v>
      </c>
      <c r="J153" s="50" t="s">
        <v>2646</v>
      </c>
      <c r="K153" s="10" t="s">
        <v>3</v>
      </c>
      <c r="L153" s="12">
        <f t="shared" si="21"/>
        <v>5</v>
      </c>
      <c r="M153" s="12">
        <v>81982</v>
      </c>
      <c r="N153" s="12">
        <v>0</v>
      </c>
      <c r="O153" s="11">
        <v>409910</v>
      </c>
      <c r="P153" s="11">
        <f t="shared" si="20"/>
        <v>409910</v>
      </c>
      <c r="Q153" s="11">
        <v>45090.1</v>
      </c>
      <c r="R153" s="11"/>
      <c r="S153" s="11">
        <v>0</v>
      </c>
      <c r="T153" s="11">
        <f>P153+Q153-S153</f>
        <v>455000.1</v>
      </c>
      <c r="U153" s="42">
        <v>5</v>
      </c>
    </row>
    <row r="154" spans="1:23" s="36" customFormat="1" ht="15.45" hidden="1" x14ac:dyDescent="0.35">
      <c r="A154" s="19" t="s">
        <v>97</v>
      </c>
      <c r="B154" s="9">
        <v>45834</v>
      </c>
      <c r="C154" s="14" t="s">
        <v>2429</v>
      </c>
      <c r="D154" s="10" t="s">
        <v>2430</v>
      </c>
      <c r="E154" s="9">
        <v>45833</v>
      </c>
      <c r="F154" s="10" t="s">
        <v>63</v>
      </c>
      <c r="G154" s="10" t="s">
        <v>83</v>
      </c>
      <c r="H154" s="10" t="s">
        <v>24</v>
      </c>
      <c r="I154" s="10" t="s">
        <v>2192</v>
      </c>
      <c r="J154" s="50" t="s">
        <v>2598</v>
      </c>
      <c r="K154" s="10" t="s">
        <v>5</v>
      </c>
      <c r="L154" s="12">
        <f t="shared" si="21"/>
        <v>1000</v>
      </c>
      <c r="M154" s="12">
        <v>27000</v>
      </c>
      <c r="N154" s="12">
        <v>0</v>
      </c>
      <c r="O154" s="11">
        <v>27000000</v>
      </c>
      <c r="P154" s="11">
        <f t="shared" si="20"/>
        <v>27000000</v>
      </c>
      <c r="Q154" s="11">
        <v>2970000</v>
      </c>
      <c r="R154" s="11"/>
      <c r="S154" s="11">
        <v>0</v>
      </c>
      <c r="T154" s="11">
        <f>P154+Q154-S154</f>
        <v>29970000</v>
      </c>
      <c r="U154" s="42">
        <v>1000</v>
      </c>
    </row>
    <row r="155" spans="1:23" s="36" customFormat="1" ht="15.45" hidden="1" x14ac:dyDescent="0.35">
      <c r="A155" s="19" t="s">
        <v>98</v>
      </c>
      <c r="B155" s="9">
        <v>45835</v>
      </c>
      <c r="C155" s="14" t="s">
        <v>2431</v>
      </c>
      <c r="D155" s="10" t="s">
        <v>2059</v>
      </c>
      <c r="E155" s="9">
        <v>45808</v>
      </c>
      <c r="F155" s="10" t="s">
        <v>84</v>
      </c>
      <c r="G155" s="10" t="s">
        <v>175</v>
      </c>
      <c r="H155" s="10" t="s">
        <v>25</v>
      </c>
      <c r="I155" s="10" t="s">
        <v>79</v>
      </c>
      <c r="J155" s="50" t="s">
        <v>2461</v>
      </c>
      <c r="K155" s="10" t="s">
        <v>1</v>
      </c>
      <c r="L155" s="12">
        <f t="shared" si="21"/>
        <v>29820</v>
      </c>
      <c r="M155" s="12">
        <v>1250</v>
      </c>
      <c r="N155" s="12">
        <v>0</v>
      </c>
      <c r="O155" s="11">
        <v>37275000</v>
      </c>
      <c r="P155" s="11">
        <f t="shared" si="20"/>
        <v>37275000</v>
      </c>
      <c r="Q155" s="11">
        <v>4100250</v>
      </c>
      <c r="R155" s="11">
        <f>P155*1.5%</f>
        <v>559125</v>
      </c>
      <c r="S155" s="11">
        <v>0</v>
      </c>
      <c r="T155" s="11">
        <f>P155+Q155-S155-R155</f>
        <v>40816125</v>
      </c>
      <c r="U155" s="42">
        <v>29820</v>
      </c>
    </row>
    <row r="156" spans="1:23" s="36" customFormat="1" ht="15.45" hidden="1" x14ac:dyDescent="0.35">
      <c r="A156" s="19" t="s">
        <v>115</v>
      </c>
      <c r="B156" s="9">
        <v>45835</v>
      </c>
      <c r="C156" s="14" t="s">
        <v>2432</v>
      </c>
      <c r="D156" s="10" t="s">
        <v>2433</v>
      </c>
      <c r="E156" s="9">
        <v>45834</v>
      </c>
      <c r="F156" s="10" t="s">
        <v>81</v>
      </c>
      <c r="G156" s="10" t="s">
        <v>89</v>
      </c>
      <c r="H156" s="10" t="s">
        <v>25</v>
      </c>
      <c r="I156" s="10" t="s">
        <v>79</v>
      </c>
      <c r="J156" s="50" t="s">
        <v>2681</v>
      </c>
      <c r="K156" s="10" t="s">
        <v>1</v>
      </c>
      <c r="L156" s="12">
        <f t="shared" si="21"/>
        <v>29950</v>
      </c>
      <c r="M156" s="12">
        <v>1525</v>
      </c>
      <c r="N156" s="12">
        <v>0</v>
      </c>
      <c r="O156" s="11">
        <v>45673750</v>
      </c>
      <c r="P156" s="11">
        <f t="shared" si="20"/>
        <v>45673750</v>
      </c>
      <c r="Q156" s="11">
        <v>5024112.5</v>
      </c>
      <c r="R156" s="11">
        <f>P156*1.5%</f>
        <v>685106.25</v>
      </c>
      <c r="S156" s="11">
        <v>0</v>
      </c>
      <c r="T156" s="11">
        <f>P156+Q156-S156-R156</f>
        <v>50012756.25</v>
      </c>
      <c r="U156" s="42">
        <v>29950</v>
      </c>
    </row>
    <row r="157" spans="1:23" s="36" customFormat="1" ht="15.45" hidden="1" x14ac:dyDescent="0.35">
      <c r="A157" s="19" t="s">
        <v>111</v>
      </c>
      <c r="B157" s="9">
        <v>45835</v>
      </c>
      <c r="C157" s="14" t="s">
        <v>2434</v>
      </c>
      <c r="D157" s="10" t="s">
        <v>2435</v>
      </c>
      <c r="E157" s="9">
        <v>45835</v>
      </c>
      <c r="F157" s="10" t="s">
        <v>55</v>
      </c>
      <c r="G157" s="10" t="s">
        <v>197</v>
      </c>
      <c r="H157" s="10" t="s">
        <v>24</v>
      </c>
      <c r="I157" s="10" t="s">
        <v>61</v>
      </c>
      <c r="J157" s="10"/>
      <c r="K157" s="10" t="s">
        <v>6</v>
      </c>
      <c r="L157" s="12">
        <f t="shared" si="21"/>
        <v>100</v>
      </c>
      <c r="M157" s="12">
        <v>2500</v>
      </c>
      <c r="N157" s="12">
        <v>0</v>
      </c>
      <c r="O157" s="11">
        <v>250000</v>
      </c>
      <c r="P157" s="11">
        <f t="shared" si="20"/>
        <v>250000</v>
      </c>
      <c r="Q157" s="11">
        <v>0</v>
      </c>
      <c r="R157" s="11"/>
      <c r="S157" s="11">
        <v>0</v>
      </c>
      <c r="T157" s="11">
        <f t="shared" ref="T157:T165" si="22">P157+Q157-S157</f>
        <v>250000</v>
      </c>
      <c r="U157" s="42">
        <v>100</v>
      </c>
    </row>
    <row r="158" spans="1:23" s="36" customFormat="1" ht="15.45" hidden="1" x14ac:dyDescent="0.35">
      <c r="A158" s="19" t="s">
        <v>111</v>
      </c>
      <c r="B158" s="9">
        <v>45835</v>
      </c>
      <c r="C158" s="14" t="s">
        <v>2434</v>
      </c>
      <c r="D158" s="10" t="s">
        <v>2435</v>
      </c>
      <c r="E158" s="9">
        <v>45835</v>
      </c>
      <c r="F158" s="10" t="s">
        <v>55</v>
      </c>
      <c r="G158" s="10" t="s">
        <v>1410</v>
      </c>
      <c r="H158" s="10" t="s">
        <v>24</v>
      </c>
      <c r="I158" s="10" t="s">
        <v>61</v>
      </c>
      <c r="J158" s="10"/>
      <c r="K158" s="10" t="s">
        <v>6</v>
      </c>
      <c r="L158" s="12">
        <f t="shared" si="21"/>
        <v>2</v>
      </c>
      <c r="M158" s="12">
        <v>500000</v>
      </c>
      <c r="N158" s="12">
        <v>0</v>
      </c>
      <c r="O158" s="11">
        <v>1000000</v>
      </c>
      <c r="P158" s="11">
        <f t="shared" si="20"/>
        <v>1000000</v>
      </c>
      <c r="Q158" s="11">
        <v>0</v>
      </c>
      <c r="R158" s="11"/>
      <c r="S158" s="11">
        <v>0</v>
      </c>
      <c r="T158" s="11">
        <f t="shared" si="22"/>
        <v>1000000</v>
      </c>
      <c r="U158" s="42">
        <v>2</v>
      </c>
    </row>
    <row r="159" spans="1:23" s="36" customFormat="1" ht="15.45" hidden="1" x14ac:dyDescent="0.35">
      <c r="A159" s="19" t="s">
        <v>111</v>
      </c>
      <c r="B159" s="9">
        <v>45835</v>
      </c>
      <c r="C159" s="14" t="s">
        <v>2434</v>
      </c>
      <c r="D159" s="10" t="s">
        <v>2435</v>
      </c>
      <c r="E159" s="9">
        <v>45835</v>
      </c>
      <c r="F159" s="10" t="s">
        <v>55</v>
      </c>
      <c r="G159" s="10" t="s">
        <v>2436</v>
      </c>
      <c r="H159" s="10" t="s">
        <v>24</v>
      </c>
      <c r="I159" s="10" t="s">
        <v>61</v>
      </c>
      <c r="J159" s="10"/>
      <c r="K159" s="10" t="s">
        <v>6</v>
      </c>
      <c r="L159" s="12">
        <f t="shared" si="21"/>
        <v>10</v>
      </c>
      <c r="M159" s="12">
        <v>50000</v>
      </c>
      <c r="N159" s="12">
        <v>0</v>
      </c>
      <c r="O159" s="11">
        <v>500000</v>
      </c>
      <c r="P159" s="11">
        <f t="shared" si="20"/>
        <v>500000</v>
      </c>
      <c r="Q159" s="11">
        <v>0</v>
      </c>
      <c r="R159" s="11"/>
      <c r="S159" s="11">
        <v>0</v>
      </c>
      <c r="T159" s="11">
        <f t="shared" si="22"/>
        <v>500000</v>
      </c>
      <c r="U159" s="42">
        <v>10</v>
      </c>
    </row>
    <row r="160" spans="1:23" s="36" customFormat="1" ht="15.45" hidden="1" x14ac:dyDescent="0.35">
      <c r="A160" s="19" t="s">
        <v>111</v>
      </c>
      <c r="B160" s="9">
        <v>45835</v>
      </c>
      <c r="C160" s="14" t="s">
        <v>2437</v>
      </c>
      <c r="D160" s="10" t="s">
        <v>2438</v>
      </c>
      <c r="E160" s="9">
        <v>45835</v>
      </c>
      <c r="F160" s="10" t="s">
        <v>55</v>
      </c>
      <c r="G160" s="10" t="s">
        <v>87</v>
      </c>
      <c r="H160" s="10" t="s">
        <v>24</v>
      </c>
      <c r="I160" s="10" t="s">
        <v>61</v>
      </c>
      <c r="J160" s="10"/>
      <c r="K160" s="10" t="s">
        <v>10</v>
      </c>
      <c r="L160" s="12">
        <f t="shared" si="21"/>
        <v>31</v>
      </c>
      <c r="M160" s="12">
        <v>12500</v>
      </c>
      <c r="N160" s="12">
        <v>0</v>
      </c>
      <c r="O160" s="11">
        <v>387500</v>
      </c>
      <c r="P160" s="11">
        <f t="shared" si="20"/>
        <v>387500</v>
      </c>
      <c r="Q160" s="11">
        <v>0</v>
      </c>
      <c r="R160" s="11"/>
      <c r="S160" s="11">
        <v>0</v>
      </c>
      <c r="T160" s="11">
        <f t="shared" si="22"/>
        <v>387500</v>
      </c>
      <c r="U160" s="42">
        <v>31</v>
      </c>
    </row>
    <row r="161" spans="1:22" s="36" customFormat="1" ht="15.45" hidden="1" x14ac:dyDescent="0.35">
      <c r="A161" s="19" t="s">
        <v>109</v>
      </c>
      <c r="B161" s="9">
        <v>45838</v>
      </c>
      <c r="C161" s="14" t="s">
        <v>2439</v>
      </c>
      <c r="D161" s="10" t="s">
        <v>2084</v>
      </c>
      <c r="E161" s="9">
        <v>45803</v>
      </c>
      <c r="F161" s="10" t="s">
        <v>54</v>
      </c>
      <c r="G161" s="10" t="s">
        <v>49</v>
      </c>
      <c r="H161" s="10" t="s">
        <v>24</v>
      </c>
      <c r="I161" s="10" t="s">
        <v>61</v>
      </c>
      <c r="J161" s="50" t="s">
        <v>2471</v>
      </c>
      <c r="K161" s="10" t="s">
        <v>15</v>
      </c>
      <c r="L161" s="12">
        <f t="shared" si="21"/>
        <v>144</v>
      </c>
      <c r="M161" s="12">
        <v>6454</v>
      </c>
      <c r="N161" s="12">
        <v>0</v>
      </c>
      <c r="O161" s="11">
        <v>929376</v>
      </c>
      <c r="P161" s="11">
        <f t="shared" si="20"/>
        <v>929376</v>
      </c>
      <c r="Q161" s="11">
        <v>102231.36</v>
      </c>
      <c r="R161" s="11"/>
      <c r="S161" s="11">
        <v>0</v>
      </c>
      <c r="T161" s="11">
        <f t="shared" si="22"/>
        <v>1031607.36</v>
      </c>
      <c r="U161" s="42">
        <v>144</v>
      </c>
    </row>
    <row r="162" spans="1:22" s="36" customFormat="1" ht="15.45" hidden="1" x14ac:dyDescent="0.35">
      <c r="A162" s="19" t="s">
        <v>99</v>
      </c>
      <c r="B162" s="9">
        <v>45838</v>
      </c>
      <c r="C162" s="14" t="s">
        <v>2440</v>
      </c>
      <c r="D162" s="10" t="s">
        <v>2441</v>
      </c>
      <c r="E162" s="9">
        <v>45833</v>
      </c>
      <c r="F162" s="10" t="s">
        <v>64</v>
      </c>
      <c r="G162" s="10" t="s">
        <v>43</v>
      </c>
      <c r="H162" s="10" t="s">
        <v>23</v>
      </c>
      <c r="I162" s="10" t="s">
        <v>887</v>
      </c>
      <c r="J162" s="50" t="s">
        <v>2592</v>
      </c>
      <c r="K162" s="10" t="s">
        <v>1</v>
      </c>
      <c r="L162" s="12">
        <f t="shared" si="21"/>
        <v>1</v>
      </c>
      <c r="M162" s="12">
        <v>1550000</v>
      </c>
      <c r="N162" s="12">
        <v>0</v>
      </c>
      <c r="O162" s="11">
        <v>1550000</v>
      </c>
      <c r="P162" s="11">
        <f t="shared" si="20"/>
        <v>1550000</v>
      </c>
      <c r="Q162" s="11">
        <v>170500</v>
      </c>
      <c r="R162" s="11"/>
      <c r="S162" s="11">
        <v>0</v>
      </c>
      <c r="T162" s="11">
        <f t="shared" si="22"/>
        <v>1720500</v>
      </c>
      <c r="U162" s="42">
        <v>1</v>
      </c>
      <c r="V162" s="36" t="s">
        <v>2591</v>
      </c>
    </row>
    <row r="163" spans="1:22" s="36" customFormat="1" ht="15.45" hidden="1" x14ac:dyDescent="0.35">
      <c r="A163" s="19" t="s">
        <v>99</v>
      </c>
      <c r="B163" s="9">
        <v>45838</v>
      </c>
      <c r="C163" s="14" t="s">
        <v>2440</v>
      </c>
      <c r="D163" s="10" t="s">
        <v>2441</v>
      </c>
      <c r="E163" s="9">
        <v>45833</v>
      </c>
      <c r="F163" s="10" t="s">
        <v>64</v>
      </c>
      <c r="G163" s="10" t="s">
        <v>238</v>
      </c>
      <c r="H163" s="10" t="s">
        <v>23</v>
      </c>
      <c r="I163" s="10" t="s">
        <v>887</v>
      </c>
      <c r="J163" s="50" t="s">
        <v>2592</v>
      </c>
      <c r="K163" s="10" t="s">
        <v>1</v>
      </c>
      <c r="L163" s="12">
        <f t="shared" si="21"/>
        <v>200</v>
      </c>
      <c r="M163" s="12">
        <v>33000</v>
      </c>
      <c r="N163" s="12">
        <v>0</v>
      </c>
      <c r="O163" s="11">
        <v>6600000</v>
      </c>
      <c r="P163" s="11">
        <f t="shared" si="20"/>
        <v>6600000</v>
      </c>
      <c r="Q163" s="11">
        <v>726000</v>
      </c>
      <c r="R163" s="11"/>
      <c r="S163" s="11">
        <v>0</v>
      </c>
      <c r="T163" s="11">
        <f t="shared" si="22"/>
        <v>7326000</v>
      </c>
      <c r="U163" s="42">
        <v>200</v>
      </c>
      <c r="V163" s="36" t="s">
        <v>2591</v>
      </c>
    </row>
    <row r="164" spans="1:22" s="36" customFormat="1" ht="15.45" hidden="1" x14ac:dyDescent="0.35">
      <c r="A164" s="19" t="s">
        <v>99</v>
      </c>
      <c r="B164" s="9">
        <v>45838</v>
      </c>
      <c r="C164" s="14" t="s">
        <v>2440</v>
      </c>
      <c r="D164" s="10" t="s">
        <v>2441</v>
      </c>
      <c r="E164" s="9">
        <v>45833</v>
      </c>
      <c r="F164" s="10" t="s">
        <v>64</v>
      </c>
      <c r="G164" s="10" t="s">
        <v>237</v>
      </c>
      <c r="H164" s="10" t="s">
        <v>23</v>
      </c>
      <c r="I164" s="10" t="s">
        <v>887</v>
      </c>
      <c r="J164" s="50" t="s">
        <v>2592</v>
      </c>
      <c r="K164" s="10" t="s">
        <v>1</v>
      </c>
      <c r="L164" s="12">
        <f t="shared" si="21"/>
        <v>300</v>
      </c>
      <c r="M164" s="12">
        <v>47500</v>
      </c>
      <c r="N164" s="12">
        <v>0</v>
      </c>
      <c r="O164" s="11">
        <v>14250000</v>
      </c>
      <c r="P164" s="11">
        <f t="shared" si="20"/>
        <v>14250000</v>
      </c>
      <c r="Q164" s="11">
        <v>1567500</v>
      </c>
      <c r="R164" s="11"/>
      <c r="S164" s="11">
        <v>0</v>
      </c>
      <c r="T164" s="11">
        <f t="shared" si="22"/>
        <v>15817500</v>
      </c>
      <c r="U164" s="42">
        <v>300</v>
      </c>
      <c r="V164" s="36" t="s">
        <v>2591</v>
      </c>
    </row>
    <row r="165" spans="1:22" s="36" customFormat="1" ht="15.45" hidden="1" x14ac:dyDescent="0.35">
      <c r="A165" s="19" t="s">
        <v>692</v>
      </c>
      <c r="B165" s="9">
        <v>45838</v>
      </c>
      <c r="C165" s="14" t="s">
        <v>2442</v>
      </c>
      <c r="D165" s="10" t="s">
        <v>2443</v>
      </c>
      <c r="E165" s="9">
        <v>45834</v>
      </c>
      <c r="F165" s="10" t="s">
        <v>676</v>
      </c>
      <c r="G165" s="10" t="s">
        <v>1354</v>
      </c>
      <c r="H165" s="10" t="s">
        <v>24</v>
      </c>
      <c r="I165" s="10" t="s">
        <v>61</v>
      </c>
      <c r="J165" s="50" t="s">
        <v>2467</v>
      </c>
      <c r="K165" s="10" t="s">
        <v>3</v>
      </c>
      <c r="L165" s="12">
        <f t="shared" si="21"/>
        <v>40</v>
      </c>
      <c r="M165" s="12">
        <v>57300</v>
      </c>
      <c r="N165" s="12">
        <v>0</v>
      </c>
      <c r="O165" s="11">
        <v>2292000</v>
      </c>
      <c r="P165" s="11">
        <f t="shared" si="20"/>
        <v>2292000</v>
      </c>
      <c r="Q165" s="11">
        <v>252120</v>
      </c>
      <c r="R165" s="11"/>
      <c r="S165" s="11">
        <v>0</v>
      </c>
      <c r="T165" s="11">
        <f t="shared" si="22"/>
        <v>2544120</v>
      </c>
      <c r="U165" s="42">
        <v>40</v>
      </c>
    </row>
    <row r="166" spans="1:22" s="36" customFormat="1" ht="15.45" hidden="1" x14ac:dyDescent="0.35">
      <c r="A166" s="19" t="s">
        <v>161</v>
      </c>
      <c r="B166" s="9">
        <v>45824</v>
      </c>
      <c r="C166" s="14" t="s">
        <v>2447</v>
      </c>
      <c r="D166" s="10"/>
      <c r="E166" s="9"/>
      <c r="F166" s="23" t="s">
        <v>162</v>
      </c>
      <c r="G166" s="23" t="s">
        <v>2444</v>
      </c>
      <c r="H166" s="23" t="s">
        <v>163</v>
      </c>
      <c r="I166" s="23" t="s">
        <v>164</v>
      </c>
      <c r="J166" s="50" t="s">
        <v>2445</v>
      </c>
      <c r="K166" s="10" t="s">
        <v>165</v>
      </c>
      <c r="L166" s="12">
        <v>5</v>
      </c>
      <c r="M166" s="12">
        <v>4800000</v>
      </c>
      <c r="N166" s="12">
        <v>0</v>
      </c>
      <c r="O166" s="11">
        <f t="shared" ref="O166:O173" si="23">L166*M166</f>
        <v>24000000</v>
      </c>
      <c r="P166" s="11">
        <f t="shared" si="20"/>
        <v>24000000</v>
      </c>
      <c r="Q166" s="73">
        <f t="shared" ref="Q166:Q173" si="24">P166*0.11</f>
        <v>2640000</v>
      </c>
      <c r="R166" s="11">
        <f t="shared" ref="R166:R173" si="25">P166*2%</f>
        <v>480000</v>
      </c>
      <c r="S166" s="11">
        <v>0</v>
      </c>
      <c r="T166" s="11">
        <f>P166+Q166-S166-R166</f>
        <v>26160000</v>
      </c>
      <c r="U166" s="42"/>
    </row>
    <row r="167" spans="1:22" s="36" customFormat="1" ht="15.45" hidden="1" x14ac:dyDescent="0.35">
      <c r="A167" s="19" t="s">
        <v>768</v>
      </c>
      <c r="B167" s="9">
        <v>45834</v>
      </c>
      <c r="C167" s="14"/>
      <c r="D167" s="10"/>
      <c r="E167" s="9"/>
      <c r="F167" s="10" t="s">
        <v>1951</v>
      </c>
      <c r="G167" s="10" t="s">
        <v>596</v>
      </c>
      <c r="H167" s="23" t="s">
        <v>119</v>
      </c>
      <c r="I167" s="23" t="s">
        <v>120</v>
      </c>
      <c r="J167" s="50" t="s">
        <v>2446</v>
      </c>
      <c r="K167" s="10"/>
      <c r="L167" s="12">
        <v>1</v>
      </c>
      <c r="M167" s="12">
        <v>625000</v>
      </c>
      <c r="N167" s="12">
        <v>0</v>
      </c>
      <c r="O167" s="11">
        <f t="shared" si="23"/>
        <v>625000</v>
      </c>
      <c r="P167" s="11">
        <f>O167-62500</f>
        <v>562500</v>
      </c>
      <c r="Q167" s="73">
        <f t="shared" si="24"/>
        <v>61875</v>
      </c>
      <c r="R167" s="11">
        <f t="shared" si="25"/>
        <v>11250</v>
      </c>
      <c r="S167" s="11">
        <f>O167*-10%</f>
        <v>-62500</v>
      </c>
      <c r="T167" s="11">
        <f>P167+Q167-R167</f>
        <v>613125</v>
      </c>
      <c r="U167" s="42"/>
    </row>
    <row r="168" spans="1:22" s="36" customFormat="1" ht="15.45" hidden="1" x14ac:dyDescent="0.35">
      <c r="A168" s="19" t="s">
        <v>768</v>
      </c>
      <c r="B168" s="9">
        <v>45834</v>
      </c>
      <c r="C168" s="14"/>
      <c r="D168" s="10"/>
      <c r="E168" s="9"/>
      <c r="F168" s="10" t="s">
        <v>1951</v>
      </c>
      <c r="G168" s="10" t="s">
        <v>597</v>
      </c>
      <c r="H168" s="23" t="s">
        <v>119</v>
      </c>
      <c r="I168" s="23" t="s">
        <v>120</v>
      </c>
      <c r="J168" s="50" t="s">
        <v>2446</v>
      </c>
      <c r="K168" s="10"/>
      <c r="L168" s="12">
        <v>3</v>
      </c>
      <c r="M168" s="12">
        <v>1170000</v>
      </c>
      <c r="N168" s="12">
        <v>0</v>
      </c>
      <c r="O168" s="11">
        <f t="shared" si="23"/>
        <v>3510000</v>
      </c>
      <c r="P168" s="11">
        <f>O168-351000</f>
        <v>3159000</v>
      </c>
      <c r="Q168" s="73">
        <f t="shared" si="24"/>
        <v>347490</v>
      </c>
      <c r="R168" s="11">
        <f t="shared" si="25"/>
        <v>63180</v>
      </c>
      <c r="S168" s="11">
        <f>O168*-10%</f>
        <v>-351000</v>
      </c>
      <c r="T168" s="11">
        <f>P168+Q168-R168</f>
        <v>3443310</v>
      </c>
      <c r="U168" s="42"/>
    </row>
    <row r="169" spans="1:22" s="36" customFormat="1" ht="15.45" hidden="1" x14ac:dyDescent="0.35">
      <c r="A169" s="19" t="s">
        <v>768</v>
      </c>
      <c r="B169" s="9">
        <v>45834</v>
      </c>
      <c r="C169" s="14"/>
      <c r="D169" s="10"/>
      <c r="E169" s="9"/>
      <c r="F169" s="10" t="s">
        <v>1951</v>
      </c>
      <c r="G169" s="10" t="s">
        <v>598</v>
      </c>
      <c r="H169" s="23" t="s">
        <v>119</v>
      </c>
      <c r="I169" s="23" t="s">
        <v>120</v>
      </c>
      <c r="J169" s="50" t="s">
        <v>2446</v>
      </c>
      <c r="K169" s="10"/>
      <c r="L169" s="12">
        <v>2</v>
      </c>
      <c r="M169" s="12">
        <v>1950000</v>
      </c>
      <c r="N169" s="12">
        <v>0</v>
      </c>
      <c r="O169" s="11">
        <f t="shared" si="23"/>
        <v>3900000</v>
      </c>
      <c r="P169" s="11">
        <f>O169-390000</f>
        <v>3510000</v>
      </c>
      <c r="Q169" s="73">
        <f t="shared" si="24"/>
        <v>386100</v>
      </c>
      <c r="R169" s="11">
        <f t="shared" si="25"/>
        <v>70200</v>
      </c>
      <c r="S169" s="11">
        <f>O169*-10%</f>
        <v>-390000</v>
      </c>
      <c r="T169" s="11">
        <f>P169+Q169-R169</f>
        <v>3825900</v>
      </c>
      <c r="U169" s="42"/>
    </row>
    <row r="170" spans="1:22" s="36" customFormat="1" ht="15.45" hidden="1" x14ac:dyDescent="0.35">
      <c r="A170" s="19" t="s">
        <v>768</v>
      </c>
      <c r="B170" s="9">
        <v>45834</v>
      </c>
      <c r="C170" s="14"/>
      <c r="D170" s="10"/>
      <c r="E170" s="9"/>
      <c r="F170" s="10" t="s">
        <v>1951</v>
      </c>
      <c r="G170" s="10" t="s">
        <v>599</v>
      </c>
      <c r="H170" s="23" t="s">
        <v>119</v>
      </c>
      <c r="I170" s="23" t="s">
        <v>120</v>
      </c>
      <c r="J170" s="50" t="s">
        <v>2446</v>
      </c>
      <c r="K170" s="10"/>
      <c r="L170" s="12">
        <v>1</v>
      </c>
      <c r="M170" s="12">
        <v>1200000</v>
      </c>
      <c r="N170" s="12">
        <v>0</v>
      </c>
      <c r="O170" s="11">
        <f t="shared" si="23"/>
        <v>1200000</v>
      </c>
      <c r="P170" s="11">
        <f>O170</f>
        <v>1200000</v>
      </c>
      <c r="Q170" s="73">
        <f t="shared" si="24"/>
        <v>132000</v>
      </c>
      <c r="R170" s="11">
        <f t="shared" si="25"/>
        <v>24000</v>
      </c>
      <c r="S170" s="11"/>
      <c r="T170" s="11">
        <f>P170+Q170-R170</f>
        <v>1308000</v>
      </c>
      <c r="U170" s="42"/>
    </row>
    <row r="171" spans="1:22" s="36" customFormat="1" ht="15.45" hidden="1" x14ac:dyDescent="0.35">
      <c r="A171" s="19" t="s">
        <v>2456</v>
      </c>
      <c r="B171" s="9">
        <v>45826</v>
      </c>
      <c r="C171" s="93" t="s">
        <v>2448</v>
      </c>
      <c r="D171" s="10"/>
      <c r="E171" s="9"/>
      <c r="F171" s="23" t="s">
        <v>2449</v>
      </c>
      <c r="G171" s="23" t="s">
        <v>2452</v>
      </c>
      <c r="H171" s="23" t="s">
        <v>169</v>
      </c>
      <c r="I171" s="23" t="s">
        <v>192</v>
      </c>
      <c r="J171" s="50" t="s">
        <v>2460</v>
      </c>
      <c r="K171" s="10" t="s">
        <v>0</v>
      </c>
      <c r="L171" s="12">
        <v>494</v>
      </c>
      <c r="M171" s="12">
        <v>2500</v>
      </c>
      <c r="N171" s="12">
        <v>0</v>
      </c>
      <c r="O171" s="11">
        <f t="shared" si="23"/>
        <v>1235000</v>
      </c>
      <c r="P171" s="11">
        <f>O171</f>
        <v>1235000</v>
      </c>
      <c r="Q171" s="73">
        <f t="shared" si="24"/>
        <v>135850</v>
      </c>
      <c r="R171" s="11">
        <f t="shared" si="25"/>
        <v>24700</v>
      </c>
      <c r="S171" s="11">
        <v>0</v>
      </c>
      <c r="T171" s="11">
        <f>P171+Q171-S171-R171</f>
        <v>1346150</v>
      </c>
      <c r="U171" s="42">
        <v>36</v>
      </c>
    </row>
    <row r="172" spans="1:22" s="36" customFormat="1" ht="15.45" hidden="1" x14ac:dyDescent="0.35">
      <c r="A172" s="19" t="s">
        <v>2456</v>
      </c>
      <c r="B172" s="9">
        <v>45826</v>
      </c>
      <c r="C172" s="93" t="s">
        <v>2450</v>
      </c>
      <c r="D172" s="10"/>
      <c r="E172" s="9"/>
      <c r="F172" s="23" t="s">
        <v>2449</v>
      </c>
      <c r="G172" s="23" t="s">
        <v>2451</v>
      </c>
      <c r="H172" s="23" t="s">
        <v>169</v>
      </c>
      <c r="I172" s="23" t="s">
        <v>192</v>
      </c>
      <c r="J172" s="50" t="s">
        <v>2460</v>
      </c>
      <c r="K172" s="10" t="s">
        <v>0</v>
      </c>
      <c r="L172" s="12">
        <v>1295.83</v>
      </c>
      <c r="M172" s="12">
        <v>3000</v>
      </c>
      <c r="N172" s="12">
        <v>0</v>
      </c>
      <c r="O172" s="11">
        <f t="shared" si="23"/>
        <v>3887490</v>
      </c>
      <c r="P172" s="11">
        <f>O172</f>
        <v>3887490</v>
      </c>
      <c r="Q172" s="73">
        <f t="shared" si="24"/>
        <v>427623.9</v>
      </c>
      <c r="R172" s="11">
        <f t="shared" si="25"/>
        <v>77749.8</v>
      </c>
      <c r="S172" s="11">
        <v>0</v>
      </c>
      <c r="T172" s="11">
        <f>P172+Q172-S172-R172</f>
        <v>4237364.1000000006</v>
      </c>
      <c r="U172" s="42"/>
    </row>
    <row r="173" spans="1:22" s="36" customFormat="1" ht="15.45" hidden="1" x14ac:dyDescent="0.35">
      <c r="A173" s="19" t="s">
        <v>2456</v>
      </c>
      <c r="B173" s="9">
        <v>45826</v>
      </c>
      <c r="C173" s="93" t="s">
        <v>2453</v>
      </c>
      <c r="D173" s="10"/>
      <c r="E173" s="9"/>
      <c r="F173" s="23" t="s">
        <v>2449</v>
      </c>
      <c r="G173" s="23" t="s">
        <v>2454</v>
      </c>
      <c r="H173" s="23" t="s">
        <v>169</v>
      </c>
      <c r="I173" s="23" t="s">
        <v>192</v>
      </c>
      <c r="J173" s="50" t="s">
        <v>2460</v>
      </c>
      <c r="K173" s="10" t="s">
        <v>2455</v>
      </c>
      <c r="L173" s="12">
        <v>1</v>
      </c>
      <c r="M173" s="12">
        <v>2500000</v>
      </c>
      <c r="N173" s="12">
        <v>0</v>
      </c>
      <c r="O173" s="11">
        <f t="shared" si="23"/>
        <v>2500000</v>
      </c>
      <c r="P173" s="11">
        <f>O173</f>
        <v>2500000</v>
      </c>
      <c r="Q173" s="73">
        <f t="shared" si="24"/>
        <v>275000</v>
      </c>
      <c r="R173" s="11">
        <f t="shared" si="25"/>
        <v>50000</v>
      </c>
      <c r="S173" s="11">
        <v>0</v>
      </c>
      <c r="T173" s="11">
        <f>P173+Q173-S173-R173</f>
        <v>2725000</v>
      </c>
      <c r="U173" s="42"/>
    </row>
    <row r="174" spans="1:22" s="36" customFormat="1" ht="15.45" hidden="1" x14ac:dyDescent="0.35">
      <c r="A174" s="19" t="s">
        <v>2456</v>
      </c>
      <c r="B174" s="9">
        <v>45826</v>
      </c>
      <c r="C174" s="93"/>
      <c r="D174" s="10"/>
      <c r="E174" s="9"/>
      <c r="F174" s="23" t="s">
        <v>2449</v>
      </c>
      <c r="G174" s="23" t="s">
        <v>2459</v>
      </c>
      <c r="H174" s="23" t="s">
        <v>169</v>
      </c>
      <c r="I174" s="23" t="s">
        <v>192</v>
      </c>
      <c r="J174" s="50"/>
      <c r="K174" s="10"/>
      <c r="L174" s="12">
        <v>1</v>
      </c>
      <c r="M174" s="12">
        <v>5200000</v>
      </c>
      <c r="N174" s="12">
        <v>0</v>
      </c>
      <c r="O174" s="11">
        <f>L174*M174</f>
        <v>5200000</v>
      </c>
      <c r="P174" s="11">
        <f>O174</f>
        <v>5200000</v>
      </c>
      <c r="Q174" s="11"/>
      <c r="R174" s="11"/>
      <c r="S174" s="11">
        <v>0</v>
      </c>
      <c r="T174" s="11">
        <f>P174+Q174-S174-R174</f>
        <v>5200000</v>
      </c>
      <c r="U174" s="42"/>
    </row>
    <row r="180" spans="16:18" x14ac:dyDescent="0.4">
      <c r="P180" s="35" t="s">
        <v>2637</v>
      </c>
      <c r="Q180" s="56">
        <f>166122016.214-2464000</f>
        <v>163658016.21399999</v>
      </c>
      <c r="R180" s="57" t="s">
        <v>505</v>
      </c>
    </row>
    <row r="181" spans="16:18" x14ac:dyDescent="0.4">
      <c r="Q181" s="56">
        <v>164665394</v>
      </c>
      <c r="R181" s="57" t="s">
        <v>506</v>
      </c>
    </row>
    <row r="182" spans="16:18" x14ac:dyDescent="0.4">
      <c r="Q182" s="56">
        <v>308336193</v>
      </c>
      <c r="R182" s="57" t="s">
        <v>507</v>
      </c>
    </row>
    <row r="183" spans="16:18" x14ac:dyDescent="0.4">
      <c r="P183" s="60" t="s">
        <v>2645</v>
      </c>
      <c r="Q183" s="58">
        <f>Q180-Q181</f>
        <v>-1007377.7860000134</v>
      </c>
      <c r="R183" s="57" t="s">
        <v>508</v>
      </c>
    </row>
    <row r="184" spans="16:18" x14ac:dyDescent="0.4">
      <c r="Q184" s="58">
        <f>Q181-Q182</f>
        <v>-143670799</v>
      </c>
      <c r="R184" s="57" t="s">
        <v>509</v>
      </c>
    </row>
  </sheetData>
  <autoFilter ref="A7:W174" xr:uid="{891F78EC-49AE-4470-8B73-9F65F17181DA}">
    <filterColumn colId="5">
      <filters>
        <filter val="MULTIPRIMA INDO SEJAHTERA"/>
      </filters>
    </filterColumn>
  </autoFilter>
  <conditionalFormatting sqref="A8:A9">
    <cfRule type="duplicateValues" dxfId="561" priority="266"/>
  </conditionalFormatting>
  <conditionalFormatting sqref="A9">
    <cfRule type="duplicateValues" dxfId="560" priority="171"/>
  </conditionalFormatting>
  <conditionalFormatting sqref="A10">
    <cfRule type="duplicateValues" dxfId="559" priority="280"/>
  </conditionalFormatting>
  <conditionalFormatting sqref="A11">
    <cfRule type="duplicateValues" dxfId="558" priority="262"/>
  </conditionalFormatting>
  <conditionalFormatting sqref="A12">
    <cfRule type="duplicateValues" dxfId="557" priority="294"/>
  </conditionalFormatting>
  <conditionalFormatting sqref="A13">
    <cfRule type="duplicateValues" dxfId="556" priority="292"/>
  </conditionalFormatting>
  <conditionalFormatting sqref="A14">
    <cfRule type="duplicateValues" dxfId="555" priority="274"/>
  </conditionalFormatting>
  <conditionalFormatting sqref="A15">
    <cfRule type="duplicateValues" dxfId="554" priority="308"/>
  </conditionalFormatting>
  <conditionalFormatting sqref="A16">
    <cfRule type="duplicateValues" dxfId="553" priority="306"/>
  </conditionalFormatting>
  <conditionalFormatting sqref="A17">
    <cfRule type="duplicateValues" dxfId="552" priority="304"/>
  </conditionalFormatting>
  <conditionalFormatting sqref="A18">
    <cfRule type="duplicateValues" dxfId="551" priority="284"/>
  </conditionalFormatting>
  <conditionalFormatting sqref="A19">
    <cfRule type="duplicateValues" dxfId="550" priority="298"/>
  </conditionalFormatting>
  <conditionalFormatting sqref="A20">
    <cfRule type="duplicateValues" dxfId="549" priority="296"/>
  </conditionalFormatting>
  <conditionalFormatting sqref="A21">
    <cfRule type="duplicateValues" dxfId="548" priority="264"/>
  </conditionalFormatting>
  <conditionalFormatting sqref="A22">
    <cfRule type="duplicateValues" dxfId="547" priority="290"/>
  </conditionalFormatting>
  <conditionalFormatting sqref="A23">
    <cfRule type="duplicateValues" dxfId="546" priority="288"/>
  </conditionalFormatting>
  <conditionalFormatting sqref="A24">
    <cfRule type="duplicateValues" dxfId="545" priority="286"/>
  </conditionalFormatting>
  <conditionalFormatting sqref="A25">
    <cfRule type="duplicateValues" dxfId="544" priority="270"/>
  </conditionalFormatting>
  <conditionalFormatting sqref="A26">
    <cfRule type="duplicateValues" dxfId="543" priority="272"/>
  </conditionalFormatting>
  <conditionalFormatting sqref="A27">
    <cfRule type="duplicateValues" dxfId="542" priority="276"/>
  </conditionalFormatting>
  <conditionalFormatting sqref="A28">
    <cfRule type="duplicateValues" dxfId="541" priority="278"/>
  </conditionalFormatting>
  <conditionalFormatting sqref="A29">
    <cfRule type="duplicateValues" dxfId="540" priority="302"/>
  </conditionalFormatting>
  <conditionalFormatting sqref="A30">
    <cfRule type="duplicateValues" dxfId="539" priority="300"/>
  </conditionalFormatting>
  <conditionalFormatting sqref="A31">
    <cfRule type="duplicateValues" dxfId="538" priority="282"/>
  </conditionalFormatting>
  <conditionalFormatting sqref="A32">
    <cfRule type="duplicateValues" dxfId="537" priority="268"/>
  </conditionalFormatting>
  <conditionalFormatting sqref="A33">
    <cfRule type="duplicateValues" dxfId="536" priority="258"/>
  </conditionalFormatting>
  <conditionalFormatting sqref="A34">
    <cfRule type="duplicateValues" dxfId="535" priority="188"/>
  </conditionalFormatting>
  <conditionalFormatting sqref="A35">
    <cfRule type="duplicateValues" dxfId="534" priority="228"/>
  </conditionalFormatting>
  <conditionalFormatting sqref="A36">
    <cfRule type="duplicateValues" dxfId="533" priority="210"/>
  </conditionalFormatting>
  <conditionalFormatting sqref="A37">
    <cfRule type="duplicateValues" dxfId="532" priority="250"/>
  </conditionalFormatting>
  <conditionalFormatting sqref="A38">
    <cfRule type="duplicateValues" dxfId="531" priority="256"/>
  </conditionalFormatting>
  <conditionalFormatting sqref="A39">
    <cfRule type="duplicateValues" dxfId="530" priority="220"/>
  </conditionalFormatting>
  <conditionalFormatting sqref="A40">
    <cfRule type="duplicateValues" dxfId="529" priority="222"/>
  </conditionalFormatting>
  <conditionalFormatting sqref="A41">
    <cfRule type="duplicateValues" dxfId="528" priority="226"/>
  </conditionalFormatting>
  <conditionalFormatting sqref="A42">
    <cfRule type="duplicateValues" dxfId="527" priority="180"/>
  </conditionalFormatting>
  <conditionalFormatting sqref="A43">
    <cfRule type="duplicateValues" dxfId="526" priority="218"/>
  </conditionalFormatting>
  <conditionalFormatting sqref="A44">
    <cfRule type="duplicateValues" dxfId="525" priority="208"/>
  </conditionalFormatting>
  <conditionalFormatting sqref="A45">
    <cfRule type="duplicateValues" dxfId="524" priority="190"/>
  </conditionalFormatting>
  <conditionalFormatting sqref="A46">
    <cfRule type="duplicateValues" dxfId="523" priority="206"/>
  </conditionalFormatting>
  <conditionalFormatting sqref="A47">
    <cfRule type="duplicateValues" dxfId="522" priority="178"/>
  </conditionalFormatting>
  <conditionalFormatting sqref="A48">
    <cfRule type="duplicateValues" dxfId="521" priority="176"/>
  </conditionalFormatting>
  <conditionalFormatting sqref="A49">
    <cfRule type="duplicateValues" dxfId="520" priority="174"/>
  </conditionalFormatting>
  <conditionalFormatting sqref="A50">
    <cfRule type="duplicateValues" dxfId="519" priority="184"/>
  </conditionalFormatting>
  <conditionalFormatting sqref="A51">
    <cfRule type="duplicateValues" dxfId="518" priority="182"/>
  </conditionalFormatting>
  <conditionalFormatting sqref="A52">
    <cfRule type="duplicateValues" dxfId="517" priority="244"/>
  </conditionalFormatting>
  <conditionalFormatting sqref="A53">
    <cfRule type="duplicateValues" dxfId="516" priority="242"/>
  </conditionalFormatting>
  <conditionalFormatting sqref="A54">
    <cfRule type="duplicateValues" dxfId="515" priority="240"/>
  </conditionalFormatting>
  <conditionalFormatting sqref="A55">
    <cfRule type="duplicateValues" dxfId="514" priority="238"/>
  </conditionalFormatting>
  <conditionalFormatting sqref="A56">
    <cfRule type="duplicateValues" dxfId="513" priority="236"/>
  </conditionalFormatting>
  <conditionalFormatting sqref="A57">
    <cfRule type="duplicateValues" dxfId="512" priority="234"/>
  </conditionalFormatting>
  <conditionalFormatting sqref="A58">
    <cfRule type="duplicateValues" dxfId="511" priority="232"/>
  </conditionalFormatting>
  <conditionalFormatting sqref="A59">
    <cfRule type="duplicateValues" dxfId="510" priority="230"/>
  </conditionalFormatting>
  <conditionalFormatting sqref="A60">
    <cfRule type="duplicateValues" dxfId="509" priority="204"/>
  </conditionalFormatting>
  <conditionalFormatting sqref="A61">
    <cfRule type="duplicateValues" dxfId="508" priority="202"/>
  </conditionalFormatting>
  <conditionalFormatting sqref="A62">
    <cfRule type="duplicateValues" dxfId="507" priority="200"/>
  </conditionalFormatting>
  <conditionalFormatting sqref="A63">
    <cfRule type="duplicateValues" dxfId="506" priority="198"/>
  </conditionalFormatting>
  <conditionalFormatting sqref="A64">
    <cfRule type="duplicateValues" dxfId="505" priority="196"/>
  </conditionalFormatting>
  <conditionalFormatting sqref="A65">
    <cfRule type="duplicateValues" dxfId="504" priority="194"/>
  </conditionalFormatting>
  <conditionalFormatting sqref="A66">
    <cfRule type="duplicateValues" dxfId="503" priority="192"/>
  </conditionalFormatting>
  <conditionalFormatting sqref="A67">
    <cfRule type="duplicateValues" dxfId="502" priority="224"/>
  </conditionalFormatting>
  <conditionalFormatting sqref="A68">
    <cfRule type="duplicateValues" dxfId="501" priority="254"/>
  </conditionalFormatting>
  <conditionalFormatting sqref="A69">
    <cfRule type="duplicateValues" dxfId="500" priority="252"/>
  </conditionalFormatting>
  <conditionalFormatting sqref="A70">
    <cfRule type="duplicateValues" dxfId="499" priority="186"/>
  </conditionalFormatting>
  <conditionalFormatting sqref="A71">
    <cfRule type="duplicateValues" dxfId="498" priority="216"/>
  </conditionalFormatting>
  <conditionalFormatting sqref="A72">
    <cfRule type="duplicateValues" dxfId="497" priority="214"/>
  </conditionalFormatting>
  <conditionalFormatting sqref="A73">
    <cfRule type="duplicateValues" dxfId="496" priority="248"/>
  </conditionalFormatting>
  <conditionalFormatting sqref="A74">
    <cfRule type="duplicateValues" dxfId="495" priority="246"/>
  </conditionalFormatting>
  <conditionalFormatting sqref="A75">
    <cfRule type="duplicateValues" dxfId="494" priority="260"/>
  </conditionalFormatting>
  <conditionalFormatting sqref="A76">
    <cfRule type="duplicateValues" dxfId="493" priority="212"/>
  </conditionalFormatting>
  <conditionalFormatting sqref="A77">
    <cfRule type="duplicateValues" dxfId="492" priority="172"/>
  </conditionalFormatting>
  <conditionalFormatting sqref="A78">
    <cfRule type="duplicateValues" dxfId="491" priority="168"/>
  </conditionalFormatting>
  <conditionalFormatting sqref="A79">
    <cfRule type="duplicateValues" dxfId="490" priority="167"/>
  </conditionalFormatting>
  <conditionalFormatting sqref="A80">
    <cfRule type="duplicateValues" dxfId="489" priority="155"/>
  </conditionalFormatting>
  <conditionalFormatting sqref="A81">
    <cfRule type="duplicateValues" dxfId="488" priority="165"/>
  </conditionalFormatting>
  <conditionalFormatting sqref="A82">
    <cfRule type="duplicateValues" dxfId="487" priority="143"/>
  </conditionalFormatting>
  <conditionalFormatting sqref="A83">
    <cfRule type="duplicateValues" dxfId="486" priority="163"/>
  </conditionalFormatting>
  <conditionalFormatting sqref="A84">
    <cfRule type="duplicateValues" dxfId="485" priority="161"/>
  </conditionalFormatting>
  <conditionalFormatting sqref="A85">
    <cfRule type="duplicateValues" dxfId="484" priority="159"/>
  </conditionalFormatting>
  <conditionalFormatting sqref="A86">
    <cfRule type="duplicateValues" dxfId="483" priority="151"/>
  </conditionalFormatting>
  <conditionalFormatting sqref="A87">
    <cfRule type="duplicateValues" dxfId="482" priority="135"/>
  </conditionalFormatting>
  <conditionalFormatting sqref="A88">
    <cfRule type="duplicateValues" dxfId="481" priority="141"/>
  </conditionalFormatting>
  <conditionalFormatting sqref="A89">
    <cfRule type="duplicateValues" dxfId="480" priority="139"/>
  </conditionalFormatting>
  <conditionalFormatting sqref="A90">
    <cfRule type="duplicateValues" dxfId="479" priority="149"/>
  </conditionalFormatting>
  <conditionalFormatting sqref="A91">
    <cfRule type="duplicateValues" dxfId="478" priority="147"/>
  </conditionalFormatting>
  <conditionalFormatting sqref="A92">
    <cfRule type="duplicateValues" dxfId="477" priority="145"/>
  </conditionalFormatting>
  <conditionalFormatting sqref="A93">
    <cfRule type="duplicateValues" dxfId="476" priority="137"/>
  </conditionalFormatting>
  <conditionalFormatting sqref="A94">
    <cfRule type="duplicateValues" dxfId="475" priority="153"/>
  </conditionalFormatting>
  <conditionalFormatting sqref="A95">
    <cfRule type="duplicateValues" dxfId="474" priority="157"/>
  </conditionalFormatting>
  <conditionalFormatting sqref="A96">
    <cfRule type="duplicateValues" dxfId="473" priority="133"/>
  </conditionalFormatting>
  <conditionalFormatting sqref="A97">
    <cfRule type="duplicateValues" dxfId="472" priority="132"/>
  </conditionalFormatting>
  <conditionalFormatting sqref="A98">
    <cfRule type="duplicateValues" dxfId="471" priority="129"/>
  </conditionalFormatting>
  <conditionalFormatting sqref="A99">
    <cfRule type="duplicateValues" dxfId="470" priority="131"/>
  </conditionalFormatting>
  <conditionalFormatting sqref="A100">
    <cfRule type="duplicateValues" dxfId="469" priority="130"/>
  </conditionalFormatting>
  <conditionalFormatting sqref="A101">
    <cfRule type="duplicateValues" dxfId="468" priority="128"/>
  </conditionalFormatting>
  <conditionalFormatting sqref="A102">
    <cfRule type="duplicateValues" dxfId="467" priority="127"/>
  </conditionalFormatting>
  <conditionalFormatting sqref="A103">
    <cfRule type="duplicateValues" dxfId="466" priority="126"/>
  </conditionalFormatting>
  <conditionalFormatting sqref="A104:A107">
    <cfRule type="duplicateValues" dxfId="465" priority="125"/>
  </conditionalFormatting>
  <conditionalFormatting sqref="A108">
    <cfRule type="duplicateValues" dxfId="464" priority="100"/>
  </conditionalFormatting>
  <conditionalFormatting sqref="A109">
    <cfRule type="duplicateValues" dxfId="463" priority="112"/>
  </conditionalFormatting>
  <conditionalFormatting sqref="A110">
    <cfRule type="duplicateValues" dxfId="462" priority="110"/>
  </conditionalFormatting>
  <conditionalFormatting sqref="A111">
    <cfRule type="duplicateValues" dxfId="461" priority="96"/>
  </conditionalFormatting>
  <conditionalFormatting sqref="A112">
    <cfRule type="duplicateValues" dxfId="460" priority="114"/>
  </conditionalFormatting>
  <conditionalFormatting sqref="A113">
    <cfRule type="duplicateValues" dxfId="459" priority="120"/>
  </conditionalFormatting>
  <conditionalFormatting sqref="A114">
    <cfRule type="duplicateValues" dxfId="458" priority="118"/>
  </conditionalFormatting>
  <conditionalFormatting sqref="A115">
    <cfRule type="duplicateValues" dxfId="457" priority="116"/>
  </conditionalFormatting>
  <conditionalFormatting sqref="A116">
    <cfRule type="duplicateValues" dxfId="456" priority="104"/>
  </conditionalFormatting>
  <conditionalFormatting sqref="A117">
    <cfRule type="duplicateValues" dxfId="455" priority="98"/>
  </conditionalFormatting>
  <conditionalFormatting sqref="A118">
    <cfRule type="duplicateValues" dxfId="454" priority="124"/>
  </conditionalFormatting>
  <conditionalFormatting sqref="A119">
    <cfRule type="duplicateValues" dxfId="453" priority="108"/>
  </conditionalFormatting>
  <conditionalFormatting sqref="A120">
    <cfRule type="duplicateValues" dxfId="452" priority="106"/>
  </conditionalFormatting>
  <conditionalFormatting sqref="A121">
    <cfRule type="duplicateValues" dxfId="451" priority="102"/>
  </conditionalFormatting>
  <conditionalFormatting sqref="A122">
    <cfRule type="duplicateValues" dxfId="450" priority="122"/>
  </conditionalFormatting>
  <conditionalFormatting sqref="A123">
    <cfRule type="duplicateValues" dxfId="449" priority="94"/>
  </conditionalFormatting>
  <conditionalFormatting sqref="A124">
    <cfRule type="duplicateValues" dxfId="448" priority="92"/>
  </conditionalFormatting>
  <conditionalFormatting sqref="A125">
    <cfRule type="duplicateValues" dxfId="447" priority="90"/>
  </conditionalFormatting>
  <conditionalFormatting sqref="A126">
    <cfRule type="duplicateValues" dxfId="446" priority="88"/>
  </conditionalFormatting>
  <conditionalFormatting sqref="A127">
    <cfRule type="duplicateValues" dxfId="445" priority="86"/>
  </conditionalFormatting>
  <conditionalFormatting sqref="A128:A129">
    <cfRule type="duplicateValues" dxfId="444" priority="84"/>
  </conditionalFormatting>
  <conditionalFormatting sqref="A130">
    <cfRule type="duplicateValues" dxfId="443" priority="83"/>
  </conditionalFormatting>
  <conditionalFormatting sqref="A131">
    <cfRule type="duplicateValues" dxfId="442" priority="68"/>
  </conditionalFormatting>
  <conditionalFormatting sqref="A132">
    <cfRule type="duplicateValues" dxfId="441" priority="66"/>
  </conditionalFormatting>
  <conditionalFormatting sqref="A133">
    <cfRule type="duplicateValues" dxfId="440" priority="64"/>
  </conditionalFormatting>
  <conditionalFormatting sqref="A134">
    <cfRule type="duplicateValues" dxfId="439" priority="50"/>
  </conditionalFormatting>
  <conditionalFormatting sqref="A135">
    <cfRule type="duplicateValues" dxfId="438" priority="52"/>
  </conditionalFormatting>
  <conditionalFormatting sqref="A136">
    <cfRule type="duplicateValues" dxfId="437" priority="78"/>
  </conditionalFormatting>
  <conditionalFormatting sqref="A137">
    <cfRule type="duplicateValues" dxfId="436" priority="76"/>
  </conditionalFormatting>
  <conditionalFormatting sqref="A138">
    <cfRule type="duplicateValues" dxfId="435" priority="74"/>
  </conditionalFormatting>
  <conditionalFormatting sqref="A139">
    <cfRule type="duplicateValues" dxfId="434" priority="72"/>
  </conditionalFormatting>
  <conditionalFormatting sqref="A140">
    <cfRule type="duplicateValues" dxfId="433" priority="70"/>
  </conditionalFormatting>
  <conditionalFormatting sqref="A141">
    <cfRule type="duplicateValues" dxfId="432" priority="82"/>
  </conditionalFormatting>
  <conditionalFormatting sqref="A142">
    <cfRule type="duplicateValues" dxfId="431" priority="62"/>
  </conditionalFormatting>
  <conditionalFormatting sqref="A143">
    <cfRule type="duplicateValues" dxfId="430" priority="60"/>
  </conditionalFormatting>
  <conditionalFormatting sqref="A144">
    <cfRule type="duplicateValues" dxfId="429" priority="54"/>
  </conditionalFormatting>
  <conditionalFormatting sqref="A145">
    <cfRule type="duplicateValues" dxfId="428" priority="80"/>
  </conditionalFormatting>
  <conditionalFormatting sqref="A146">
    <cfRule type="duplicateValues" dxfId="427" priority="58"/>
  </conditionalFormatting>
  <conditionalFormatting sqref="A147">
    <cfRule type="duplicateValues" dxfId="426" priority="56"/>
  </conditionalFormatting>
  <conditionalFormatting sqref="A148">
    <cfRule type="duplicateValues" dxfId="425" priority="46"/>
  </conditionalFormatting>
  <conditionalFormatting sqref="A149:A150">
    <cfRule type="duplicateValues" dxfId="424" priority="44"/>
  </conditionalFormatting>
  <conditionalFormatting sqref="A151">
    <cfRule type="duplicateValues" dxfId="423" priority="43"/>
  </conditionalFormatting>
  <conditionalFormatting sqref="A152">
    <cfRule type="duplicateValues" dxfId="422" priority="40"/>
  </conditionalFormatting>
  <conditionalFormatting sqref="A153">
    <cfRule type="duplicateValues" dxfId="421" priority="14"/>
  </conditionalFormatting>
  <conditionalFormatting sqref="A154">
    <cfRule type="duplicateValues" dxfId="420" priority="38"/>
  </conditionalFormatting>
  <conditionalFormatting sqref="A155">
    <cfRule type="duplicateValues" dxfId="419" priority="36"/>
  </conditionalFormatting>
  <conditionalFormatting sqref="A156">
    <cfRule type="duplicateValues" dxfId="418" priority="16"/>
  </conditionalFormatting>
  <conditionalFormatting sqref="A157">
    <cfRule type="duplicateValues" dxfId="417" priority="24"/>
  </conditionalFormatting>
  <conditionalFormatting sqref="A158">
    <cfRule type="duplicateValues" dxfId="416" priority="22"/>
  </conditionalFormatting>
  <conditionalFormatting sqref="A159">
    <cfRule type="duplicateValues" dxfId="415" priority="20"/>
  </conditionalFormatting>
  <conditionalFormatting sqref="A160">
    <cfRule type="duplicateValues" dxfId="414" priority="18"/>
  </conditionalFormatting>
  <conditionalFormatting sqref="A161">
    <cfRule type="duplicateValues" dxfId="413" priority="26"/>
  </conditionalFormatting>
  <conditionalFormatting sqref="A162">
    <cfRule type="duplicateValues" dxfId="412" priority="34"/>
  </conditionalFormatting>
  <conditionalFormatting sqref="A163">
    <cfRule type="duplicateValues" dxfId="411" priority="32"/>
  </conditionalFormatting>
  <conditionalFormatting sqref="A164">
    <cfRule type="duplicateValues" dxfId="410" priority="30"/>
  </conditionalFormatting>
  <conditionalFormatting sqref="A165">
    <cfRule type="duplicateValues" dxfId="409" priority="28"/>
  </conditionalFormatting>
  <conditionalFormatting sqref="A166">
    <cfRule type="duplicateValues" dxfId="408" priority="42"/>
  </conditionalFormatting>
  <conditionalFormatting sqref="A167">
    <cfRule type="duplicateValues" dxfId="407" priority="11"/>
  </conditionalFormatting>
  <conditionalFormatting sqref="A167:A170">
    <cfRule type="duplicateValues" dxfId="406" priority="479"/>
  </conditionalFormatting>
  <conditionalFormatting sqref="A168">
    <cfRule type="duplicateValues" dxfId="405" priority="10"/>
  </conditionalFormatting>
  <conditionalFormatting sqref="A169">
    <cfRule type="duplicateValues" dxfId="404" priority="9"/>
  </conditionalFormatting>
  <conditionalFormatting sqref="A170">
    <cfRule type="duplicateValues" dxfId="403" priority="7"/>
  </conditionalFormatting>
  <conditionalFormatting sqref="A171">
    <cfRule type="duplicateValues" dxfId="402" priority="6"/>
  </conditionalFormatting>
  <conditionalFormatting sqref="A172">
    <cfRule type="duplicateValues" dxfId="401" priority="5"/>
  </conditionalFormatting>
  <conditionalFormatting sqref="A173:A174">
    <cfRule type="duplicateValues" dxfId="400" priority="643"/>
  </conditionalFormatting>
  <conditionalFormatting sqref="B9">
    <cfRule type="duplicateValues" dxfId="399" priority="170"/>
  </conditionalFormatting>
  <conditionalFormatting sqref="B166">
    <cfRule type="duplicateValues" dxfId="398" priority="4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DBBF-4C3E-4716-93CE-D0A2E64A7949}">
  <sheetPr filterMode="1"/>
  <dimension ref="A1:W181"/>
  <sheetViews>
    <sheetView topLeftCell="A2" workbookViewId="0">
      <pane ySplit="6" topLeftCell="A38" activePane="bottomLeft" state="frozen"/>
      <selection activeCell="A2" sqref="A2"/>
      <selection pane="bottomLeft" activeCell="J179" sqref="J179"/>
    </sheetView>
  </sheetViews>
  <sheetFormatPr defaultColWidth="9.15234375" defaultRowHeight="14.6" x14ac:dyDescent="0.4"/>
  <cols>
    <col min="1" max="1" width="17.23046875" style="35" bestFit="1" customWidth="1"/>
    <col min="2" max="2" width="77.3828125" style="35" bestFit="1" customWidth="1"/>
    <col min="3" max="3" width="19" style="35" bestFit="1" customWidth="1"/>
    <col min="4" max="4" width="10.921875" style="35" bestFit="1" customWidth="1"/>
    <col min="5" max="5" width="10.765625" style="35" bestFit="1" customWidth="1"/>
    <col min="6" max="6" width="30.23046875" style="35" bestFit="1" customWidth="1"/>
    <col min="7" max="7" width="38.61328125" style="35" bestFit="1" customWidth="1"/>
    <col min="8" max="8" width="10.84375" style="35" bestFit="1" customWidth="1"/>
    <col min="9" max="9" width="28.69140625" style="35" bestFit="1" customWidth="1"/>
    <col min="10" max="10" width="16.4609375" style="35" bestFit="1" customWidth="1"/>
    <col min="11" max="11" width="11.15234375" style="35" bestFit="1" customWidth="1"/>
    <col min="12" max="12" width="8.3046875" style="35" bestFit="1" customWidth="1"/>
    <col min="13" max="13" width="13.69140625" style="35" bestFit="1" customWidth="1"/>
    <col min="14" max="14" width="9.23046875" style="35" bestFit="1" customWidth="1"/>
    <col min="15" max="15" width="11.921875" style="116" bestFit="1" customWidth="1"/>
    <col min="16" max="16" width="28.69140625" style="116" bestFit="1" customWidth="1"/>
    <col min="17" max="17" width="12.15234375" style="116" bestFit="1" customWidth="1"/>
    <col min="18" max="18" width="23.84375" style="116" bestFit="1" customWidth="1"/>
    <col min="19" max="19" width="9.07421875" style="116" bestFit="1" customWidth="1"/>
    <col min="20" max="20" width="16.23046875" style="116" bestFit="1" customWidth="1"/>
    <col min="21" max="21" width="13.3046875" style="35" bestFit="1" customWidth="1"/>
    <col min="22" max="16384" width="9.15234375" style="35"/>
  </cols>
  <sheetData>
    <row r="1" spans="1:21" x14ac:dyDescent="0.4">
      <c r="B1" s="1" t="s">
        <v>75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04"/>
      <c r="P1" s="104"/>
      <c r="Q1" s="104"/>
      <c r="R1" s="104"/>
      <c r="S1" s="104"/>
      <c r="T1" s="104"/>
      <c r="U1" s="2"/>
    </row>
    <row r="2" spans="1:21" x14ac:dyDescent="0.4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04"/>
      <c r="P2" s="104"/>
      <c r="Q2" s="104"/>
      <c r="R2" s="104"/>
      <c r="S2" s="104"/>
      <c r="T2" s="104"/>
      <c r="U2" s="2"/>
    </row>
    <row r="3" spans="1:21" s="36" customFormat="1" ht="17.600000000000001" x14ac:dyDescent="0.4">
      <c r="B3" s="13" t="s">
        <v>92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05"/>
      <c r="P3" s="105"/>
      <c r="Q3" s="105"/>
      <c r="R3" s="105"/>
      <c r="S3" s="105"/>
      <c r="T3" s="105"/>
      <c r="U3" s="13"/>
    </row>
    <row r="4" spans="1:21" s="36" customFormat="1" ht="12.9" x14ac:dyDescent="0.35">
      <c r="B4" s="3" t="s">
        <v>30</v>
      </c>
      <c r="C4" s="37" t="s">
        <v>2644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06"/>
      <c r="P4" s="106"/>
      <c r="Q4" s="106"/>
      <c r="R4" s="106"/>
      <c r="S4" s="106"/>
      <c r="T4" s="106"/>
      <c r="U4" s="5"/>
    </row>
    <row r="5" spans="1:21" s="36" customFormat="1" ht="12.9" x14ac:dyDescent="0.35">
      <c r="B5" s="3" t="s">
        <v>171</v>
      </c>
      <c r="C5" s="37" t="s">
        <v>172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107"/>
      <c r="P5" s="107"/>
      <c r="Q5" s="108"/>
      <c r="R5" s="108"/>
      <c r="S5" s="107"/>
      <c r="T5" s="107"/>
      <c r="U5" s="4"/>
    </row>
    <row r="6" spans="1:21" s="36" customFormat="1" ht="12.9" x14ac:dyDescent="0.35">
      <c r="B6" s="15" t="s">
        <v>62</v>
      </c>
      <c r="C6" s="7"/>
      <c r="D6" s="38"/>
      <c r="E6" s="3"/>
      <c r="F6" s="8"/>
      <c r="G6" s="3"/>
      <c r="H6" s="3"/>
      <c r="I6" s="3"/>
      <c r="J6" s="3"/>
      <c r="K6" s="3"/>
      <c r="L6" s="3">
        <f>SUBTOTAL(9,L32:L169)</f>
        <v>180730</v>
      </c>
      <c r="M6" s="3"/>
      <c r="N6" s="3"/>
      <c r="O6" s="109">
        <f t="shared" ref="O6:T6" si="0">SUBTOTAL(9,O8:O173)</f>
        <v>275613250</v>
      </c>
      <c r="P6" s="109">
        <f t="shared" si="0"/>
        <v>275613250</v>
      </c>
      <c r="Q6" s="109">
        <f t="shared" si="0"/>
        <v>30317457.5</v>
      </c>
      <c r="R6" s="109">
        <f t="shared" si="0"/>
        <v>4134198.75</v>
      </c>
      <c r="S6" s="109">
        <f t="shared" si="0"/>
        <v>0</v>
      </c>
      <c r="T6" s="109">
        <f t="shared" si="0"/>
        <v>301796508.75</v>
      </c>
      <c r="U6" s="3"/>
    </row>
    <row r="7" spans="1:21" s="36" customFormat="1" ht="24" customHeight="1" x14ac:dyDescent="0.35">
      <c r="A7" s="18" t="s">
        <v>95</v>
      </c>
      <c r="B7" s="40" t="s">
        <v>31</v>
      </c>
      <c r="C7" s="41" t="s">
        <v>32</v>
      </c>
      <c r="D7" s="39" t="s">
        <v>17</v>
      </c>
      <c r="E7" s="39" t="s">
        <v>22</v>
      </c>
      <c r="F7" s="40" t="s">
        <v>33</v>
      </c>
      <c r="G7" s="40" t="s">
        <v>38</v>
      </c>
      <c r="H7" s="40" t="s">
        <v>20</v>
      </c>
      <c r="I7" s="40" t="s">
        <v>28</v>
      </c>
      <c r="J7" s="40" t="s">
        <v>94</v>
      </c>
      <c r="K7" s="40" t="s">
        <v>21</v>
      </c>
      <c r="L7" s="40" t="s">
        <v>9</v>
      </c>
      <c r="M7" s="40" t="s">
        <v>34</v>
      </c>
      <c r="N7" s="40" t="s">
        <v>13</v>
      </c>
      <c r="O7" s="110" t="s">
        <v>18</v>
      </c>
      <c r="P7" s="110" t="s">
        <v>2</v>
      </c>
      <c r="Q7" s="111" t="s">
        <v>7</v>
      </c>
      <c r="R7" s="111" t="s">
        <v>93</v>
      </c>
      <c r="S7" s="111" t="s">
        <v>14</v>
      </c>
      <c r="T7" s="111" t="s">
        <v>37</v>
      </c>
      <c r="U7" s="16"/>
    </row>
    <row r="8" spans="1:21" s="36" customFormat="1" ht="15.45" hidden="1" x14ac:dyDescent="0.35">
      <c r="A8" s="19" t="s">
        <v>2456</v>
      </c>
      <c r="B8" s="9">
        <v>45826</v>
      </c>
      <c r="C8" s="93" t="s">
        <v>2757</v>
      </c>
      <c r="D8" s="10"/>
      <c r="E8" s="9"/>
      <c r="F8" s="23" t="s">
        <v>2449</v>
      </c>
      <c r="G8" s="23" t="s">
        <v>2758</v>
      </c>
      <c r="H8" s="23" t="s">
        <v>169</v>
      </c>
      <c r="I8" s="23" t="s">
        <v>192</v>
      </c>
      <c r="J8" s="50"/>
      <c r="K8" s="10" t="s">
        <v>2455</v>
      </c>
      <c r="L8" s="12">
        <v>1.5</v>
      </c>
      <c r="M8" s="12">
        <v>300000</v>
      </c>
      <c r="N8" s="12">
        <v>0</v>
      </c>
      <c r="O8" s="112">
        <f t="shared" ref="O8:O30" si="1">L8*M8</f>
        <v>450000</v>
      </c>
      <c r="P8" s="112">
        <f t="shared" ref="P8:P39" si="2">O8</f>
        <v>450000</v>
      </c>
      <c r="Q8" s="112">
        <f>P8*0.11</f>
        <v>49500</v>
      </c>
      <c r="R8" s="112">
        <f>P8*2%</f>
        <v>9000</v>
      </c>
      <c r="S8" s="112">
        <v>0</v>
      </c>
      <c r="T8" s="112">
        <f t="shared" ref="T8:T30" si="3">P8+Q8-S8-R8</f>
        <v>490500</v>
      </c>
      <c r="U8" s="42"/>
    </row>
    <row r="9" spans="1:21" s="36" customFormat="1" ht="15.45" hidden="1" x14ac:dyDescent="0.35">
      <c r="A9" s="19" t="s">
        <v>2456</v>
      </c>
      <c r="B9" s="9">
        <v>45840</v>
      </c>
      <c r="C9" s="93" t="s">
        <v>2754</v>
      </c>
      <c r="D9" s="10"/>
      <c r="E9" s="9"/>
      <c r="F9" s="23" t="s">
        <v>2449</v>
      </c>
      <c r="G9" s="23" t="s">
        <v>2758</v>
      </c>
      <c r="H9" s="23" t="s">
        <v>169</v>
      </c>
      <c r="I9" s="23" t="s">
        <v>192</v>
      </c>
      <c r="J9" s="50"/>
      <c r="K9" s="10" t="s">
        <v>2455</v>
      </c>
      <c r="L9" s="12">
        <v>2.5</v>
      </c>
      <c r="M9" s="12">
        <v>300000</v>
      </c>
      <c r="N9" s="12">
        <v>0</v>
      </c>
      <c r="O9" s="112">
        <f t="shared" si="1"/>
        <v>750000</v>
      </c>
      <c r="P9" s="112">
        <f t="shared" si="2"/>
        <v>750000</v>
      </c>
      <c r="Q9" s="112">
        <f>P9*0.11</f>
        <v>82500</v>
      </c>
      <c r="R9" s="112">
        <f>P9*2%</f>
        <v>15000</v>
      </c>
      <c r="S9" s="112">
        <v>0</v>
      </c>
      <c r="T9" s="112">
        <f t="shared" si="3"/>
        <v>817500</v>
      </c>
      <c r="U9" s="42">
        <v>36</v>
      </c>
    </row>
    <row r="10" spans="1:21" s="36" customFormat="1" ht="15.45" hidden="1" x14ac:dyDescent="0.35">
      <c r="A10" s="19" t="s">
        <v>2456</v>
      </c>
      <c r="B10" s="9">
        <v>45840</v>
      </c>
      <c r="C10" s="93" t="s">
        <v>2755</v>
      </c>
      <c r="D10" s="10"/>
      <c r="E10" s="9"/>
      <c r="F10" s="23" t="s">
        <v>2449</v>
      </c>
      <c r="G10" s="23" t="s">
        <v>2451</v>
      </c>
      <c r="H10" s="23" t="s">
        <v>169</v>
      </c>
      <c r="I10" s="23" t="s">
        <v>192</v>
      </c>
      <c r="J10" s="50"/>
      <c r="K10" s="10" t="s">
        <v>0</v>
      </c>
      <c r="L10" s="12">
        <v>1331.27</v>
      </c>
      <c r="M10" s="12">
        <v>3000</v>
      </c>
      <c r="N10" s="12">
        <v>0</v>
      </c>
      <c r="O10" s="112">
        <f t="shared" si="1"/>
        <v>3993810</v>
      </c>
      <c r="P10" s="112">
        <f t="shared" si="2"/>
        <v>3993810</v>
      </c>
      <c r="Q10" s="112">
        <f>P10*0.11</f>
        <v>439319.1</v>
      </c>
      <c r="R10" s="112">
        <f>P10*2%</f>
        <v>79876.2</v>
      </c>
      <c r="S10" s="112">
        <v>0</v>
      </c>
      <c r="T10" s="112">
        <f t="shared" si="3"/>
        <v>4353252.8999999994</v>
      </c>
      <c r="U10" s="42"/>
    </row>
    <row r="11" spans="1:21" s="36" customFormat="1" ht="15.45" hidden="1" x14ac:dyDescent="0.35">
      <c r="A11" s="19" t="s">
        <v>2456</v>
      </c>
      <c r="B11" s="9">
        <v>45840</v>
      </c>
      <c r="C11" s="93" t="s">
        <v>2756</v>
      </c>
      <c r="D11" s="10"/>
      <c r="E11" s="9"/>
      <c r="F11" s="23" t="s">
        <v>2449</v>
      </c>
      <c r="G11" s="23" t="s">
        <v>2452</v>
      </c>
      <c r="H11" s="23" t="s">
        <v>169</v>
      </c>
      <c r="I11" s="23" t="s">
        <v>192</v>
      </c>
      <c r="J11" s="50"/>
      <c r="K11" s="10" t="s">
        <v>0</v>
      </c>
      <c r="L11" s="12">
        <v>38.96</v>
      </c>
      <c r="M11" s="12">
        <v>2500</v>
      </c>
      <c r="N11" s="12">
        <v>0</v>
      </c>
      <c r="O11" s="112">
        <f t="shared" si="1"/>
        <v>97400</v>
      </c>
      <c r="P11" s="112">
        <f t="shared" si="2"/>
        <v>97400</v>
      </c>
      <c r="Q11" s="112">
        <f>P11*0.11</f>
        <v>10714</v>
      </c>
      <c r="R11" s="112">
        <f>P11*2%</f>
        <v>1948</v>
      </c>
      <c r="S11" s="112">
        <v>0</v>
      </c>
      <c r="T11" s="112">
        <f t="shared" si="3"/>
        <v>106166</v>
      </c>
      <c r="U11" s="42"/>
    </row>
    <row r="12" spans="1:21" s="36" customFormat="1" ht="15.45" hidden="1" x14ac:dyDescent="0.35">
      <c r="A12" s="19" t="s">
        <v>2456</v>
      </c>
      <c r="B12" s="9">
        <v>45840</v>
      </c>
      <c r="C12" s="93"/>
      <c r="D12" s="10"/>
      <c r="E12" s="9"/>
      <c r="F12" s="23" t="s">
        <v>2449</v>
      </c>
      <c r="G12" s="23" t="s">
        <v>2459</v>
      </c>
      <c r="H12" s="23" t="s">
        <v>169</v>
      </c>
      <c r="I12" s="23" t="s">
        <v>192</v>
      </c>
      <c r="J12" s="50"/>
      <c r="K12" s="10"/>
      <c r="L12" s="12">
        <v>1</v>
      </c>
      <c r="M12" s="12">
        <v>500000</v>
      </c>
      <c r="N12" s="12">
        <v>0</v>
      </c>
      <c r="O12" s="112">
        <f t="shared" si="1"/>
        <v>500000</v>
      </c>
      <c r="P12" s="112">
        <f t="shared" si="2"/>
        <v>500000</v>
      </c>
      <c r="Q12" s="112"/>
      <c r="R12" s="112"/>
      <c r="S12" s="112">
        <v>0</v>
      </c>
      <c r="T12" s="112">
        <f t="shared" si="3"/>
        <v>500000</v>
      </c>
      <c r="U12" s="42"/>
    </row>
    <row r="13" spans="1:21" s="36" customFormat="1" ht="15.45" hidden="1" x14ac:dyDescent="0.35">
      <c r="A13" s="19" t="s">
        <v>166</v>
      </c>
      <c r="B13" s="9">
        <v>45840</v>
      </c>
      <c r="C13" s="14" t="s">
        <v>2824</v>
      </c>
      <c r="D13" s="10"/>
      <c r="E13" s="9"/>
      <c r="F13" s="23" t="s">
        <v>210</v>
      </c>
      <c r="G13" s="23" t="s">
        <v>168</v>
      </c>
      <c r="H13" s="23" t="s">
        <v>169</v>
      </c>
      <c r="I13" s="23" t="s">
        <v>192</v>
      </c>
      <c r="J13" s="50" t="s">
        <v>2980</v>
      </c>
      <c r="K13" s="10" t="s">
        <v>0</v>
      </c>
      <c r="L13" s="12">
        <v>6160</v>
      </c>
      <c r="M13" s="12">
        <v>225.23</v>
      </c>
      <c r="N13" s="12">
        <v>0</v>
      </c>
      <c r="O13" s="112">
        <f t="shared" si="1"/>
        <v>1387416.8</v>
      </c>
      <c r="P13" s="112">
        <f t="shared" si="2"/>
        <v>1387416.8</v>
      </c>
      <c r="Q13" s="112">
        <f t="shared" ref="Q13:Q30" si="4">P13*0.11</f>
        <v>152615.848</v>
      </c>
      <c r="R13" s="112">
        <f t="shared" ref="R13:R30" si="5">P13*2%</f>
        <v>27748.336000000003</v>
      </c>
      <c r="S13" s="112">
        <v>0</v>
      </c>
      <c r="T13" s="112">
        <f t="shared" si="3"/>
        <v>1512284.3120000002</v>
      </c>
      <c r="U13" s="42">
        <v>36</v>
      </c>
    </row>
    <row r="14" spans="1:21" s="36" customFormat="1" ht="15.45" hidden="1" x14ac:dyDescent="0.35">
      <c r="A14" s="19" t="s">
        <v>166</v>
      </c>
      <c r="B14" s="9">
        <v>45842</v>
      </c>
      <c r="C14" s="14" t="s">
        <v>2825</v>
      </c>
      <c r="D14" s="10"/>
      <c r="E14" s="9"/>
      <c r="F14" s="23" t="s">
        <v>210</v>
      </c>
      <c r="G14" s="23" t="s">
        <v>168</v>
      </c>
      <c r="H14" s="23" t="s">
        <v>169</v>
      </c>
      <c r="I14" s="23" t="s">
        <v>192</v>
      </c>
      <c r="J14" s="50" t="s">
        <v>2981</v>
      </c>
      <c r="K14" s="10" t="s">
        <v>0</v>
      </c>
      <c r="L14" s="12">
        <v>5760</v>
      </c>
      <c r="M14" s="12">
        <v>225.23</v>
      </c>
      <c r="N14" s="12">
        <v>0</v>
      </c>
      <c r="O14" s="112">
        <f t="shared" si="1"/>
        <v>1297324.8</v>
      </c>
      <c r="P14" s="112">
        <f t="shared" si="2"/>
        <v>1297324.8</v>
      </c>
      <c r="Q14" s="112">
        <f t="shared" si="4"/>
        <v>142705.728</v>
      </c>
      <c r="R14" s="112">
        <f t="shared" si="5"/>
        <v>25946.496000000003</v>
      </c>
      <c r="S14" s="112">
        <v>0</v>
      </c>
      <c r="T14" s="112">
        <f t="shared" si="3"/>
        <v>1414084.0319999999</v>
      </c>
      <c r="U14" s="42"/>
    </row>
    <row r="15" spans="1:21" s="36" customFormat="1" ht="15.45" hidden="1" x14ac:dyDescent="0.35">
      <c r="A15" s="19" t="s">
        <v>166</v>
      </c>
      <c r="B15" s="9">
        <v>45842</v>
      </c>
      <c r="C15" s="14" t="s">
        <v>2826</v>
      </c>
      <c r="D15" s="10"/>
      <c r="E15" s="9"/>
      <c r="F15" s="23" t="s">
        <v>210</v>
      </c>
      <c r="G15" s="23" t="s">
        <v>168</v>
      </c>
      <c r="H15" s="23" t="s">
        <v>169</v>
      </c>
      <c r="I15" s="23" t="s">
        <v>192</v>
      </c>
      <c r="J15" s="50" t="s">
        <v>2981</v>
      </c>
      <c r="K15" s="10" t="s">
        <v>0</v>
      </c>
      <c r="L15" s="12">
        <v>4510</v>
      </c>
      <c r="M15" s="12">
        <v>225.23</v>
      </c>
      <c r="N15" s="12">
        <v>0</v>
      </c>
      <c r="O15" s="112">
        <f t="shared" si="1"/>
        <v>1015787.2999999999</v>
      </c>
      <c r="P15" s="112">
        <f t="shared" si="2"/>
        <v>1015787.2999999999</v>
      </c>
      <c r="Q15" s="112">
        <f t="shared" si="4"/>
        <v>111736.60299999999</v>
      </c>
      <c r="R15" s="112">
        <f t="shared" si="5"/>
        <v>20315.745999999999</v>
      </c>
      <c r="S15" s="112">
        <v>0</v>
      </c>
      <c r="T15" s="112">
        <f t="shared" si="3"/>
        <v>1107208.1569999999</v>
      </c>
      <c r="U15" s="42"/>
    </row>
    <row r="16" spans="1:21" s="36" customFormat="1" ht="15.45" hidden="1" x14ac:dyDescent="0.35">
      <c r="A16" s="19" t="s">
        <v>166</v>
      </c>
      <c r="B16" s="9">
        <v>45845</v>
      </c>
      <c r="C16" s="14" t="s">
        <v>2827</v>
      </c>
      <c r="D16" s="10"/>
      <c r="E16" s="9"/>
      <c r="F16" s="23" t="s">
        <v>210</v>
      </c>
      <c r="G16" s="23" t="s">
        <v>168</v>
      </c>
      <c r="H16" s="23" t="s">
        <v>169</v>
      </c>
      <c r="I16" s="23" t="s">
        <v>192</v>
      </c>
      <c r="J16" s="50" t="s">
        <v>2982</v>
      </c>
      <c r="K16" s="10" t="s">
        <v>0</v>
      </c>
      <c r="L16" s="12">
        <v>6000</v>
      </c>
      <c r="M16" s="12">
        <v>225.23</v>
      </c>
      <c r="N16" s="12">
        <v>0</v>
      </c>
      <c r="O16" s="112">
        <f t="shared" si="1"/>
        <v>1351380</v>
      </c>
      <c r="P16" s="112">
        <f t="shared" si="2"/>
        <v>1351380</v>
      </c>
      <c r="Q16" s="112">
        <f t="shared" si="4"/>
        <v>148651.79999999999</v>
      </c>
      <c r="R16" s="112">
        <f t="shared" si="5"/>
        <v>27027.600000000002</v>
      </c>
      <c r="S16" s="112">
        <v>0</v>
      </c>
      <c r="T16" s="112">
        <f t="shared" si="3"/>
        <v>1473004.2</v>
      </c>
      <c r="U16" s="42"/>
    </row>
    <row r="17" spans="1:21" s="36" customFormat="1" ht="15.45" hidden="1" x14ac:dyDescent="0.35">
      <c r="A17" s="19" t="s">
        <v>166</v>
      </c>
      <c r="B17" s="9">
        <v>45846</v>
      </c>
      <c r="C17" s="14" t="s">
        <v>2828</v>
      </c>
      <c r="D17" s="10"/>
      <c r="E17" s="9"/>
      <c r="F17" s="23" t="s">
        <v>210</v>
      </c>
      <c r="G17" s="23" t="s">
        <v>168</v>
      </c>
      <c r="H17" s="23" t="s">
        <v>169</v>
      </c>
      <c r="I17" s="23" t="s">
        <v>192</v>
      </c>
      <c r="J17" s="50" t="s">
        <v>2983</v>
      </c>
      <c r="K17" s="10" t="s">
        <v>0</v>
      </c>
      <c r="L17" s="12">
        <v>5370</v>
      </c>
      <c r="M17" s="12">
        <v>225.23</v>
      </c>
      <c r="N17" s="12">
        <v>0</v>
      </c>
      <c r="O17" s="112">
        <f t="shared" si="1"/>
        <v>1209485.0999999999</v>
      </c>
      <c r="P17" s="112">
        <f t="shared" si="2"/>
        <v>1209485.0999999999</v>
      </c>
      <c r="Q17" s="112">
        <f t="shared" si="4"/>
        <v>133043.36099999998</v>
      </c>
      <c r="R17" s="112">
        <f t="shared" si="5"/>
        <v>24189.701999999997</v>
      </c>
      <c r="S17" s="112">
        <v>0</v>
      </c>
      <c r="T17" s="112">
        <f t="shared" si="3"/>
        <v>1318338.7589999998</v>
      </c>
      <c r="U17" s="42"/>
    </row>
    <row r="18" spans="1:21" s="36" customFormat="1" ht="15.45" hidden="1" x14ac:dyDescent="0.35">
      <c r="A18" s="19" t="s">
        <v>166</v>
      </c>
      <c r="B18" s="9">
        <v>45849</v>
      </c>
      <c r="C18" s="14" t="s">
        <v>2829</v>
      </c>
      <c r="D18" s="10"/>
      <c r="E18" s="9"/>
      <c r="F18" s="23" t="s">
        <v>210</v>
      </c>
      <c r="G18" s="23" t="s">
        <v>168</v>
      </c>
      <c r="H18" s="23" t="s">
        <v>169</v>
      </c>
      <c r="I18" s="23" t="s">
        <v>192</v>
      </c>
      <c r="J18" s="50" t="s">
        <v>2984</v>
      </c>
      <c r="K18" s="10" t="s">
        <v>0</v>
      </c>
      <c r="L18" s="12">
        <v>6590</v>
      </c>
      <c r="M18" s="12">
        <v>225.23</v>
      </c>
      <c r="N18" s="12">
        <v>0</v>
      </c>
      <c r="O18" s="112">
        <f t="shared" si="1"/>
        <v>1484265.7</v>
      </c>
      <c r="P18" s="112">
        <f t="shared" si="2"/>
        <v>1484265.7</v>
      </c>
      <c r="Q18" s="112">
        <f t="shared" si="4"/>
        <v>163269.22699999998</v>
      </c>
      <c r="R18" s="112">
        <f t="shared" si="5"/>
        <v>29685.313999999998</v>
      </c>
      <c r="S18" s="112">
        <v>0</v>
      </c>
      <c r="T18" s="112">
        <f t="shared" si="3"/>
        <v>1617849.6129999999</v>
      </c>
      <c r="U18" s="42"/>
    </row>
    <row r="19" spans="1:21" s="36" customFormat="1" ht="15.45" hidden="1" x14ac:dyDescent="0.35">
      <c r="A19" s="19" t="s">
        <v>166</v>
      </c>
      <c r="B19" s="9">
        <v>45850</v>
      </c>
      <c r="C19" s="14" t="s">
        <v>2830</v>
      </c>
      <c r="D19" s="10"/>
      <c r="E19" s="9"/>
      <c r="F19" s="23" t="s">
        <v>210</v>
      </c>
      <c r="G19" s="23" t="s">
        <v>168</v>
      </c>
      <c r="H19" s="23" t="s">
        <v>169</v>
      </c>
      <c r="I19" s="23" t="s">
        <v>192</v>
      </c>
      <c r="J19" s="50" t="s">
        <v>2985</v>
      </c>
      <c r="K19" s="10" t="s">
        <v>0</v>
      </c>
      <c r="L19" s="12">
        <v>6260</v>
      </c>
      <c r="M19" s="12">
        <v>225.23</v>
      </c>
      <c r="N19" s="12">
        <v>0</v>
      </c>
      <c r="O19" s="112">
        <f t="shared" si="1"/>
        <v>1409939.8</v>
      </c>
      <c r="P19" s="112">
        <f t="shared" si="2"/>
        <v>1409939.8</v>
      </c>
      <c r="Q19" s="112">
        <f t="shared" si="4"/>
        <v>155093.378</v>
      </c>
      <c r="R19" s="112">
        <f t="shared" si="5"/>
        <v>28198.796000000002</v>
      </c>
      <c r="S19" s="112">
        <v>0</v>
      </c>
      <c r="T19" s="112">
        <f t="shared" si="3"/>
        <v>1536834.382</v>
      </c>
      <c r="U19" s="42"/>
    </row>
    <row r="20" spans="1:21" s="36" customFormat="1" ht="15.45" hidden="1" x14ac:dyDescent="0.35">
      <c r="A20" s="19" t="s">
        <v>166</v>
      </c>
      <c r="B20" s="9">
        <v>45852</v>
      </c>
      <c r="C20" s="14" t="s">
        <v>2832</v>
      </c>
      <c r="D20" s="10"/>
      <c r="E20" s="9"/>
      <c r="F20" s="23" t="s">
        <v>210</v>
      </c>
      <c r="G20" s="23" t="s">
        <v>168</v>
      </c>
      <c r="H20" s="23" t="s">
        <v>169</v>
      </c>
      <c r="I20" s="23" t="s">
        <v>192</v>
      </c>
      <c r="J20" s="50" t="s">
        <v>2986</v>
      </c>
      <c r="K20" s="10" t="s">
        <v>0</v>
      </c>
      <c r="L20" s="12">
        <v>6820</v>
      </c>
      <c r="M20" s="12">
        <v>225.23</v>
      </c>
      <c r="N20" s="12">
        <v>0</v>
      </c>
      <c r="O20" s="112">
        <f t="shared" si="1"/>
        <v>1536068.5999999999</v>
      </c>
      <c r="P20" s="112">
        <f t="shared" si="2"/>
        <v>1536068.5999999999</v>
      </c>
      <c r="Q20" s="112">
        <f t="shared" si="4"/>
        <v>168967.54599999997</v>
      </c>
      <c r="R20" s="112">
        <f t="shared" si="5"/>
        <v>30721.371999999999</v>
      </c>
      <c r="S20" s="112">
        <v>0</v>
      </c>
      <c r="T20" s="112">
        <f t="shared" si="3"/>
        <v>1674314.7739999997</v>
      </c>
      <c r="U20" s="42"/>
    </row>
    <row r="21" spans="1:21" s="36" customFormat="1" ht="15.45" hidden="1" x14ac:dyDescent="0.35">
      <c r="A21" s="19" t="s">
        <v>166</v>
      </c>
      <c r="B21" s="9">
        <v>45852</v>
      </c>
      <c r="C21" s="14" t="s">
        <v>2831</v>
      </c>
      <c r="D21" s="10"/>
      <c r="E21" s="9"/>
      <c r="F21" s="23" t="s">
        <v>210</v>
      </c>
      <c r="G21" s="23" t="s">
        <v>168</v>
      </c>
      <c r="H21" s="23" t="s">
        <v>169</v>
      </c>
      <c r="I21" s="23" t="s">
        <v>192</v>
      </c>
      <c r="J21" s="50" t="s">
        <v>2986</v>
      </c>
      <c r="K21" s="10" t="s">
        <v>0</v>
      </c>
      <c r="L21" s="12">
        <v>4720</v>
      </c>
      <c r="M21" s="12">
        <v>225.23</v>
      </c>
      <c r="N21" s="12">
        <v>0</v>
      </c>
      <c r="O21" s="112">
        <f t="shared" si="1"/>
        <v>1063085.5999999999</v>
      </c>
      <c r="P21" s="112">
        <f t="shared" si="2"/>
        <v>1063085.5999999999</v>
      </c>
      <c r="Q21" s="112">
        <f t="shared" si="4"/>
        <v>116939.41599999998</v>
      </c>
      <c r="R21" s="112">
        <f t="shared" si="5"/>
        <v>21261.711999999996</v>
      </c>
      <c r="S21" s="112">
        <v>0</v>
      </c>
      <c r="T21" s="112">
        <f t="shared" si="3"/>
        <v>1158763.3039999998</v>
      </c>
      <c r="U21" s="42"/>
    </row>
    <row r="22" spans="1:21" s="36" customFormat="1" ht="15.45" hidden="1" x14ac:dyDescent="0.35">
      <c r="A22" s="19" t="s">
        <v>166</v>
      </c>
      <c r="B22" s="9">
        <v>45854</v>
      </c>
      <c r="C22" s="14" t="s">
        <v>2833</v>
      </c>
      <c r="D22" s="10"/>
      <c r="E22" s="9"/>
      <c r="F22" s="23" t="s">
        <v>210</v>
      </c>
      <c r="G22" s="23" t="s">
        <v>168</v>
      </c>
      <c r="H22" s="23" t="s">
        <v>169</v>
      </c>
      <c r="I22" s="23" t="s">
        <v>192</v>
      </c>
      <c r="J22" s="50" t="s">
        <v>2987</v>
      </c>
      <c r="K22" s="10" t="s">
        <v>0</v>
      </c>
      <c r="L22" s="12">
        <v>6220</v>
      </c>
      <c r="M22" s="12">
        <v>225.23</v>
      </c>
      <c r="N22" s="12">
        <v>0</v>
      </c>
      <c r="O22" s="112">
        <f t="shared" si="1"/>
        <v>1400930.5999999999</v>
      </c>
      <c r="P22" s="112">
        <f t="shared" si="2"/>
        <v>1400930.5999999999</v>
      </c>
      <c r="Q22" s="112">
        <f t="shared" si="4"/>
        <v>154102.36599999998</v>
      </c>
      <c r="R22" s="112">
        <f t="shared" si="5"/>
        <v>28018.611999999997</v>
      </c>
      <c r="S22" s="112">
        <v>0</v>
      </c>
      <c r="T22" s="112">
        <f t="shared" si="3"/>
        <v>1527014.3539999998</v>
      </c>
      <c r="U22" s="42"/>
    </row>
    <row r="23" spans="1:21" s="36" customFormat="1" ht="15.45" hidden="1" x14ac:dyDescent="0.35">
      <c r="A23" s="19" t="s">
        <v>166</v>
      </c>
      <c r="B23" s="9">
        <v>45856</v>
      </c>
      <c r="C23" s="14" t="s">
        <v>2834</v>
      </c>
      <c r="D23" s="10"/>
      <c r="E23" s="9"/>
      <c r="F23" s="23" t="s">
        <v>210</v>
      </c>
      <c r="G23" s="23" t="s">
        <v>168</v>
      </c>
      <c r="H23" s="23" t="s">
        <v>169</v>
      </c>
      <c r="I23" s="23" t="s">
        <v>192</v>
      </c>
      <c r="J23" s="50" t="s">
        <v>2988</v>
      </c>
      <c r="K23" s="10" t="s">
        <v>0</v>
      </c>
      <c r="L23" s="12">
        <v>6570</v>
      </c>
      <c r="M23" s="12">
        <v>225.23</v>
      </c>
      <c r="N23" s="12">
        <v>0</v>
      </c>
      <c r="O23" s="112">
        <f t="shared" si="1"/>
        <v>1479761.0999999999</v>
      </c>
      <c r="P23" s="112">
        <f t="shared" si="2"/>
        <v>1479761.0999999999</v>
      </c>
      <c r="Q23" s="112">
        <f t="shared" si="4"/>
        <v>162773.72099999999</v>
      </c>
      <c r="R23" s="112">
        <f t="shared" si="5"/>
        <v>29595.221999999998</v>
      </c>
      <c r="S23" s="112">
        <v>0</v>
      </c>
      <c r="T23" s="112">
        <f t="shared" si="3"/>
        <v>1612939.5989999997</v>
      </c>
      <c r="U23" s="42"/>
    </row>
    <row r="24" spans="1:21" s="36" customFormat="1" ht="15.45" hidden="1" x14ac:dyDescent="0.35">
      <c r="A24" s="19" t="s">
        <v>166</v>
      </c>
      <c r="B24" s="9">
        <v>45857</v>
      </c>
      <c r="C24" s="14" t="s">
        <v>2835</v>
      </c>
      <c r="D24" s="10"/>
      <c r="E24" s="9"/>
      <c r="F24" s="23" t="s">
        <v>210</v>
      </c>
      <c r="G24" s="23" t="s">
        <v>168</v>
      </c>
      <c r="H24" s="23" t="s">
        <v>169</v>
      </c>
      <c r="I24" s="23" t="s">
        <v>192</v>
      </c>
      <c r="J24" s="50" t="s">
        <v>2989</v>
      </c>
      <c r="K24" s="10" t="s">
        <v>0</v>
      </c>
      <c r="L24" s="12">
        <v>7000</v>
      </c>
      <c r="M24" s="12">
        <v>225.23</v>
      </c>
      <c r="N24" s="12">
        <v>0</v>
      </c>
      <c r="O24" s="112">
        <f t="shared" si="1"/>
        <v>1576610</v>
      </c>
      <c r="P24" s="112">
        <f t="shared" si="2"/>
        <v>1576610</v>
      </c>
      <c r="Q24" s="112">
        <f t="shared" si="4"/>
        <v>173427.1</v>
      </c>
      <c r="R24" s="112">
        <f t="shared" si="5"/>
        <v>31532.2</v>
      </c>
      <c r="S24" s="112">
        <v>0</v>
      </c>
      <c r="T24" s="112">
        <f t="shared" si="3"/>
        <v>1718504.9000000001</v>
      </c>
      <c r="U24" s="42"/>
    </row>
    <row r="25" spans="1:21" s="36" customFormat="1" ht="15.45" hidden="1" x14ac:dyDescent="0.35">
      <c r="A25" s="20" t="s">
        <v>166</v>
      </c>
      <c r="B25" s="9">
        <v>45859</v>
      </c>
      <c r="C25" s="14" t="s">
        <v>2836</v>
      </c>
      <c r="D25" s="10"/>
      <c r="E25" s="9"/>
      <c r="F25" s="23" t="s">
        <v>210</v>
      </c>
      <c r="G25" s="23" t="s">
        <v>168</v>
      </c>
      <c r="H25" s="23" t="s">
        <v>169</v>
      </c>
      <c r="I25" s="23" t="s">
        <v>192</v>
      </c>
      <c r="J25" s="50" t="s">
        <v>2990</v>
      </c>
      <c r="K25" s="10" t="s">
        <v>0</v>
      </c>
      <c r="L25" s="12">
        <v>4430</v>
      </c>
      <c r="M25" s="12">
        <v>225.23</v>
      </c>
      <c r="N25" s="12">
        <v>0</v>
      </c>
      <c r="O25" s="112">
        <f t="shared" si="1"/>
        <v>997768.89999999991</v>
      </c>
      <c r="P25" s="112">
        <f t="shared" si="2"/>
        <v>997768.89999999991</v>
      </c>
      <c r="Q25" s="112">
        <f t="shared" si="4"/>
        <v>109754.57899999998</v>
      </c>
      <c r="R25" s="112">
        <f t="shared" si="5"/>
        <v>19955.377999999997</v>
      </c>
      <c r="S25" s="112">
        <v>0</v>
      </c>
      <c r="T25" s="112">
        <f t="shared" si="3"/>
        <v>1087568.1009999998</v>
      </c>
      <c r="U25" s="42"/>
    </row>
    <row r="26" spans="1:21" s="36" customFormat="1" ht="15.45" hidden="1" x14ac:dyDescent="0.35">
      <c r="A26" s="20" t="s">
        <v>166</v>
      </c>
      <c r="B26" s="9">
        <v>45862</v>
      </c>
      <c r="C26" s="14" t="s">
        <v>2837</v>
      </c>
      <c r="D26" s="10"/>
      <c r="E26" s="9"/>
      <c r="F26" s="23" t="s">
        <v>210</v>
      </c>
      <c r="G26" s="23" t="s">
        <v>168</v>
      </c>
      <c r="H26" s="23" t="s">
        <v>169</v>
      </c>
      <c r="I26" s="23" t="s">
        <v>192</v>
      </c>
      <c r="J26" s="50" t="s">
        <v>2991</v>
      </c>
      <c r="K26" s="10" t="s">
        <v>0</v>
      </c>
      <c r="L26" s="12">
        <v>6220</v>
      </c>
      <c r="M26" s="12">
        <v>225.23</v>
      </c>
      <c r="N26" s="12">
        <v>0</v>
      </c>
      <c r="O26" s="112">
        <f t="shared" si="1"/>
        <v>1400930.5999999999</v>
      </c>
      <c r="P26" s="112">
        <f t="shared" si="2"/>
        <v>1400930.5999999999</v>
      </c>
      <c r="Q26" s="112">
        <f t="shared" si="4"/>
        <v>154102.36599999998</v>
      </c>
      <c r="R26" s="112">
        <f t="shared" si="5"/>
        <v>28018.611999999997</v>
      </c>
      <c r="S26" s="112">
        <v>0</v>
      </c>
      <c r="T26" s="112">
        <f t="shared" si="3"/>
        <v>1527014.3539999998</v>
      </c>
      <c r="U26" s="42"/>
    </row>
    <row r="27" spans="1:21" s="36" customFormat="1" ht="15.45" hidden="1" x14ac:dyDescent="0.35">
      <c r="A27" s="20" t="s">
        <v>166</v>
      </c>
      <c r="B27" s="9">
        <v>45864</v>
      </c>
      <c r="C27" s="14" t="s">
        <v>2839</v>
      </c>
      <c r="D27" s="10"/>
      <c r="E27" s="9"/>
      <c r="F27" s="23" t="s">
        <v>210</v>
      </c>
      <c r="G27" s="23" t="s">
        <v>168</v>
      </c>
      <c r="H27" s="23" t="s">
        <v>169</v>
      </c>
      <c r="I27" s="23" t="s">
        <v>192</v>
      </c>
      <c r="J27" s="50" t="s">
        <v>2992</v>
      </c>
      <c r="K27" s="10" t="s">
        <v>0</v>
      </c>
      <c r="L27" s="12">
        <v>7310</v>
      </c>
      <c r="M27" s="12">
        <v>225.23</v>
      </c>
      <c r="N27" s="12">
        <v>0</v>
      </c>
      <c r="O27" s="112">
        <f t="shared" si="1"/>
        <v>1646431.2999999998</v>
      </c>
      <c r="P27" s="112">
        <f t="shared" si="2"/>
        <v>1646431.2999999998</v>
      </c>
      <c r="Q27" s="112">
        <f t="shared" si="4"/>
        <v>181107.44299999997</v>
      </c>
      <c r="R27" s="112">
        <f t="shared" si="5"/>
        <v>32928.625999999997</v>
      </c>
      <c r="S27" s="112">
        <v>0</v>
      </c>
      <c r="T27" s="112">
        <f t="shared" si="3"/>
        <v>1794610.1169999999</v>
      </c>
      <c r="U27" s="42"/>
    </row>
    <row r="28" spans="1:21" s="36" customFormat="1" ht="15.45" hidden="1" x14ac:dyDescent="0.35">
      <c r="A28" s="20" t="s">
        <v>166</v>
      </c>
      <c r="B28" s="9">
        <v>45864</v>
      </c>
      <c r="C28" s="14" t="s">
        <v>2838</v>
      </c>
      <c r="D28" s="10"/>
      <c r="E28" s="9"/>
      <c r="F28" s="23" t="s">
        <v>210</v>
      </c>
      <c r="G28" s="23" t="s">
        <v>168</v>
      </c>
      <c r="H28" s="23" t="s">
        <v>169</v>
      </c>
      <c r="I28" s="23" t="s">
        <v>192</v>
      </c>
      <c r="J28" s="50" t="s">
        <v>2992</v>
      </c>
      <c r="K28" s="10" t="s">
        <v>0</v>
      </c>
      <c r="L28" s="12">
        <v>6020</v>
      </c>
      <c r="M28" s="12">
        <v>225.23</v>
      </c>
      <c r="N28" s="12">
        <v>0</v>
      </c>
      <c r="O28" s="112">
        <f t="shared" si="1"/>
        <v>1355884.5999999999</v>
      </c>
      <c r="P28" s="112">
        <f t="shared" si="2"/>
        <v>1355884.5999999999</v>
      </c>
      <c r="Q28" s="112">
        <f t="shared" si="4"/>
        <v>149147.30599999998</v>
      </c>
      <c r="R28" s="112">
        <f t="shared" si="5"/>
        <v>27117.691999999999</v>
      </c>
      <c r="S28" s="112">
        <v>0</v>
      </c>
      <c r="T28" s="112">
        <f t="shared" si="3"/>
        <v>1477914.2139999999</v>
      </c>
      <c r="U28" s="42"/>
    </row>
    <row r="29" spans="1:21" s="36" customFormat="1" ht="15.45" hidden="1" x14ac:dyDescent="0.35">
      <c r="A29" s="19" t="s">
        <v>166</v>
      </c>
      <c r="B29" s="9">
        <v>45866</v>
      </c>
      <c r="C29" s="14" t="s">
        <v>2840</v>
      </c>
      <c r="D29" s="10"/>
      <c r="E29" s="9"/>
      <c r="F29" s="23" t="s">
        <v>210</v>
      </c>
      <c r="G29" s="23" t="s">
        <v>168</v>
      </c>
      <c r="H29" s="23" t="s">
        <v>169</v>
      </c>
      <c r="I29" s="23" t="s">
        <v>192</v>
      </c>
      <c r="J29" s="50" t="s">
        <v>2993</v>
      </c>
      <c r="K29" s="10" t="s">
        <v>0</v>
      </c>
      <c r="L29" s="12">
        <v>6810</v>
      </c>
      <c r="M29" s="12">
        <v>225.23</v>
      </c>
      <c r="N29" s="12">
        <v>0</v>
      </c>
      <c r="O29" s="112">
        <f t="shared" si="1"/>
        <v>1533816.3</v>
      </c>
      <c r="P29" s="112">
        <f t="shared" si="2"/>
        <v>1533816.3</v>
      </c>
      <c r="Q29" s="112">
        <f t="shared" si="4"/>
        <v>168719.79300000001</v>
      </c>
      <c r="R29" s="112">
        <f t="shared" si="5"/>
        <v>30676.326000000001</v>
      </c>
      <c r="S29" s="112">
        <v>0</v>
      </c>
      <c r="T29" s="112">
        <f t="shared" si="3"/>
        <v>1671859.767</v>
      </c>
      <c r="U29" s="42"/>
    </row>
    <row r="30" spans="1:21" s="36" customFormat="1" ht="15.45" hidden="1" x14ac:dyDescent="0.35">
      <c r="A30" s="19" t="s">
        <v>166</v>
      </c>
      <c r="B30" s="9">
        <v>45868</v>
      </c>
      <c r="C30" s="14" t="s">
        <v>2841</v>
      </c>
      <c r="D30" s="10"/>
      <c r="E30" s="9"/>
      <c r="F30" s="23" t="s">
        <v>210</v>
      </c>
      <c r="G30" s="23" t="s">
        <v>168</v>
      </c>
      <c r="H30" s="23" t="s">
        <v>169</v>
      </c>
      <c r="I30" s="23" t="s">
        <v>192</v>
      </c>
      <c r="J30" s="50" t="s">
        <v>2994</v>
      </c>
      <c r="K30" s="10" t="s">
        <v>0</v>
      </c>
      <c r="L30" s="12">
        <v>6980</v>
      </c>
      <c r="M30" s="12">
        <v>225.23</v>
      </c>
      <c r="N30" s="12">
        <v>0</v>
      </c>
      <c r="O30" s="112">
        <f t="shared" si="1"/>
        <v>1572105.4</v>
      </c>
      <c r="P30" s="112">
        <f t="shared" si="2"/>
        <v>1572105.4</v>
      </c>
      <c r="Q30" s="112">
        <f t="shared" si="4"/>
        <v>172931.59399999998</v>
      </c>
      <c r="R30" s="112">
        <f t="shared" si="5"/>
        <v>31442.108</v>
      </c>
      <c r="S30" s="112">
        <v>0</v>
      </c>
      <c r="T30" s="112">
        <f t="shared" si="3"/>
        <v>1713594.8859999999</v>
      </c>
      <c r="U30" s="42"/>
    </row>
    <row r="31" spans="1:21" s="36" customFormat="1" ht="15.45" hidden="1" x14ac:dyDescent="0.35">
      <c r="A31" s="19" t="s">
        <v>100</v>
      </c>
      <c r="B31" s="9">
        <v>45839</v>
      </c>
      <c r="C31" s="14" t="s">
        <v>2484</v>
      </c>
      <c r="D31" s="10" t="s">
        <v>2485</v>
      </c>
      <c r="E31" s="9">
        <v>45839</v>
      </c>
      <c r="F31" s="10" t="s">
        <v>56</v>
      </c>
      <c r="G31" s="10" t="s">
        <v>2486</v>
      </c>
      <c r="H31" s="10" t="s">
        <v>27</v>
      </c>
      <c r="I31" s="10" t="s">
        <v>69</v>
      </c>
      <c r="J31" s="10"/>
      <c r="K31" s="10" t="s">
        <v>145</v>
      </c>
      <c r="L31" s="12">
        <v>1000</v>
      </c>
      <c r="M31" s="12">
        <v>1500</v>
      </c>
      <c r="N31" s="12">
        <v>0</v>
      </c>
      <c r="O31" s="112">
        <v>1500000</v>
      </c>
      <c r="P31" s="112">
        <f t="shared" si="2"/>
        <v>1500000</v>
      </c>
      <c r="Q31" s="112">
        <v>0</v>
      </c>
      <c r="R31" s="112"/>
      <c r="S31" s="112">
        <v>0</v>
      </c>
      <c r="T31" s="112">
        <f t="shared" ref="T31:T36" si="6">P31+Q31-S31</f>
        <v>1500000</v>
      </c>
      <c r="U31" s="42">
        <v>1000</v>
      </c>
    </row>
    <row r="32" spans="1:21" s="36" customFormat="1" ht="15.45" hidden="1" x14ac:dyDescent="0.35">
      <c r="A32" s="19" t="s">
        <v>105</v>
      </c>
      <c r="B32" s="9">
        <v>45839</v>
      </c>
      <c r="C32" s="14" t="s">
        <v>2487</v>
      </c>
      <c r="D32" s="10" t="s">
        <v>2327</v>
      </c>
      <c r="E32" s="9">
        <v>45825</v>
      </c>
      <c r="F32" s="10" t="s">
        <v>85</v>
      </c>
      <c r="G32" s="10" t="s">
        <v>660</v>
      </c>
      <c r="H32" s="10" t="s">
        <v>23</v>
      </c>
      <c r="I32" s="10" t="s">
        <v>890</v>
      </c>
      <c r="J32" s="50" t="s">
        <v>2643</v>
      </c>
      <c r="K32" s="10" t="s">
        <v>1</v>
      </c>
      <c r="L32" s="12">
        <v>2040</v>
      </c>
      <c r="M32" s="12">
        <v>23577</v>
      </c>
      <c r="N32" s="12">
        <v>16260</v>
      </c>
      <c r="O32" s="112">
        <v>48097080</v>
      </c>
      <c r="P32" s="112">
        <f t="shared" si="2"/>
        <v>48097080</v>
      </c>
      <c r="Q32" s="112">
        <v>5290678.8</v>
      </c>
      <c r="R32" s="112"/>
      <c r="S32" s="112">
        <v>0</v>
      </c>
      <c r="T32" s="112">
        <f t="shared" si="6"/>
        <v>53387758.799999997</v>
      </c>
      <c r="U32" s="42">
        <v>2040</v>
      </c>
    </row>
    <row r="33" spans="1:21" s="36" customFormat="1" ht="15.45" hidden="1" x14ac:dyDescent="0.35">
      <c r="A33" s="19" t="s">
        <v>105</v>
      </c>
      <c r="B33" s="9">
        <v>45839</v>
      </c>
      <c r="C33" s="14" t="s">
        <v>2488</v>
      </c>
      <c r="D33" s="10" t="s">
        <v>2489</v>
      </c>
      <c r="E33" s="9">
        <v>45833</v>
      </c>
      <c r="F33" s="10" t="s">
        <v>85</v>
      </c>
      <c r="G33" s="10" t="s">
        <v>1586</v>
      </c>
      <c r="H33" s="10" t="s">
        <v>23</v>
      </c>
      <c r="I33" s="10" t="s">
        <v>886</v>
      </c>
      <c r="J33" s="50" t="s">
        <v>2640</v>
      </c>
      <c r="K33" s="10" t="s">
        <v>1</v>
      </c>
      <c r="L33" s="12">
        <v>300</v>
      </c>
      <c r="M33" s="12">
        <v>51298</v>
      </c>
      <c r="N33" s="12">
        <v>16285</v>
      </c>
      <c r="O33" s="112">
        <v>15389400</v>
      </c>
      <c r="P33" s="112">
        <f t="shared" si="2"/>
        <v>15389400</v>
      </c>
      <c r="Q33" s="112">
        <v>1692834</v>
      </c>
      <c r="R33" s="112"/>
      <c r="S33" s="112">
        <v>0</v>
      </c>
      <c r="T33" s="112">
        <f t="shared" si="6"/>
        <v>17082234</v>
      </c>
      <c r="U33" s="42">
        <v>300</v>
      </c>
    </row>
    <row r="34" spans="1:21" s="36" customFormat="1" ht="15.45" hidden="1" x14ac:dyDescent="0.35">
      <c r="A34" s="19" t="s">
        <v>149</v>
      </c>
      <c r="B34" s="9">
        <v>45839</v>
      </c>
      <c r="C34" s="14" t="s">
        <v>2490</v>
      </c>
      <c r="D34" s="10" t="s">
        <v>2491</v>
      </c>
      <c r="E34" s="9">
        <v>45834</v>
      </c>
      <c r="F34" s="10" t="s">
        <v>143</v>
      </c>
      <c r="G34" s="10" t="s">
        <v>2492</v>
      </c>
      <c r="H34" s="10" t="s">
        <v>24</v>
      </c>
      <c r="I34" s="10" t="s">
        <v>61</v>
      </c>
      <c r="J34" s="50" t="s">
        <v>2649</v>
      </c>
      <c r="K34" s="10" t="s">
        <v>10</v>
      </c>
      <c r="L34" s="12">
        <v>3</v>
      </c>
      <c r="M34" s="12">
        <v>150000</v>
      </c>
      <c r="N34" s="12">
        <v>0</v>
      </c>
      <c r="O34" s="112">
        <v>450000</v>
      </c>
      <c r="P34" s="112">
        <f t="shared" si="2"/>
        <v>450000</v>
      </c>
      <c r="Q34" s="112">
        <v>49500</v>
      </c>
      <c r="R34" s="112"/>
      <c r="S34" s="112">
        <v>0</v>
      </c>
      <c r="T34" s="112">
        <f t="shared" si="6"/>
        <v>499500</v>
      </c>
      <c r="U34" s="42">
        <v>3</v>
      </c>
    </row>
    <row r="35" spans="1:21" s="36" customFormat="1" ht="15.45" hidden="1" x14ac:dyDescent="0.35">
      <c r="A35" s="19" t="s">
        <v>149</v>
      </c>
      <c r="B35" s="9">
        <v>45839</v>
      </c>
      <c r="C35" s="14" t="s">
        <v>2493</v>
      </c>
      <c r="D35" s="10" t="s">
        <v>2494</v>
      </c>
      <c r="E35" s="9">
        <v>45834</v>
      </c>
      <c r="F35" s="10" t="s">
        <v>143</v>
      </c>
      <c r="G35" s="10" t="s">
        <v>199</v>
      </c>
      <c r="H35" s="10" t="s">
        <v>24</v>
      </c>
      <c r="I35" s="10" t="s">
        <v>61</v>
      </c>
      <c r="J35" s="50" t="s">
        <v>2648</v>
      </c>
      <c r="K35" s="10" t="s">
        <v>6</v>
      </c>
      <c r="L35" s="12">
        <v>1</v>
      </c>
      <c r="M35" s="12">
        <v>3000000</v>
      </c>
      <c r="N35" s="12">
        <v>0</v>
      </c>
      <c r="O35" s="112">
        <v>3000000</v>
      </c>
      <c r="P35" s="112">
        <f t="shared" si="2"/>
        <v>3000000</v>
      </c>
      <c r="Q35" s="112">
        <v>330000</v>
      </c>
      <c r="R35" s="112"/>
      <c r="S35" s="112">
        <v>0</v>
      </c>
      <c r="T35" s="112">
        <f t="shared" si="6"/>
        <v>3330000</v>
      </c>
      <c r="U35" s="42">
        <v>1</v>
      </c>
    </row>
    <row r="36" spans="1:21" s="36" customFormat="1" ht="15.45" hidden="1" x14ac:dyDescent="0.35">
      <c r="A36" s="19" t="s">
        <v>863</v>
      </c>
      <c r="B36" s="9">
        <v>45839</v>
      </c>
      <c r="C36" s="14" t="s">
        <v>2495</v>
      </c>
      <c r="D36" s="10" t="s">
        <v>2496</v>
      </c>
      <c r="E36" s="9">
        <v>45834</v>
      </c>
      <c r="F36" s="10" t="s">
        <v>834</v>
      </c>
      <c r="G36" s="10" t="s">
        <v>835</v>
      </c>
      <c r="H36" s="10" t="s">
        <v>24</v>
      </c>
      <c r="I36" s="10" t="s">
        <v>61</v>
      </c>
      <c r="J36" s="50" t="s">
        <v>2563</v>
      </c>
      <c r="K36" s="10" t="s">
        <v>4</v>
      </c>
      <c r="L36" s="12">
        <v>40</v>
      </c>
      <c r="M36" s="12">
        <v>80000</v>
      </c>
      <c r="N36" s="12">
        <v>0</v>
      </c>
      <c r="O36" s="112">
        <v>3200000</v>
      </c>
      <c r="P36" s="112">
        <f t="shared" si="2"/>
        <v>3200000</v>
      </c>
      <c r="Q36" s="112">
        <v>352000</v>
      </c>
      <c r="R36" s="112"/>
      <c r="S36" s="112">
        <v>0</v>
      </c>
      <c r="T36" s="112">
        <f t="shared" si="6"/>
        <v>3552000</v>
      </c>
      <c r="U36" s="42">
        <v>40</v>
      </c>
    </row>
    <row r="37" spans="1:21" s="36" customFormat="1" ht="15.45" hidden="1" x14ac:dyDescent="0.35">
      <c r="A37" s="19" t="s">
        <v>98</v>
      </c>
      <c r="B37" s="9">
        <v>45839</v>
      </c>
      <c r="C37" s="14" t="s">
        <v>2497</v>
      </c>
      <c r="D37" s="10" t="s">
        <v>2498</v>
      </c>
      <c r="E37" s="9">
        <v>45840</v>
      </c>
      <c r="F37" s="10" t="s">
        <v>84</v>
      </c>
      <c r="G37" s="10" t="s">
        <v>175</v>
      </c>
      <c r="H37" s="10" t="s">
        <v>25</v>
      </c>
      <c r="I37" s="10" t="s">
        <v>79</v>
      </c>
      <c r="J37" s="50" t="s">
        <v>2893</v>
      </c>
      <c r="K37" s="10" t="s">
        <v>1</v>
      </c>
      <c r="L37" s="12">
        <v>28780</v>
      </c>
      <c r="M37" s="12">
        <v>1250</v>
      </c>
      <c r="N37" s="12">
        <v>0</v>
      </c>
      <c r="O37" s="112">
        <v>35975000</v>
      </c>
      <c r="P37" s="112">
        <f t="shared" si="2"/>
        <v>35975000</v>
      </c>
      <c r="Q37" s="112">
        <v>3957250</v>
      </c>
      <c r="R37" s="112">
        <f>P37*1.5%</f>
        <v>539625</v>
      </c>
      <c r="S37" s="112">
        <v>0</v>
      </c>
      <c r="T37" s="112">
        <f>P37+Q37-S37-R37</f>
        <v>39392625</v>
      </c>
      <c r="U37" s="42">
        <v>28780</v>
      </c>
    </row>
    <row r="38" spans="1:21" s="36" customFormat="1" ht="15.45" x14ac:dyDescent="0.35">
      <c r="A38" s="19" t="s">
        <v>115</v>
      </c>
      <c r="B38" s="9">
        <v>45839</v>
      </c>
      <c r="C38" s="14" t="s">
        <v>2499</v>
      </c>
      <c r="D38" s="10" t="s">
        <v>2500</v>
      </c>
      <c r="E38" s="9">
        <v>45840</v>
      </c>
      <c r="F38" s="10" t="s">
        <v>81</v>
      </c>
      <c r="G38" s="10" t="s">
        <v>89</v>
      </c>
      <c r="H38" s="10" t="s">
        <v>25</v>
      </c>
      <c r="I38" s="10" t="s">
        <v>79</v>
      </c>
      <c r="J38" s="50" t="s">
        <v>2680</v>
      </c>
      <c r="K38" s="10" t="s">
        <v>1</v>
      </c>
      <c r="L38" s="12">
        <v>30190</v>
      </c>
      <c r="M38" s="12">
        <v>1525</v>
      </c>
      <c r="N38" s="12">
        <v>0</v>
      </c>
      <c r="O38" s="112">
        <v>46039750</v>
      </c>
      <c r="P38" s="112">
        <f t="shared" si="2"/>
        <v>46039750</v>
      </c>
      <c r="Q38" s="112">
        <v>5064372.5</v>
      </c>
      <c r="R38" s="112">
        <f>P38*1.5%</f>
        <v>690596.25</v>
      </c>
      <c r="S38" s="112">
        <v>0</v>
      </c>
      <c r="T38" s="112">
        <f>P38+Q38-S38-R38</f>
        <v>50413526.25</v>
      </c>
      <c r="U38" s="42">
        <v>30190</v>
      </c>
    </row>
    <row r="39" spans="1:21" s="36" customFormat="1" ht="15.45" hidden="1" x14ac:dyDescent="0.35">
      <c r="A39" s="19" t="s">
        <v>110</v>
      </c>
      <c r="B39" s="9">
        <v>45840</v>
      </c>
      <c r="C39" s="14" t="s">
        <v>2501</v>
      </c>
      <c r="D39" s="10" t="s">
        <v>2147</v>
      </c>
      <c r="E39" s="9">
        <v>45807</v>
      </c>
      <c r="F39" s="10" t="s">
        <v>72</v>
      </c>
      <c r="G39" s="10" t="s">
        <v>29</v>
      </c>
      <c r="H39" s="10" t="s">
        <v>23</v>
      </c>
      <c r="I39" s="10" t="s">
        <v>887</v>
      </c>
      <c r="J39" s="50" t="s">
        <v>2584</v>
      </c>
      <c r="K39" s="10" t="s">
        <v>1</v>
      </c>
      <c r="L39" s="12">
        <v>5000</v>
      </c>
      <c r="M39" s="12">
        <v>5500</v>
      </c>
      <c r="N39" s="12">
        <v>0</v>
      </c>
      <c r="O39" s="112">
        <v>27500000</v>
      </c>
      <c r="P39" s="112">
        <f t="shared" si="2"/>
        <v>27500000</v>
      </c>
      <c r="Q39" s="112">
        <v>3025000</v>
      </c>
      <c r="R39" s="112"/>
      <c r="S39" s="112">
        <v>0</v>
      </c>
      <c r="T39" s="112">
        <f t="shared" ref="T39:T70" si="7">P39+Q39-S39</f>
        <v>30525000</v>
      </c>
      <c r="U39" s="42">
        <v>5000</v>
      </c>
    </row>
    <row r="40" spans="1:21" s="36" customFormat="1" ht="15.45" hidden="1" x14ac:dyDescent="0.35">
      <c r="A40" s="19" t="s">
        <v>114</v>
      </c>
      <c r="B40" s="9">
        <v>45840</v>
      </c>
      <c r="C40" s="14" t="s">
        <v>2502</v>
      </c>
      <c r="D40" s="10" t="s">
        <v>2503</v>
      </c>
      <c r="E40" s="9">
        <v>45834</v>
      </c>
      <c r="F40" s="10" t="s">
        <v>71</v>
      </c>
      <c r="G40" s="10" t="s">
        <v>76</v>
      </c>
      <c r="H40" s="10" t="s">
        <v>23</v>
      </c>
      <c r="I40" s="10" t="s">
        <v>978</v>
      </c>
      <c r="J40" s="50" t="s">
        <v>2930</v>
      </c>
      <c r="K40" s="10" t="s">
        <v>1</v>
      </c>
      <c r="L40" s="12">
        <v>1000</v>
      </c>
      <c r="M40" s="12">
        <v>28399</v>
      </c>
      <c r="N40" s="12">
        <v>16228</v>
      </c>
      <c r="O40" s="112">
        <v>28399000</v>
      </c>
      <c r="P40" s="112">
        <f t="shared" ref="P40:P71" si="8">O40</f>
        <v>28399000</v>
      </c>
      <c r="Q40" s="112">
        <v>3123890</v>
      </c>
      <c r="R40" s="112"/>
      <c r="S40" s="112">
        <v>0</v>
      </c>
      <c r="T40" s="112">
        <f t="shared" si="7"/>
        <v>31522890</v>
      </c>
      <c r="U40" s="42">
        <v>1000</v>
      </c>
    </row>
    <row r="41" spans="1:21" s="36" customFormat="1" ht="15.45" hidden="1" x14ac:dyDescent="0.35">
      <c r="A41" s="19" t="s">
        <v>132</v>
      </c>
      <c r="B41" s="9">
        <v>45840</v>
      </c>
      <c r="C41" s="14" t="s">
        <v>2504</v>
      </c>
      <c r="D41" s="10" t="s">
        <v>2505</v>
      </c>
      <c r="E41" s="9">
        <v>45840</v>
      </c>
      <c r="F41" s="10" t="s">
        <v>129</v>
      </c>
      <c r="G41" s="10" t="s">
        <v>2506</v>
      </c>
      <c r="H41" s="10" t="s">
        <v>24</v>
      </c>
      <c r="I41" s="10" t="s">
        <v>61</v>
      </c>
      <c r="J41" s="10"/>
      <c r="K41" s="10" t="s">
        <v>6</v>
      </c>
      <c r="L41" s="12">
        <v>100</v>
      </c>
      <c r="M41" s="12">
        <v>1400</v>
      </c>
      <c r="N41" s="12">
        <v>0</v>
      </c>
      <c r="O41" s="112">
        <v>140000</v>
      </c>
      <c r="P41" s="112">
        <f t="shared" si="8"/>
        <v>140000</v>
      </c>
      <c r="Q41" s="112">
        <v>0</v>
      </c>
      <c r="R41" s="112"/>
      <c r="S41" s="112">
        <v>0</v>
      </c>
      <c r="T41" s="112">
        <f t="shared" si="7"/>
        <v>140000</v>
      </c>
      <c r="U41" s="42">
        <v>100</v>
      </c>
    </row>
    <row r="42" spans="1:21" s="36" customFormat="1" ht="15.45" hidden="1" x14ac:dyDescent="0.35">
      <c r="A42" s="19" t="s">
        <v>132</v>
      </c>
      <c r="B42" s="9">
        <v>45840</v>
      </c>
      <c r="C42" s="14" t="s">
        <v>2504</v>
      </c>
      <c r="D42" s="10" t="s">
        <v>2505</v>
      </c>
      <c r="E42" s="9">
        <v>45840</v>
      </c>
      <c r="F42" s="10" t="s">
        <v>129</v>
      </c>
      <c r="G42" s="10" t="s">
        <v>2507</v>
      </c>
      <c r="H42" s="10" t="s">
        <v>24</v>
      </c>
      <c r="I42" s="10" t="s">
        <v>61</v>
      </c>
      <c r="J42" s="10"/>
      <c r="K42" s="10" t="s">
        <v>10</v>
      </c>
      <c r="L42" s="12">
        <v>100</v>
      </c>
      <c r="M42" s="12">
        <v>3100</v>
      </c>
      <c r="N42" s="12">
        <v>0</v>
      </c>
      <c r="O42" s="112">
        <v>310000</v>
      </c>
      <c r="P42" s="112">
        <f t="shared" si="8"/>
        <v>310000</v>
      </c>
      <c r="Q42" s="112">
        <v>0</v>
      </c>
      <c r="R42" s="112"/>
      <c r="S42" s="112">
        <v>0</v>
      </c>
      <c r="T42" s="112">
        <f t="shared" si="7"/>
        <v>310000</v>
      </c>
      <c r="U42" s="42">
        <v>100</v>
      </c>
    </row>
    <row r="43" spans="1:21" s="36" customFormat="1" ht="15.45" hidden="1" x14ac:dyDescent="0.35">
      <c r="A43" s="19" t="s">
        <v>113</v>
      </c>
      <c r="B43" s="9">
        <v>45840</v>
      </c>
      <c r="C43" s="14" t="s">
        <v>2508</v>
      </c>
      <c r="D43" s="10" t="s">
        <v>2509</v>
      </c>
      <c r="E43" s="9">
        <v>45840</v>
      </c>
      <c r="F43" s="10" t="s">
        <v>42</v>
      </c>
      <c r="G43" s="10" t="s">
        <v>2510</v>
      </c>
      <c r="H43" s="10" t="s">
        <v>24</v>
      </c>
      <c r="I43" s="10" t="s">
        <v>61</v>
      </c>
      <c r="J43" s="10"/>
      <c r="K43" s="10" t="s">
        <v>6</v>
      </c>
      <c r="L43" s="12">
        <v>1</v>
      </c>
      <c r="M43" s="12">
        <v>235000</v>
      </c>
      <c r="N43" s="12">
        <v>0</v>
      </c>
      <c r="O43" s="112">
        <v>235000</v>
      </c>
      <c r="P43" s="112">
        <f t="shared" si="8"/>
        <v>235000</v>
      </c>
      <c r="Q43" s="112">
        <v>0</v>
      </c>
      <c r="R43" s="112"/>
      <c r="S43" s="112">
        <v>0</v>
      </c>
      <c r="T43" s="112">
        <f t="shared" si="7"/>
        <v>235000</v>
      </c>
      <c r="U43" s="42">
        <v>1</v>
      </c>
    </row>
    <row r="44" spans="1:21" s="36" customFormat="1" ht="15.45" hidden="1" x14ac:dyDescent="0.35">
      <c r="A44" s="19" t="s">
        <v>113</v>
      </c>
      <c r="B44" s="9">
        <v>45840</v>
      </c>
      <c r="C44" s="14" t="s">
        <v>2508</v>
      </c>
      <c r="D44" s="10" t="s">
        <v>2509</v>
      </c>
      <c r="E44" s="9">
        <v>45840</v>
      </c>
      <c r="F44" s="10" t="s">
        <v>42</v>
      </c>
      <c r="G44" s="10" t="s">
        <v>2511</v>
      </c>
      <c r="H44" s="10" t="s">
        <v>24</v>
      </c>
      <c r="I44" s="10" t="s">
        <v>61</v>
      </c>
      <c r="J44" s="10"/>
      <c r="K44" s="10" t="s">
        <v>6</v>
      </c>
      <c r="L44" s="12">
        <v>10</v>
      </c>
      <c r="M44" s="12">
        <v>6500</v>
      </c>
      <c r="N44" s="12">
        <v>0</v>
      </c>
      <c r="O44" s="112">
        <v>65000</v>
      </c>
      <c r="P44" s="112">
        <f t="shared" si="8"/>
        <v>65000</v>
      </c>
      <c r="Q44" s="112">
        <v>0</v>
      </c>
      <c r="R44" s="112"/>
      <c r="S44" s="112">
        <v>0</v>
      </c>
      <c r="T44" s="112">
        <f t="shared" si="7"/>
        <v>65000</v>
      </c>
      <c r="U44" s="42">
        <v>10</v>
      </c>
    </row>
    <row r="45" spans="1:21" s="36" customFormat="1" ht="15.45" hidden="1" x14ac:dyDescent="0.35">
      <c r="A45" s="19" t="s">
        <v>113</v>
      </c>
      <c r="B45" s="9">
        <v>45840</v>
      </c>
      <c r="C45" s="14" t="s">
        <v>2508</v>
      </c>
      <c r="D45" s="10" t="s">
        <v>2509</v>
      </c>
      <c r="E45" s="9">
        <v>45840</v>
      </c>
      <c r="F45" s="10" t="s">
        <v>42</v>
      </c>
      <c r="G45" s="10" t="s">
        <v>2512</v>
      </c>
      <c r="H45" s="10" t="s">
        <v>24</v>
      </c>
      <c r="I45" s="10" t="s">
        <v>61</v>
      </c>
      <c r="J45" s="10"/>
      <c r="K45" s="10" t="s">
        <v>6</v>
      </c>
      <c r="L45" s="12">
        <v>10</v>
      </c>
      <c r="M45" s="12">
        <v>7500</v>
      </c>
      <c r="N45" s="12">
        <v>0</v>
      </c>
      <c r="O45" s="112">
        <v>75000</v>
      </c>
      <c r="P45" s="112">
        <f t="shared" si="8"/>
        <v>75000</v>
      </c>
      <c r="Q45" s="112">
        <v>0</v>
      </c>
      <c r="R45" s="112"/>
      <c r="S45" s="112">
        <v>0</v>
      </c>
      <c r="T45" s="112">
        <f t="shared" si="7"/>
        <v>75000</v>
      </c>
      <c r="U45" s="42">
        <v>10</v>
      </c>
    </row>
    <row r="46" spans="1:21" s="36" customFormat="1" ht="15.45" hidden="1" x14ac:dyDescent="0.35">
      <c r="A46" s="19" t="s">
        <v>111</v>
      </c>
      <c r="B46" s="9">
        <v>45840</v>
      </c>
      <c r="C46" s="14" t="s">
        <v>2513</v>
      </c>
      <c r="D46" s="10" t="s">
        <v>2514</v>
      </c>
      <c r="E46" s="9">
        <v>45840</v>
      </c>
      <c r="F46" s="10" t="s">
        <v>55</v>
      </c>
      <c r="G46" s="10" t="s">
        <v>2515</v>
      </c>
      <c r="H46" s="10" t="s">
        <v>24</v>
      </c>
      <c r="I46" s="10" t="s">
        <v>61</v>
      </c>
      <c r="J46" s="10"/>
      <c r="K46" s="10" t="s">
        <v>6</v>
      </c>
      <c r="L46" s="12">
        <v>12</v>
      </c>
      <c r="M46" s="12">
        <v>125000</v>
      </c>
      <c r="N46" s="12">
        <v>0</v>
      </c>
      <c r="O46" s="112">
        <v>1500000</v>
      </c>
      <c r="P46" s="112">
        <f t="shared" si="8"/>
        <v>1500000</v>
      </c>
      <c r="Q46" s="112">
        <v>0</v>
      </c>
      <c r="R46" s="112"/>
      <c r="S46" s="112">
        <v>0</v>
      </c>
      <c r="T46" s="112">
        <f t="shared" si="7"/>
        <v>1500000</v>
      </c>
      <c r="U46" s="42">
        <v>12</v>
      </c>
    </row>
    <row r="47" spans="1:21" s="36" customFormat="1" ht="15.45" hidden="1" x14ac:dyDescent="0.35">
      <c r="A47" s="19" t="s">
        <v>2567</v>
      </c>
      <c r="B47" s="9">
        <v>45840</v>
      </c>
      <c r="C47" s="14" t="s">
        <v>2516</v>
      </c>
      <c r="D47" s="10" t="s">
        <v>2517</v>
      </c>
      <c r="E47" s="9">
        <v>45840</v>
      </c>
      <c r="F47" s="10" t="s">
        <v>2562</v>
      </c>
      <c r="G47" s="10" t="s">
        <v>2518</v>
      </c>
      <c r="H47" s="10" t="s">
        <v>26</v>
      </c>
      <c r="I47" s="10" t="s">
        <v>80</v>
      </c>
      <c r="J47" s="10"/>
      <c r="K47" s="10" t="s">
        <v>6</v>
      </c>
      <c r="L47" s="12">
        <v>1</v>
      </c>
      <c r="M47" s="12">
        <v>75000</v>
      </c>
      <c r="N47" s="12">
        <v>0</v>
      </c>
      <c r="O47" s="112">
        <v>75000</v>
      </c>
      <c r="P47" s="112">
        <f t="shared" si="8"/>
        <v>75000</v>
      </c>
      <c r="Q47" s="112">
        <v>0</v>
      </c>
      <c r="R47" s="112"/>
      <c r="S47" s="112">
        <v>0</v>
      </c>
      <c r="T47" s="112">
        <f t="shared" si="7"/>
        <v>75000</v>
      </c>
      <c r="U47" s="42">
        <v>1</v>
      </c>
    </row>
    <row r="48" spans="1:21" s="36" customFormat="1" ht="15.45" hidden="1" x14ac:dyDescent="0.35">
      <c r="A48" s="19" t="s">
        <v>2567</v>
      </c>
      <c r="B48" s="9">
        <v>45840</v>
      </c>
      <c r="C48" s="14" t="s">
        <v>2516</v>
      </c>
      <c r="D48" s="10" t="s">
        <v>2517</v>
      </c>
      <c r="E48" s="9">
        <v>45840</v>
      </c>
      <c r="F48" s="10" t="s">
        <v>2562</v>
      </c>
      <c r="G48" s="10" t="s">
        <v>2519</v>
      </c>
      <c r="H48" s="10" t="s">
        <v>26</v>
      </c>
      <c r="I48" s="10" t="s">
        <v>80</v>
      </c>
      <c r="J48" s="10"/>
      <c r="K48" s="10" t="s">
        <v>1043</v>
      </c>
      <c r="L48" s="12">
        <v>9</v>
      </c>
      <c r="M48" s="12">
        <v>450000</v>
      </c>
      <c r="N48" s="12">
        <v>0</v>
      </c>
      <c r="O48" s="112">
        <v>4050000</v>
      </c>
      <c r="P48" s="112">
        <f t="shared" si="8"/>
        <v>4050000</v>
      </c>
      <c r="Q48" s="112">
        <v>0</v>
      </c>
      <c r="R48" s="112"/>
      <c r="S48" s="112">
        <v>0</v>
      </c>
      <c r="T48" s="112">
        <f t="shared" si="7"/>
        <v>4050000</v>
      </c>
      <c r="U48" s="42">
        <v>9</v>
      </c>
    </row>
    <row r="49" spans="1:21" s="36" customFormat="1" ht="15.45" hidden="1" x14ac:dyDescent="0.35">
      <c r="A49" s="19" t="s">
        <v>2567</v>
      </c>
      <c r="B49" s="9">
        <v>45840</v>
      </c>
      <c r="C49" s="14" t="s">
        <v>2516</v>
      </c>
      <c r="D49" s="10" t="s">
        <v>2517</v>
      </c>
      <c r="E49" s="9">
        <v>45840</v>
      </c>
      <c r="F49" s="10" t="s">
        <v>2562</v>
      </c>
      <c r="G49" s="10" t="s">
        <v>2520</v>
      </c>
      <c r="H49" s="10" t="s">
        <v>26</v>
      </c>
      <c r="I49" s="10" t="s">
        <v>80</v>
      </c>
      <c r="J49" s="10"/>
      <c r="K49" s="10" t="s">
        <v>2521</v>
      </c>
      <c r="L49" s="12">
        <v>1</v>
      </c>
      <c r="M49" s="12">
        <v>175000</v>
      </c>
      <c r="N49" s="12">
        <v>0</v>
      </c>
      <c r="O49" s="112">
        <v>175000</v>
      </c>
      <c r="P49" s="112">
        <f t="shared" si="8"/>
        <v>175000</v>
      </c>
      <c r="Q49" s="112">
        <v>0</v>
      </c>
      <c r="R49" s="112"/>
      <c r="S49" s="112">
        <v>0</v>
      </c>
      <c r="T49" s="112">
        <f t="shared" si="7"/>
        <v>175000</v>
      </c>
      <c r="U49" s="42">
        <v>1</v>
      </c>
    </row>
    <row r="50" spans="1:21" s="36" customFormat="1" ht="15.45" hidden="1" x14ac:dyDescent="0.35">
      <c r="A50" s="19" t="s">
        <v>2567</v>
      </c>
      <c r="B50" s="9">
        <v>45840</v>
      </c>
      <c r="C50" s="14" t="s">
        <v>2516</v>
      </c>
      <c r="D50" s="10" t="s">
        <v>2517</v>
      </c>
      <c r="E50" s="9">
        <v>45840</v>
      </c>
      <c r="F50" s="10" t="s">
        <v>2562</v>
      </c>
      <c r="G50" s="10" t="s">
        <v>2522</v>
      </c>
      <c r="H50" s="10" t="s">
        <v>26</v>
      </c>
      <c r="I50" s="10" t="s">
        <v>80</v>
      </c>
      <c r="J50" s="10"/>
      <c r="K50" s="10" t="s">
        <v>2523</v>
      </c>
      <c r="L50" s="12">
        <v>1</v>
      </c>
      <c r="M50" s="12">
        <v>2500000</v>
      </c>
      <c r="N50" s="12">
        <v>0</v>
      </c>
      <c r="O50" s="112">
        <v>2500000</v>
      </c>
      <c r="P50" s="112">
        <f t="shared" si="8"/>
        <v>2500000</v>
      </c>
      <c r="Q50" s="112">
        <v>0</v>
      </c>
      <c r="R50" s="112"/>
      <c r="S50" s="112">
        <v>0</v>
      </c>
      <c r="T50" s="112">
        <f t="shared" si="7"/>
        <v>2500000</v>
      </c>
      <c r="U50" s="42">
        <v>1</v>
      </c>
    </row>
    <row r="51" spans="1:21" s="36" customFormat="1" ht="15.45" hidden="1" x14ac:dyDescent="0.35">
      <c r="A51" s="19" t="s">
        <v>1113</v>
      </c>
      <c r="B51" s="9">
        <v>45840</v>
      </c>
      <c r="C51" s="14" t="s">
        <v>2524</v>
      </c>
      <c r="D51" s="10" t="s">
        <v>2525</v>
      </c>
      <c r="E51" s="9">
        <v>45832</v>
      </c>
      <c r="F51" s="10" t="s">
        <v>1059</v>
      </c>
      <c r="G51" s="10" t="s">
        <v>2526</v>
      </c>
      <c r="H51" s="10" t="s">
        <v>24</v>
      </c>
      <c r="I51" s="10" t="s">
        <v>61</v>
      </c>
      <c r="J51" s="50" t="s">
        <v>2588</v>
      </c>
      <c r="K51" s="10" t="s">
        <v>6</v>
      </c>
      <c r="L51" s="12">
        <v>2</v>
      </c>
      <c r="M51" s="12">
        <v>950000</v>
      </c>
      <c r="N51" s="12">
        <v>0</v>
      </c>
      <c r="O51" s="112">
        <v>1900000</v>
      </c>
      <c r="P51" s="112">
        <f t="shared" si="8"/>
        <v>1900000</v>
      </c>
      <c r="Q51" s="112">
        <v>209000</v>
      </c>
      <c r="R51" s="112"/>
      <c r="S51" s="112">
        <v>0</v>
      </c>
      <c r="T51" s="112">
        <f t="shared" si="7"/>
        <v>2109000</v>
      </c>
      <c r="U51" s="42">
        <v>2</v>
      </c>
    </row>
    <row r="52" spans="1:21" s="36" customFormat="1" ht="15.45" hidden="1" x14ac:dyDescent="0.35">
      <c r="A52" s="19" t="s">
        <v>108</v>
      </c>
      <c r="B52" s="9">
        <v>45840</v>
      </c>
      <c r="C52" s="14" t="s">
        <v>2527</v>
      </c>
      <c r="D52" s="10" t="s">
        <v>2528</v>
      </c>
      <c r="E52" s="9">
        <v>45834</v>
      </c>
      <c r="F52" s="10" t="s">
        <v>51</v>
      </c>
      <c r="G52" s="10" t="s">
        <v>1692</v>
      </c>
      <c r="H52" s="10" t="s">
        <v>24</v>
      </c>
      <c r="I52" s="10" t="s">
        <v>61</v>
      </c>
      <c r="J52" s="50" t="s">
        <v>2652</v>
      </c>
      <c r="K52" s="10" t="s">
        <v>6</v>
      </c>
      <c r="L52" s="12">
        <v>3</v>
      </c>
      <c r="M52" s="12">
        <v>150000</v>
      </c>
      <c r="N52" s="12">
        <v>0</v>
      </c>
      <c r="O52" s="112">
        <v>450000</v>
      </c>
      <c r="P52" s="112">
        <f t="shared" si="8"/>
        <v>450000</v>
      </c>
      <c r="Q52" s="112">
        <v>49500</v>
      </c>
      <c r="R52" s="112"/>
      <c r="S52" s="112">
        <v>0</v>
      </c>
      <c r="T52" s="112">
        <f t="shared" si="7"/>
        <v>499500</v>
      </c>
      <c r="U52" s="42">
        <v>3</v>
      </c>
    </row>
    <row r="53" spans="1:21" s="36" customFormat="1" ht="15.45" hidden="1" x14ac:dyDescent="0.35">
      <c r="A53" s="19" t="s">
        <v>108</v>
      </c>
      <c r="B53" s="9">
        <v>45840</v>
      </c>
      <c r="C53" s="14" t="s">
        <v>2527</v>
      </c>
      <c r="D53" s="10" t="s">
        <v>2528</v>
      </c>
      <c r="E53" s="9">
        <v>45834</v>
      </c>
      <c r="F53" s="10" t="s">
        <v>51</v>
      </c>
      <c r="G53" s="10" t="s">
        <v>58</v>
      </c>
      <c r="H53" s="10" t="s">
        <v>24</v>
      </c>
      <c r="I53" s="10" t="s">
        <v>61</v>
      </c>
      <c r="J53" s="50" t="s">
        <v>2652</v>
      </c>
      <c r="K53" s="10" t="s">
        <v>6</v>
      </c>
      <c r="L53" s="12">
        <v>20</v>
      </c>
      <c r="M53" s="12">
        <v>80000</v>
      </c>
      <c r="N53" s="12">
        <v>0</v>
      </c>
      <c r="O53" s="112">
        <v>1600000</v>
      </c>
      <c r="P53" s="112">
        <f t="shared" si="8"/>
        <v>1600000</v>
      </c>
      <c r="Q53" s="112">
        <v>176000</v>
      </c>
      <c r="R53" s="112"/>
      <c r="S53" s="112">
        <v>0</v>
      </c>
      <c r="T53" s="112">
        <f t="shared" si="7"/>
        <v>1776000</v>
      </c>
      <c r="U53" s="42">
        <v>20</v>
      </c>
    </row>
    <row r="54" spans="1:21" s="36" customFormat="1" ht="15.45" hidden="1" x14ac:dyDescent="0.35">
      <c r="A54" s="19" t="s">
        <v>1945</v>
      </c>
      <c r="B54" s="9">
        <v>45840</v>
      </c>
      <c r="C54" s="14" t="s">
        <v>2529</v>
      </c>
      <c r="D54" s="10" t="s">
        <v>2530</v>
      </c>
      <c r="E54" s="9">
        <v>45838</v>
      </c>
      <c r="F54" s="10" t="s">
        <v>1934</v>
      </c>
      <c r="G54" s="10" t="s">
        <v>2531</v>
      </c>
      <c r="H54" s="10" t="s">
        <v>24</v>
      </c>
      <c r="I54" s="10" t="s">
        <v>61</v>
      </c>
      <c r="J54" s="50" t="s">
        <v>2716</v>
      </c>
      <c r="K54" s="10" t="s">
        <v>6</v>
      </c>
      <c r="L54" s="12">
        <v>1</v>
      </c>
      <c r="M54" s="12">
        <v>171000</v>
      </c>
      <c r="N54" s="12">
        <v>0</v>
      </c>
      <c r="O54" s="112">
        <v>171000</v>
      </c>
      <c r="P54" s="112">
        <f t="shared" si="8"/>
        <v>171000</v>
      </c>
      <c r="Q54" s="112">
        <v>18810</v>
      </c>
      <c r="R54" s="112"/>
      <c r="S54" s="112">
        <v>0</v>
      </c>
      <c r="T54" s="112">
        <f t="shared" si="7"/>
        <v>189810</v>
      </c>
      <c r="U54" s="42">
        <v>1</v>
      </c>
    </row>
    <row r="55" spans="1:21" s="36" customFormat="1" ht="15.45" hidden="1" x14ac:dyDescent="0.35">
      <c r="A55" s="19" t="s">
        <v>133</v>
      </c>
      <c r="B55" s="9">
        <v>45840</v>
      </c>
      <c r="C55" s="14" t="s">
        <v>2532</v>
      </c>
      <c r="D55" s="10" t="s">
        <v>2533</v>
      </c>
      <c r="E55" s="9">
        <v>45840</v>
      </c>
      <c r="F55" s="10" t="s">
        <v>121</v>
      </c>
      <c r="G55" s="10" t="s">
        <v>122</v>
      </c>
      <c r="H55" s="10" t="s">
        <v>24</v>
      </c>
      <c r="I55" s="10" t="s">
        <v>61</v>
      </c>
      <c r="J55" s="10"/>
      <c r="K55" s="10" t="s">
        <v>123</v>
      </c>
      <c r="L55" s="12">
        <v>72</v>
      </c>
      <c r="M55" s="12">
        <v>19584</v>
      </c>
      <c r="N55" s="12">
        <v>0</v>
      </c>
      <c r="O55" s="112">
        <v>1410048</v>
      </c>
      <c r="P55" s="112">
        <f t="shared" si="8"/>
        <v>1410048</v>
      </c>
      <c r="Q55" s="112">
        <v>0</v>
      </c>
      <c r="R55" s="112"/>
      <c r="S55" s="112">
        <v>0</v>
      </c>
      <c r="T55" s="112">
        <f t="shared" si="7"/>
        <v>1410048</v>
      </c>
      <c r="U55" s="42">
        <v>72</v>
      </c>
    </row>
    <row r="56" spans="1:21" s="36" customFormat="1" ht="15.45" hidden="1" x14ac:dyDescent="0.35">
      <c r="A56" s="19" t="s">
        <v>106</v>
      </c>
      <c r="B56" s="9">
        <v>45841</v>
      </c>
      <c r="C56" s="14" t="s">
        <v>2534</v>
      </c>
      <c r="D56" s="10" t="s">
        <v>2535</v>
      </c>
      <c r="E56" s="9">
        <v>45840</v>
      </c>
      <c r="F56" s="10" t="s">
        <v>66</v>
      </c>
      <c r="G56" s="10" t="s">
        <v>53</v>
      </c>
      <c r="H56" s="10" t="s">
        <v>23</v>
      </c>
      <c r="I56" s="10" t="s">
        <v>978</v>
      </c>
      <c r="J56" s="50" t="s">
        <v>2946</v>
      </c>
      <c r="K56" s="10" t="s">
        <v>1</v>
      </c>
      <c r="L56" s="12">
        <v>1000</v>
      </c>
      <c r="M56" s="12">
        <v>11500</v>
      </c>
      <c r="N56" s="12">
        <v>0</v>
      </c>
      <c r="O56" s="112">
        <v>11500000</v>
      </c>
      <c r="P56" s="112">
        <f t="shared" si="8"/>
        <v>11500000</v>
      </c>
      <c r="Q56" s="112">
        <v>1265000</v>
      </c>
      <c r="R56" s="112"/>
      <c r="S56" s="112">
        <v>0</v>
      </c>
      <c r="T56" s="112">
        <f t="shared" si="7"/>
        <v>12765000</v>
      </c>
      <c r="U56" s="42">
        <v>1000</v>
      </c>
    </row>
    <row r="57" spans="1:21" s="36" customFormat="1" ht="15.45" hidden="1" x14ac:dyDescent="0.35">
      <c r="A57" s="19" t="s">
        <v>592</v>
      </c>
      <c r="B57" s="9">
        <v>45841</v>
      </c>
      <c r="C57" s="14" t="s">
        <v>2536</v>
      </c>
      <c r="D57" s="10" t="s">
        <v>2537</v>
      </c>
      <c r="E57" s="9">
        <v>45834</v>
      </c>
      <c r="F57" s="10" t="s">
        <v>585</v>
      </c>
      <c r="G57" s="10" t="s">
        <v>589</v>
      </c>
      <c r="H57" s="10" t="s">
        <v>23</v>
      </c>
      <c r="I57" s="10" t="s">
        <v>886</v>
      </c>
      <c r="J57" s="50" t="s">
        <v>2854</v>
      </c>
      <c r="K57" s="10" t="s">
        <v>1</v>
      </c>
      <c r="L57" s="12">
        <v>300</v>
      </c>
      <c r="M57" s="12">
        <v>100812</v>
      </c>
      <c r="N57" s="12">
        <v>16260</v>
      </c>
      <c r="O57" s="112">
        <v>30243600</v>
      </c>
      <c r="P57" s="112">
        <f t="shared" si="8"/>
        <v>30243600</v>
      </c>
      <c r="Q57" s="112">
        <v>3326796</v>
      </c>
      <c r="R57" s="112"/>
      <c r="S57" s="112">
        <v>0</v>
      </c>
      <c r="T57" s="112">
        <f t="shared" si="7"/>
        <v>33570396</v>
      </c>
      <c r="U57" s="42">
        <v>300</v>
      </c>
    </row>
    <row r="58" spans="1:21" s="36" customFormat="1" ht="15.45" hidden="1" x14ac:dyDescent="0.35">
      <c r="A58" s="19" t="s">
        <v>134</v>
      </c>
      <c r="B58" s="9">
        <v>45842</v>
      </c>
      <c r="C58" s="14" t="s">
        <v>2543</v>
      </c>
      <c r="D58" s="10" t="s">
        <v>2544</v>
      </c>
      <c r="E58" s="9">
        <v>45840</v>
      </c>
      <c r="F58" s="10" t="s">
        <v>127</v>
      </c>
      <c r="G58" s="10" t="s">
        <v>128</v>
      </c>
      <c r="H58" s="10" t="s">
        <v>23</v>
      </c>
      <c r="I58" s="10" t="s">
        <v>891</v>
      </c>
      <c r="J58" s="50" t="s">
        <v>2853</v>
      </c>
      <c r="K58" s="10" t="s">
        <v>1</v>
      </c>
      <c r="L58" s="12">
        <v>120</v>
      </c>
      <c r="M58" s="12">
        <v>12160</v>
      </c>
      <c r="N58" s="12">
        <v>16213</v>
      </c>
      <c r="O58" s="112">
        <v>1459200</v>
      </c>
      <c r="P58" s="112">
        <f t="shared" si="8"/>
        <v>1459200</v>
      </c>
      <c r="Q58" s="112">
        <v>160512</v>
      </c>
      <c r="R58" s="112"/>
      <c r="S58" s="112">
        <v>0</v>
      </c>
      <c r="T58" s="112">
        <f t="shared" si="7"/>
        <v>1619712</v>
      </c>
      <c r="U58" s="42">
        <v>120</v>
      </c>
    </row>
    <row r="59" spans="1:21" s="36" customFormat="1" ht="15.45" hidden="1" x14ac:dyDescent="0.35">
      <c r="A59" s="19" t="s">
        <v>1945</v>
      </c>
      <c r="B59" s="9">
        <v>45842</v>
      </c>
      <c r="C59" s="14" t="s">
        <v>2545</v>
      </c>
      <c r="D59" s="10" t="s">
        <v>2546</v>
      </c>
      <c r="E59" s="9">
        <v>45841</v>
      </c>
      <c r="F59" s="10" t="s">
        <v>1934</v>
      </c>
      <c r="G59" s="10" t="s">
        <v>2547</v>
      </c>
      <c r="H59" s="10" t="s">
        <v>24</v>
      </c>
      <c r="I59" s="10" t="s">
        <v>61</v>
      </c>
      <c r="J59" s="50" t="s">
        <v>2718</v>
      </c>
      <c r="K59" s="10" t="s">
        <v>10</v>
      </c>
      <c r="L59" s="12">
        <v>20</v>
      </c>
      <c r="M59" s="12">
        <v>13700</v>
      </c>
      <c r="N59" s="12">
        <v>0</v>
      </c>
      <c r="O59" s="112">
        <v>274000</v>
      </c>
      <c r="P59" s="112">
        <f t="shared" si="8"/>
        <v>274000</v>
      </c>
      <c r="Q59" s="112">
        <v>30140</v>
      </c>
      <c r="R59" s="112"/>
      <c r="S59" s="112">
        <v>0</v>
      </c>
      <c r="T59" s="112">
        <f t="shared" si="7"/>
        <v>304140</v>
      </c>
      <c r="U59" s="42">
        <v>20</v>
      </c>
    </row>
    <row r="60" spans="1:21" s="36" customFormat="1" ht="15.45" hidden="1" x14ac:dyDescent="0.35">
      <c r="A60" s="19" t="s">
        <v>1945</v>
      </c>
      <c r="B60" s="9">
        <v>45842</v>
      </c>
      <c r="C60" s="14" t="s">
        <v>2545</v>
      </c>
      <c r="D60" s="10" t="s">
        <v>2546</v>
      </c>
      <c r="E60" s="9">
        <v>45841</v>
      </c>
      <c r="F60" s="10" t="s">
        <v>1934</v>
      </c>
      <c r="G60" s="10" t="s">
        <v>1077</v>
      </c>
      <c r="H60" s="10" t="s">
        <v>24</v>
      </c>
      <c r="I60" s="10" t="s">
        <v>61</v>
      </c>
      <c r="J60" s="50" t="s">
        <v>2718</v>
      </c>
      <c r="K60" s="10" t="s">
        <v>10</v>
      </c>
      <c r="L60" s="12">
        <v>10</v>
      </c>
      <c r="M60" s="12">
        <v>18400</v>
      </c>
      <c r="N60" s="12">
        <v>0</v>
      </c>
      <c r="O60" s="112">
        <v>184000</v>
      </c>
      <c r="P60" s="112">
        <f t="shared" si="8"/>
        <v>184000</v>
      </c>
      <c r="Q60" s="112">
        <v>20240</v>
      </c>
      <c r="R60" s="112"/>
      <c r="S60" s="112">
        <v>0</v>
      </c>
      <c r="T60" s="112">
        <f t="shared" si="7"/>
        <v>204240</v>
      </c>
      <c r="U60" s="42">
        <v>10</v>
      </c>
    </row>
    <row r="61" spans="1:21" s="36" customFormat="1" ht="15.45" hidden="1" x14ac:dyDescent="0.35">
      <c r="A61" s="19" t="s">
        <v>1945</v>
      </c>
      <c r="B61" s="9">
        <v>45842</v>
      </c>
      <c r="C61" s="14" t="s">
        <v>2545</v>
      </c>
      <c r="D61" s="10" t="s">
        <v>2546</v>
      </c>
      <c r="E61" s="9">
        <v>45841</v>
      </c>
      <c r="F61" s="10" t="s">
        <v>1934</v>
      </c>
      <c r="G61" s="10" t="s">
        <v>2548</v>
      </c>
      <c r="H61" s="10" t="s">
        <v>24</v>
      </c>
      <c r="I61" s="10" t="s">
        <v>61</v>
      </c>
      <c r="J61" s="50" t="s">
        <v>2718</v>
      </c>
      <c r="K61" s="10" t="s">
        <v>6</v>
      </c>
      <c r="L61" s="12">
        <v>15</v>
      </c>
      <c r="M61" s="12">
        <v>18400</v>
      </c>
      <c r="N61" s="12">
        <v>0</v>
      </c>
      <c r="O61" s="112">
        <v>276000</v>
      </c>
      <c r="P61" s="112">
        <f t="shared" si="8"/>
        <v>276000</v>
      </c>
      <c r="Q61" s="112">
        <v>30360</v>
      </c>
      <c r="R61" s="112"/>
      <c r="S61" s="112">
        <v>0</v>
      </c>
      <c r="T61" s="112">
        <f t="shared" si="7"/>
        <v>306360</v>
      </c>
      <c r="U61" s="42">
        <v>15</v>
      </c>
    </row>
    <row r="62" spans="1:21" s="36" customFormat="1" ht="15.45" hidden="1" x14ac:dyDescent="0.35">
      <c r="A62" s="19" t="s">
        <v>1945</v>
      </c>
      <c r="B62" s="9">
        <v>45842</v>
      </c>
      <c r="C62" s="14" t="s">
        <v>2545</v>
      </c>
      <c r="D62" s="10" t="s">
        <v>2546</v>
      </c>
      <c r="E62" s="9">
        <v>45841</v>
      </c>
      <c r="F62" s="10" t="s">
        <v>1934</v>
      </c>
      <c r="G62" s="10" t="s">
        <v>1079</v>
      </c>
      <c r="H62" s="10" t="s">
        <v>24</v>
      </c>
      <c r="I62" s="10" t="s">
        <v>61</v>
      </c>
      <c r="J62" s="50" t="s">
        <v>2718</v>
      </c>
      <c r="K62" s="10" t="s">
        <v>10</v>
      </c>
      <c r="L62" s="12">
        <v>10</v>
      </c>
      <c r="M62" s="12">
        <v>13200</v>
      </c>
      <c r="N62" s="12">
        <v>0</v>
      </c>
      <c r="O62" s="112">
        <v>132000</v>
      </c>
      <c r="P62" s="112">
        <f t="shared" si="8"/>
        <v>132000</v>
      </c>
      <c r="Q62" s="112">
        <v>14520</v>
      </c>
      <c r="R62" s="112"/>
      <c r="S62" s="112">
        <v>0</v>
      </c>
      <c r="T62" s="112">
        <f t="shared" si="7"/>
        <v>146520</v>
      </c>
      <c r="U62" s="42">
        <v>10</v>
      </c>
    </row>
    <row r="63" spans="1:21" s="36" customFormat="1" ht="15.45" hidden="1" x14ac:dyDescent="0.35">
      <c r="A63" s="19" t="s">
        <v>1945</v>
      </c>
      <c r="B63" s="9">
        <v>45842</v>
      </c>
      <c r="C63" s="14" t="s">
        <v>2545</v>
      </c>
      <c r="D63" s="10" t="s">
        <v>2546</v>
      </c>
      <c r="E63" s="9">
        <v>45841</v>
      </c>
      <c r="F63" s="10" t="s">
        <v>1934</v>
      </c>
      <c r="G63" s="10" t="s">
        <v>2549</v>
      </c>
      <c r="H63" s="10" t="s">
        <v>24</v>
      </c>
      <c r="I63" s="10" t="s">
        <v>61</v>
      </c>
      <c r="J63" s="50" t="s">
        <v>2718</v>
      </c>
      <c r="K63" s="10" t="s">
        <v>6</v>
      </c>
      <c r="L63" s="12">
        <v>10</v>
      </c>
      <c r="M63" s="12">
        <v>16200</v>
      </c>
      <c r="N63" s="12">
        <v>0</v>
      </c>
      <c r="O63" s="112">
        <v>162000</v>
      </c>
      <c r="P63" s="112">
        <f t="shared" si="8"/>
        <v>162000</v>
      </c>
      <c r="Q63" s="112">
        <v>17820</v>
      </c>
      <c r="R63" s="112"/>
      <c r="S63" s="112">
        <v>0</v>
      </c>
      <c r="T63" s="112">
        <f t="shared" si="7"/>
        <v>179820</v>
      </c>
      <c r="U63" s="42">
        <v>10</v>
      </c>
    </row>
    <row r="64" spans="1:21" s="36" customFormat="1" ht="15.45" hidden="1" x14ac:dyDescent="0.35">
      <c r="A64" s="19" t="s">
        <v>1945</v>
      </c>
      <c r="B64" s="9">
        <v>45842</v>
      </c>
      <c r="C64" s="14" t="s">
        <v>2545</v>
      </c>
      <c r="D64" s="10" t="s">
        <v>2546</v>
      </c>
      <c r="E64" s="9">
        <v>45841</v>
      </c>
      <c r="F64" s="10" t="s">
        <v>1934</v>
      </c>
      <c r="G64" s="10" t="s">
        <v>2550</v>
      </c>
      <c r="H64" s="10" t="s">
        <v>24</v>
      </c>
      <c r="I64" s="10" t="s">
        <v>61</v>
      </c>
      <c r="J64" s="50" t="s">
        <v>2718</v>
      </c>
      <c r="K64" s="10" t="s">
        <v>10</v>
      </c>
      <c r="L64" s="12">
        <v>10</v>
      </c>
      <c r="M64" s="12">
        <v>18000</v>
      </c>
      <c r="N64" s="12">
        <v>0</v>
      </c>
      <c r="O64" s="112">
        <v>180000</v>
      </c>
      <c r="P64" s="112">
        <f t="shared" si="8"/>
        <v>180000</v>
      </c>
      <c r="Q64" s="112">
        <v>19800</v>
      </c>
      <c r="R64" s="112"/>
      <c r="S64" s="112">
        <v>0</v>
      </c>
      <c r="T64" s="112">
        <f t="shared" si="7"/>
        <v>199800</v>
      </c>
      <c r="U64" s="42">
        <v>10</v>
      </c>
    </row>
    <row r="65" spans="1:21" s="36" customFormat="1" ht="15.45" hidden="1" x14ac:dyDescent="0.35">
      <c r="A65" s="19" t="s">
        <v>97</v>
      </c>
      <c r="B65" s="9">
        <v>45842</v>
      </c>
      <c r="C65" s="14" t="s">
        <v>2551</v>
      </c>
      <c r="D65" s="10" t="s">
        <v>2552</v>
      </c>
      <c r="E65" s="9">
        <v>45841</v>
      </c>
      <c r="F65" s="10" t="s">
        <v>63</v>
      </c>
      <c r="G65" s="10" t="s">
        <v>646</v>
      </c>
      <c r="H65" s="10" t="s">
        <v>24</v>
      </c>
      <c r="I65" s="10" t="s">
        <v>61</v>
      </c>
      <c r="J65" s="50" t="s">
        <v>2587</v>
      </c>
      <c r="K65" s="10" t="s">
        <v>15</v>
      </c>
      <c r="L65" s="12">
        <v>5</v>
      </c>
      <c r="M65" s="12">
        <v>200000</v>
      </c>
      <c r="N65" s="12">
        <v>0</v>
      </c>
      <c r="O65" s="112">
        <v>1000000</v>
      </c>
      <c r="P65" s="112">
        <f t="shared" si="8"/>
        <v>1000000</v>
      </c>
      <c r="Q65" s="112">
        <v>110000</v>
      </c>
      <c r="R65" s="112"/>
      <c r="S65" s="112">
        <v>0</v>
      </c>
      <c r="T65" s="112">
        <f t="shared" si="7"/>
        <v>1110000</v>
      </c>
      <c r="U65" s="42">
        <v>5</v>
      </c>
    </row>
    <row r="66" spans="1:21" s="36" customFormat="1" ht="15.45" hidden="1" x14ac:dyDescent="0.35">
      <c r="A66" s="19" t="s">
        <v>97</v>
      </c>
      <c r="B66" s="9">
        <v>45842</v>
      </c>
      <c r="C66" s="14" t="s">
        <v>2551</v>
      </c>
      <c r="D66" s="10" t="s">
        <v>2552</v>
      </c>
      <c r="E66" s="9">
        <v>45841</v>
      </c>
      <c r="F66" s="10" t="s">
        <v>63</v>
      </c>
      <c r="G66" s="10" t="s">
        <v>86</v>
      </c>
      <c r="H66" s="10" t="s">
        <v>24</v>
      </c>
      <c r="I66" s="10" t="s">
        <v>61</v>
      </c>
      <c r="J66" s="50" t="s">
        <v>2587</v>
      </c>
      <c r="K66" s="10" t="s">
        <v>6</v>
      </c>
      <c r="L66" s="12">
        <v>5</v>
      </c>
      <c r="M66" s="12">
        <v>200000</v>
      </c>
      <c r="N66" s="12">
        <v>0</v>
      </c>
      <c r="O66" s="112">
        <v>1000000</v>
      </c>
      <c r="P66" s="112">
        <f t="shared" si="8"/>
        <v>1000000</v>
      </c>
      <c r="Q66" s="112">
        <v>110000</v>
      </c>
      <c r="R66" s="112"/>
      <c r="S66" s="112">
        <v>0</v>
      </c>
      <c r="T66" s="112">
        <f t="shared" si="7"/>
        <v>1110000</v>
      </c>
      <c r="U66" s="42">
        <v>5</v>
      </c>
    </row>
    <row r="67" spans="1:21" s="36" customFormat="1" ht="15.45" hidden="1" x14ac:dyDescent="0.35">
      <c r="A67" s="19" t="s">
        <v>97</v>
      </c>
      <c r="B67" s="9">
        <v>45842</v>
      </c>
      <c r="C67" s="14" t="s">
        <v>2553</v>
      </c>
      <c r="D67" s="10" t="s">
        <v>2554</v>
      </c>
      <c r="E67" s="9">
        <v>45841</v>
      </c>
      <c r="F67" s="10" t="s">
        <v>63</v>
      </c>
      <c r="G67" s="10" t="s">
        <v>136</v>
      </c>
      <c r="H67" s="10" t="s">
        <v>24</v>
      </c>
      <c r="I67" s="10" t="s">
        <v>2192</v>
      </c>
      <c r="J67" s="50" t="s">
        <v>2586</v>
      </c>
      <c r="K67" s="10" t="s">
        <v>5</v>
      </c>
      <c r="L67" s="12">
        <v>1000</v>
      </c>
      <c r="M67" s="12">
        <v>39500</v>
      </c>
      <c r="N67" s="12">
        <v>0</v>
      </c>
      <c r="O67" s="112">
        <v>39500000</v>
      </c>
      <c r="P67" s="112">
        <f t="shared" si="8"/>
        <v>39500000</v>
      </c>
      <c r="Q67" s="112">
        <v>4345000</v>
      </c>
      <c r="R67" s="112"/>
      <c r="S67" s="112">
        <v>0</v>
      </c>
      <c r="T67" s="112">
        <f t="shared" si="7"/>
        <v>43845000</v>
      </c>
      <c r="U67" s="42">
        <v>1000</v>
      </c>
    </row>
    <row r="68" spans="1:21" s="36" customFormat="1" ht="15.45" hidden="1" x14ac:dyDescent="0.35">
      <c r="A68" s="19" t="s">
        <v>218</v>
      </c>
      <c r="B68" s="9">
        <v>45842</v>
      </c>
      <c r="C68" s="14" t="s">
        <v>2555</v>
      </c>
      <c r="D68" s="10" t="s">
        <v>2556</v>
      </c>
      <c r="E68" s="9">
        <v>45838</v>
      </c>
      <c r="F68" s="10" t="s">
        <v>44</v>
      </c>
      <c r="G68" s="10" t="s">
        <v>1922</v>
      </c>
      <c r="H68" s="10" t="s">
        <v>23</v>
      </c>
      <c r="I68" s="10" t="s">
        <v>885</v>
      </c>
      <c r="J68" s="50" t="s">
        <v>2585</v>
      </c>
      <c r="K68" s="10" t="s">
        <v>1</v>
      </c>
      <c r="L68" s="12">
        <v>250</v>
      </c>
      <c r="M68" s="12">
        <v>25060.400000000001</v>
      </c>
      <c r="N68" s="12">
        <v>16168</v>
      </c>
      <c r="O68" s="112">
        <v>6265100</v>
      </c>
      <c r="P68" s="112">
        <f t="shared" si="8"/>
        <v>6265100</v>
      </c>
      <c r="Q68" s="112">
        <v>689161</v>
      </c>
      <c r="R68" s="112"/>
      <c r="S68" s="112">
        <v>0</v>
      </c>
      <c r="T68" s="112">
        <f t="shared" si="7"/>
        <v>6954261</v>
      </c>
      <c r="U68" s="42">
        <v>250</v>
      </c>
    </row>
    <row r="69" spans="1:21" s="36" customFormat="1" ht="15.45" hidden="1" x14ac:dyDescent="0.35">
      <c r="A69" s="19" t="s">
        <v>105</v>
      </c>
      <c r="B69" s="9">
        <v>45841</v>
      </c>
      <c r="C69" s="14" t="s">
        <v>2538</v>
      </c>
      <c r="D69" s="10" t="s">
        <v>2539</v>
      </c>
      <c r="E69" s="9">
        <v>45840</v>
      </c>
      <c r="F69" s="10" t="s">
        <v>85</v>
      </c>
      <c r="G69" s="10" t="s">
        <v>131</v>
      </c>
      <c r="H69" s="10" t="s">
        <v>23</v>
      </c>
      <c r="I69" s="10" t="s">
        <v>886</v>
      </c>
      <c r="J69" s="50" t="s">
        <v>2787</v>
      </c>
      <c r="K69" s="10" t="s">
        <v>1</v>
      </c>
      <c r="L69" s="12">
        <v>100</v>
      </c>
      <c r="M69" s="12">
        <v>194556</v>
      </c>
      <c r="N69" s="12">
        <v>16213</v>
      </c>
      <c r="O69" s="112">
        <v>19455600</v>
      </c>
      <c r="P69" s="112">
        <f t="shared" si="8"/>
        <v>19455600</v>
      </c>
      <c r="Q69" s="112">
        <v>2140116</v>
      </c>
      <c r="R69" s="112"/>
      <c r="S69" s="112">
        <v>0</v>
      </c>
      <c r="T69" s="112">
        <f t="shared" si="7"/>
        <v>21595716</v>
      </c>
      <c r="U69" s="42">
        <v>100</v>
      </c>
    </row>
    <row r="70" spans="1:21" s="36" customFormat="1" ht="15.45" hidden="1" x14ac:dyDescent="0.35">
      <c r="A70" s="19" t="s">
        <v>1945</v>
      </c>
      <c r="B70" s="9">
        <v>45841</v>
      </c>
      <c r="C70" s="14" t="s">
        <v>2540</v>
      </c>
      <c r="D70" s="10" t="s">
        <v>2541</v>
      </c>
      <c r="E70" s="9">
        <v>45840</v>
      </c>
      <c r="F70" s="10" t="s">
        <v>1934</v>
      </c>
      <c r="G70" s="10" t="s">
        <v>2542</v>
      </c>
      <c r="H70" s="10" t="s">
        <v>24</v>
      </c>
      <c r="I70" s="10" t="s">
        <v>61</v>
      </c>
      <c r="J70" s="50" t="s">
        <v>2717</v>
      </c>
      <c r="K70" s="10" t="s">
        <v>6</v>
      </c>
      <c r="L70" s="12">
        <v>3</v>
      </c>
      <c r="M70" s="12">
        <v>117000</v>
      </c>
      <c r="N70" s="12">
        <v>0</v>
      </c>
      <c r="O70" s="112">
        <v>351000</v>
      </c>
      <c r="P70" s="112">
        <f t="shared" si="8"/>
        <v>351000</v>
      </c>
      <c r="Q70" s="112">
        <v>38610</v>
      </c>
      <c r="R70" s="112"/>
      <c r="S70" s="112">
        <v>0</v>
      </c>
      <c r="T70" s="112">
        <f t="shared" si="7"/>
        <v>389610</v>
      </c>
      <c r="U70" s="42">
        <v>3</v>
      </c>
    </row>
    <row r="71" spans="1:21" s="36" customFormat="1" ht="15.45" hidden="1" x14ac:dyDescent="0.35">
      <c r="A71" s="19" t="s">
        <v>98</v>
      </c>
      <c r="B71" s="9">
        <v>45843</v>
      </c>
      <c r="C71" s="14" t="s">
        <v>2557</v>
      </c>
      <c r="D71" s="10" t="s">
        <v>2498</v>
      </c>
      <c r="E71" s="9">
        <v>45840</v>
      </c>
      <c r="F71" s="10" t="s">
        <v>84</v>
      </c>
      <c r="G71" s="10" t="s">
        <v>175</v>
      </c>
      <c r="H71" s="10" t="s">
        <v>25</v>
      </c>
      <c r="I71" s="10" t="s">
        <v>79</v>
      </c>
      <c r="J71" s="50" t="s">
        <v>2893</v>
      </c>
      <c r="K71" s="10" t="s">
        <v>1</v>
      </c>
      <c r="L71" s="12">
        <v>31670</v>
      </c>
      <c r="M71" s="12">
        <v>1250</v>
      </c>
      <c r="N71" s="12">
        <v>0</v>
      </c>
      <c r="O71" s="112">
        <v>39587500</v>
      </c>
      <c r="P71" s="112">
        <f t="shared" si="8"/>
        <v>39587500</v>
      </c>
      <c r="Q71" s="112">
        <v>4354625</v>
      </c>
      <c r="R71" s="112">
        <f>P71*1.5%</f>
        <v>593812.5</v>
      </c>
      <c r="S71" s="112">
        <v>0</v>
      </c>
      <c r="T71" s="112">
        <f>P71+Q71-S71-R71</f>
        <v>43348312.5</v>
      </c>
      <c r="U71" s="42">
        <v>31670</v>
      </c>
    </row>
    <row r="72" spans="1:21" s="36" customFormat="1" ht="15.45" x14ac:dyDescent="0.35">
      <c r="A72" s="19" t="s">
        <v>115</v>
      </c>
      <c r="B72" s="9">
        <v>45843</v>
      </c>
      <c r="C72" s="14" t="s">
        <v>2558</v>
      </c>
      <c r="D72" s="10" t="s">
        <v>2500</v>
      </c>
      <c r="E72" s="9">
        <v>45840</v>
      </c>
      <c r="F72" s="10" t="s">
        <v>81</v>
      </c>
      <c r="G72" s="10" t="s">
        <v>89</v>
      </c>
      <c r="H72" s="10" t="s">
        <v>25</v>
      </c>
      <c r="I72" s="10" t="s">
        <v>79</v>
      </c>
      <c r="J72" s="50" t="s">
        <v>2680</v>
      </c>
      <c r="K72" s="10" t="s">
        <v>1</v>
      </c>
      <c r="L72" s="12">
        <v>31340</v>
      </c>
      <c r="M72" s="12">
        <v>1525</v>
      </c>
      <c r="N72" s="12">
        <v>0</v>
      </c>
      <c r="O72" s="112">
        <v>47793500</v>
      </c>
      <c r="P72" s="112">
        <f t="shared" ref="P72:P93" si="9">O72</f>
        <v>47793500</v>
      </c>
      <c r="Q72" s="112">
        <v>5257285</v>
      </c>
      <c r="R72" s="112">
        <f>P72*1.5%</f>
        <v>716902.5</v>
      </c>
      <c r="S72" s="112">
        <v>0</v>
      </c>
      <c r="T72" s="112">
        <f>P72+Q72-S72-R72</f>
        <v>52333882.5</v>
      </c>
      <c r="U72" s="42">
        <v>31340</v>
      </c>
    </row>
    <row r="73" spans="1:21" s="36" customFormat="1" ht="15.45" hidden="1" x14ac:dyDescent="0.35">
      <c r="A73" s="19" t="s">
        <v>149</v>
      </c>
      <c r="B73" s="9">
        <v>45843</v>
      </c>
      <c r="C73" s="14" t="s">
        <v>2559</v>
      </c>
      <c r="D73" s="10" t="s">
        <v>2560</v>
      </c>
      <c r="E73" s="9">
        <v>45842</v>
      </c>
      <c r="F73" s="10" t="s">
        <v>143</v>
      </c>
      <c r="G73" s="10" t="s">
        <v>2561</v>
      </c>
      <c r="H73" s="10" t="s">
        <v>24</v>
      </c>
      <c r="I73" s="10" t="s">
        <v>61</v>
      </c>
      <c r="J73" s="50" t="s">
        <v>2647</v>
      </c>
      <c r="K73" s="10" t="s">
        <v>6</v>
      </c>
      <c r="L73" s="12">
        <v>1</v>
      </c>
      <c r="M73" s="12">
        <v>1000000</v>
      </c>
      <c r="N73" s="12">
        <v>0</v>
      </c>
      <c r="O73" s="112">
        <v>1000000</v>
      </c>
      <c r="P73" s="112">
        <f t="shared" si="9"/>
        <v>1000000</v>
      </c>
      <c r="Q73" s="112">
        <v>110000</v>
      </c>
      <c r="R73" s="112"/>
      <c r="S73" s="112">
        <v>0</v>
      </c>
      <c r="T73" s="112">
        <f>P73+Q73-S73</f>
        <v>1110000</v>
      </c>
      <c r="U73" s="42">
        <v>1</v>
      </c>
    </row>
    <row r="74" spans="1:21" s="36" customFormat="1" ht="15.45" hidden="1" x14ac:dyDescent="0.35">
      <c r="A74" s="19" t="s">
        <v>105</v>
      </c>
      <c r="B74" s="9">
        <v>45845</v>
      </c>
      <c r="C74" s="14" t="s">
        <v>2601</v>
      </c>
      <c r="D74" s="10" t="s">
        <v>2412</v>
      </c>
      <c r="E74" s="9">
        <v>45819</v>
      </c>
      <c r="F74" s="10" t="s">
        <v>85</v>
      </c>
      <c r="G74" s="10" t="s">
        <v>67</v>
      </c>
      <c r="H74" s="10" t="s">
        <v>23</v>
      </c>
      <c r="I74" s="10" t="s">
        <v>886</v>
      </c>
      <c r="J74" s="50" t="s">
        <v>2788</v>
      </c>
      <c r="K74" s="10" t="s">
        <v>1</v>
      </c>
      <c r="L74" s="12">
        <v>400</v>
      </c>
      <c r="M74" s="12">
        <v>52016</v>
      </c>
      <c r="N74" s="12">
        <v>16255</v>
      </c>
      <c r="O74" s="112">
        <v>20806400</v>
      </c>
      <c r="P74" s="112">
        <f t="shared" si="9"/>
        <v>20806400</v>
      </c>
      <c r="Q74" s="112">
        <v>2288704</v>
      </c>
      <c r="R74" s="112"/>
      <c r="S74" s="112">
        <v>0</v>
      </c>
      <c r="T74" s="112">
        <f>P74+Q74-S74</f>
        <v>23095104</v>
      </c>
      <c r="U74" s="42">
        <v>400</v>
      </c>
    </row>
    <row r="75" spans="1:21" s="36" customFormat="1" ht="15.45" hidden="1" x14ac:dyDescent="0.35">
      <c r="A75" s="19" t="s">
        <v>2636</v>
      </c>
      <c r="B75" s="9">
        <v>45843</v>
      </c>
      <c r="C75" s="14" t="s">
        <v>2602</v>
      </c>
      <c r="D75" s="10" t="s">
        <v>2603</v>
      </c>
      <c r="E75" s="9">
        <v>45833</v>
      </c>
      <c r="F75" s="10" t="s">
        <v>2604</v>
      </c>
      <c r="G75" s="10" t="s">
        <v>2605</v>
      </c>
      <c r="H75" s="10" t="s">
        <v>24</v>
      </c>
      <c r="I75" s="10" t="s">
        <v>61</v>
      </c>
      <c r="J75" s="50" t="s">
        <v>2641</v>
      </c>
      <c r="K75" s="10" t="s">
        <v>6</v>
      </c>
      <c r="L75" s="12">
        <v>2</v>
      </c>
      <c r="M75" s="12">
        <v>420000</v>
      </c>
      <c r="N75" s="12">
        <v>0</v>
      </c>
      <c r="O75" s="112">
        <v>840000</v>
      </c>
      <c r="P75" s="112">
        <f t="shared" si="9"/>
        <v>840000</v>
      </c>
      <c r="Q75" s="112">
        <v>92400</v>
      </c>
      <c r="R75" s="112"/>
      <c r="S75" s="112">
        <v>0</v>
      </c>
      <c r="T75" s="112">
        <f>P75+Q75-S75</f>
        <v>932400</v>
      </c>
      <c r="U75" s="42">
        <v>2</v>
      </c>
    </row>
    <row r="76" spans="1:21" s="36" customFormat="1" ht="15.45" hidden="1" x14ac:dyDescent="0.35">
      <c r="A76" s="19" t="s">
        <v>98</v>
      </c>
      <c r="B76" s="9">
        <v>45846</v>
      </c>
      <c r="C76" s="14" t="s">
        <v>2606</v>
      </c>
      <c r="D76" s="10" t="s">
        <v>2498</v>
      </c>
      <c r="E76" s="9">
        <v>45840</v>
      </c>
      <c r="F76" s="10" t="s">
        <v>84</v>
      </c>
      <c r="G76" s="10" t="s">
        <v>175</v>
      </c>
      <c r="H76" s="10" t="s">
        <v>25</v>
      </c>
      <c r="I76" s="10" t="s">
        <v>79</v>
      </c>
      <c r="J76" s="50" t="s">
        <v>2893</v>
      </c>
      <c r="K76" s="10" t="s">
        <v>1</v>
      </c>
      <c r="L76" s="12">
        <v>33050</v>
      </c>
      <c r="M76" s="12">
        <v>1250</v>
      </c>
      <c r="N76" s="12">
        <v>0</v>
      </c>
      <c r="O76" s="112">
        <v>41312500</v>
      </c>
      <c r="P76" s="112">
        <f t="shared" si="9"/>
        <v>41312500</v>
      </c>
      <c r="Q76" s="112">
        <v>4544375</v>
      </c>
      <c r="R76" s="112">
        <f>P76*1.5%</f>
        <v>619687.5</v>
      </c>
      <c r="S76" s="112">
        <v>0</v>
      </c>
      <c r="T76" s="112">
        <f>P76+Q76-S76-R76</f>
        <v>45237187.5</v>
      </c>
      <c r="U76" s="42">
        <v>33050</v>
      </c>
    </row>
    <row r="77" spans="1:21" s="36" customFormat="1" ht="15.45" hidden="1" x14ac:dyDescent="0.35">
      <c r="A77" s="19" t="s">
        <v>98</v>
      </c>
      <c r="B77" s="9">
        <v>45846</v>
      </c>
      <c r="C77" s="14" t="s">
        <v>2607</v>
      </c>
      <c r="D77" s="10" t="s">
        <v>2608</v>
      </c>
      <c r="E77" s="9">
        <v>45840</v>
      </c>
      <c r="F77" s="10" t="s">
        <v>84</v>
      </c>
      <c r="G77" s="10" t="s">
        <v>89</v>
      </c>
      <c r="H77" s="10" t="s">
        <v>25</v>
      </c>
      <c r="I77" s="10" t="s">
        <v>79</v>
      </c>
      <c r="J77" s="50" t="s">
        <v>2895</v>
      </c>
      <c r="K77" s="10" t="s">
        <v>1</v>
      </c>
      <c r="L77" s="12">
        <v>35130</v>
      </c>
      <c r="M77" s="12">
        <v>1525</v>
      </c>
      <c r="N77" s="12">
        <v>0</v>
      </c>
      <c r="O77" s="112">
        <v>53573250</v>
      </c>
      <c r="P77" s="112">
        <f t="shared" si="9"/>
        <v>53573250</v>
      </c>
      <c r="Q77" s="112">
        <v>5893057.5</v>
      </c>
      <c r="R77" s="112">
        <f>P77*1.5%</f>
        <v>803598.75</v>
      </c>
      <c r="S77" s="112">
        <v>0</v>
      </c>
      <c r="T77" s="112">
        <f>P77+Q77-S77-R77</f>
        <v>58662708.75</v>
      </c>
      <c r="U77" s="42">
        <v>35130</v>
      </c>
    </row>
    <row r="78" spans="1:21" s="36" customFormat="1" ht="15.45" hidden="1" x14ac:dyDescent="0.35">
      <c r="A78" s="19" t="s">
        <v>99</v>
      </c>
      <c r="B78" s="9">
        <v>45847</v>
      </c>
      <c r="C78" s="14" t="s">
        <v>2609</v>
      </c>
      <c r="D78" s="10" t="s">
        <v>2610</v>
      </c>
      <c r="E78" s="9">
        <v>45846</v>
      </c>
      <c r="F78" s="10" t="s">
        <v>64</v>
      </c>
      <c r="G78" s="10" t="s">
        <v>126</v>
      </c>
      <c r="H78" s="10" t="s">
        <v>23</v>
      </c>
      <c r="I78" s="10" t="s">
        <v>887</v>
      </c>
      <c r="J78" s="50" t="s">
        <v>2639</v>
      </c>
      <c r="K78" s="10" t="s">
        <v>0</v>
      </c>
      <c r="L78" s="12">
        <v>300</v>
      </c>
      <c r="M78" s="12">
        <v>13180</v>
      </c>
      <c r="N78" s="12">
        <v>0</v>
      </c>
      <c r="O78" s="112">
        <v>3954000</v>
      </c>
      <c r="P78" s="112">
        <f t="shared" si="9"/>
        <v>3954000</v>
      </c>
      <c r="Q78" s="112">
        <v>434940</v>
      </c>
      <c r="R78" s="112"/>
      <c r="S78" s="112">
        <v>0</v>
      </c>
      <c r="T78" s="112">
        <f t="shared" ref="T78:T95" si="10">P78+Q78-S78</f>
        <v>4388940</v>
      </c>
      <c r="U78" s="42">
        <v>300</v>
      </c>
    </row>
    <row r="79" spans="1:21" s="36" customFormat="1" ht="15.45" hidden="1" x14ac:dyDescent="0.35">
      <c r="A79" s="19" t="s">
        <v>106</v>
      </c>
      <c r="B79" s="9">
        <v>45847</v>
      </c>
      <c r="C79" s="14" t="s">
        <v>2611</v>
      </c>
      <c r="D79" s="10" t="s">
        <v>2612</v>
      </c>
      <c r="E79" s="9">
        <v>45846</v>
      </c>
      <c r="F79" s="10" t="s">
        <v>66</v>
      </c>
      <c r="G79" s="10" t="s">
        <v>19</v>
      </c>
      <c r="H79" s="10" t="s">
        <v>23</v>
      </c>
      <c r="I79" s="10" t="s">
        <v>2192</v>
      </c>
      <c r="J79" s="50" t="s">
        <v>2947</v>
      </c>
      <c r="K79" s="10" t="s">
        <v>4</v>
      </c>
      <c r="L79" s="12">
        <v>200</v>
      </c>
      <c r="M79" s="12">
        <v>18500</v>
      </c>
      <c r="N79" s="12">
        <v>0</v>
      </c>
      <c r="O79" s="112">
        <v>3700000</v>
      </c>
      <c r="P79" s="112">
        <f t="shared" si="9"/>
        <v>3700000</v>
      </c>
      <c r="Q79" s="112">
        <v>407000</v>
      </c>
      <c r="R79" s="112"/>
      <c r="S79" s="112">
        <v>0</v>
      </c>
      <c r="T79" s="112">
        <f t="shared" si="10"/>
        <v>4107000</v>
      </c>
      <c r="U79" s="42">
        <v>200</v>
      </c>
    </row>
    <row r="80" spans="1:21" s="36" customFormat="1" ht="15.45" hidden="1" x14ac:dyDescent="0.35">
      <c r="A80" s="19" t="s">
        <v>109</v>
      </c>
      <c r="B80" s="9">
        <v>45847</v>
      </c>
      <c r="C80" s="14" t="s">
        <v>2613</v>
      </c>
      <c r="D80" s="10" t="s">
        <v>2614</v>
      </c>
      <c r="E80" s="9">
        <v>45847</v>
      </c>
      <c r="F80" s="10" t="s">
        <v>54</v>
      </c>
      <c r="G80" s="10" t="s">
        <v>2615</v>
      </c>
      <c r="H80" s="10" t="s">
        <v>24</v>
      </c>
      <c r="I80" s="10" t="s">
        <v>61</v>
      </c>
      <c r="J80" s="50" t="s">
        <v>2638</v>
      </c>
      <c r="K80" s="10" t="s">
        <v>15</v>
      </c>
      <c r="L80" s="12">
        <v>144</v>
      </c>
      <c r="M80" s="12">
        <v>8000</v>
      </c>
      <c r="N80" s="12">
        <v>0</v>
      </c>
      <c r="O80" s="112">
        <v>1152000</v>
      </c>
      <c r="P80" s="112">
        <f t="shared" si="9"/>
        <v>1152000</v>
      </c>
      <c r="Q80" s="112">
        <v>126720</v>
      </c>
      <c r="R80" s="112"/>
      <c r="S80" s="112">
        <v>0</v>
      </c>
      <c r="T80" s="112">
        <f t="shared" si="10"/>
        <v>1278720</v>
      </c>
      <c r="U80" s="42">
        <v>144</v>
      </c>
    </row>
    <row r="81" spans="1:21" s="36" customFormat="1" ht="15.45" hidden="1" x14ac:dyDescent="0.35">
      <c r="A81" s="19" t="s">
        <v>101</v>
      </c>
      <c r="B81" s="9">
        <v>45848</v>
      </c>
      <c r="C81" s="14" t="s">
        <v>2616</v>
      </c>
      <c r="D81" s="10" t="s">
        <v>2617</v>
      </c>
      <c r="E81" s="9">
        <v>45846</v>
      </c>
      <c r="F81" s="10" t="s">
        <v>57</v>
      </c>
      <c r="G81" s="10" t="s">
        <v>78</v>
      </c>
      <c r="H81" s="10" t="s">
        <v>23</v>
      </c>
      <c r="I81" s="10" t="s">
        <v>2192</v>
      </c>
      <c r="J81" s="10"/>
      <c r="K81" s="10" t="s">
        <v>1</v>
      </c>
      <c r="L81" s="12">
        <v>300</v>
      </c>
      <c r="M81" s="12">
        <v>64000</v>
      </c>
      <c r="N81" s="12">
        <v>0</v>
      </c>
      <c r="O81" s="112">
        <v>19200000</v>
      </c>
      <c r="P81" s="112">
        <f t="shared" si="9"/>
        <v>19200000</v>
      </c>
      <c r="Q81" s="112">
        <v>0</v>
      </c>
      <c r="R81" s="112"/>
      <c r="S81" s="112">
        <v>0</v>
      </c>
      <c r="T81" s="112">
        <f t="shared" si="10"/>
        <v>19200000</v>
      </c>
      <c r="U81" s="42">
        <v>300</v>
      </c>
    </row>
    <row r="82" spans="1:21" s="36" customFormat="1" ht="15.45" hidden="1" x14ac:dyDescent="0.35">
      <c r="A82" s="19" t="s">
        <v>149</v>
      </c>
      <c r="B82" s="9">
        <v>45848</v>
      </c>
      <c r="C82" s="14" t="s">
        <v>2618</v>
      </c>
      <c r="D82" s="10" t="s">
        <v>2619</v>
      </c>
      <c r="E82" s="9">
        <v>45846</v>
      </c>
      <c r="F82" s="10" t="s">
        <v>143</v>
      </c>
      <c r="G82" s="10" t="s">
        <v>211</v>
      </c>
      <c r="H82" s="10" t="s">
        <v>24</v>
      </c>
      <c r="I82" s="10" t="s">
        <v>61</v>
      </c>
      <c r="J82" s="50" t="s">
        <v>2650</v>
      </c>
      <c r="K82" s="10" t="s">
        <v>10</v>
      </c>
      <c r="L82" s="12">
        <v>10</v>
      </c>
      <c r="M82" s="12">
        <v>92000</v>
      </c>
      <c r="N82" s="12">
        <v>0</v>
      </c>
      <c r="O82" s="112">
        <v>920000</v>
      </c>
      <c r="P82" s="112">
        <f t="shared" si="9"/>
        <v>920000</v>
      </c>
      <c r="Q82" s="112">
        <v>101200</v>
      </c>
      <c r="R82" s="112"/>
      <c r="S82" s="112">
        <v>0</v>
      </c>
      <c r="T82" s="112">
        <f t="shared" si="10"/>
        <v>1021200</v>
      </c>
      <c r="U82" s="42">
        <v>10</v>
      </c>
    </row>
    <row r="83" spans="1:21" s="36" customFormat="1" ht="15.45" hidden="1" x14ac:dyDescent="0.35">
      <c r="A83" s="19" t="s">
        <v>138</v>
      </c>
      <c r="B83" s="9">
        <v>45848</v>
      </c>
      <c r="C83" s="14" t="s">
        <v>2620</v>
      </c>
      <c r="D83" s="10" t="s">
        <v>2621</v>
      </c>
      <c r="E83" s="9">
        <v>45840</v>
      </c>
      <c r="F83" s="10" t="s">
        <v>137</v>
      </c>
      <c r="G83" s="10" t="s">
        <v>53</v>
      </c>
      <c r="H83" s="10" t="s">
        <v>23</v>
      </c>
      <c r="I83" s="10" t="s">
        <v>978</v>
      </c>
      <c r="J83" s="50" t="s">
        <v>2642</v>
      </c>
      <c r="K83" s="10" t="s">
        <v>1</v>
      </c>
      <c r="L83" s="12">
        <v>1000</v>
      </c>
      <c r="M83" s="12">
        <v>11500</v>
      </c>
      <c r="N83" s="12">
        <v>0</v>
      </c>
      <c r="O83" s="112">
        <v>11500000</v>
      </c>
      <c r="P83" s="112">
        <f t="shared" si="9"/>
        <v>11500000</v>
      </c>
      <c r="Q83" s="112">
        <v>1265000</v>
      </c>
      <c r="R83" s="112"/>
      <c r="S83" s="112">
        <v>0</v>
      </c>
      <c r="T83" s="112">
        <f t="shared" si="10"/>
        <v>12765000</v>
      </c>
      <c r="U83" s="42">
        <v>1000</v>
      </c>
    </row>
    <row r="84" spans="1:21" s="36" customFormat="1" ht="15.45" hidden="1" x14ac:dyDescent="0.35">
      <c r="A84" s="19" t="s">
        <v>132</v>
      </c>
      <c r="B84" s="9">
        <v>45848</v>
      </c>
      <c r="C84" s="14" t="s">
        <v>2622</v>
      </c>
      <c r="D84" s="10" t="s">
        <v>2623</v>
      </c>
      <c r="E84" s="9">
        <v>45848</v>
      </c>
      <c r="F84" s="10" t="s">
        <v>129</v>
      </c>
      <c r="G84" s="10" t="s">
        <v>2624</v>
      </c>
      <c r="H84" s="10" t="s">
        <v>24</v>
      </c>
      <c r="I84" s="10" t="s">
        <v>61</v>
      </c>
      <c r="J84" s="10"/>
      <c r="K84" s="10" t="s">
        <v>6</v>
      </c>
      <c r="L84" s="12">
        <v>10</v>
      </c>
      <c r="M84" s="12">
        <v>5000</v>
      </c>
      <c r="N84" s="12">
        <v>0</v>
      </c>
      <c r="O84" s="112">
        <v>50000</v>
      </c>
      <c r="P84" s="112">
        <f t="shared" si="9"/>
        <v>50000</v>
      </c>
      <c r="Q84" s="112">
        <v>0</v>
      </c>
      <c r="R84" s="112"/>
      <c r="S84" s="112">
        <v>0</v>
      </c>
      <c r="T84" s="112">
        <f t="shared" si="10"/>
        <v>50000</v>
      </c>
      <c r="U84" s="42">
        <v>10</v>
      </c>
    </row>
    <row r="85" spans="1:21" s="36" customFormat="1" ht="15.45" hidden="1" x14ac:dyDescent="0.35">
      <c r="A85" s="19" t="s">
        <v>132</v>
      </c>
      <c r="B85" s="9">
        <v>45848</v>
      </c>
      <c r="C85" s="14" t="s">
        <v>2622</v>
      </c>
      <c r="D85" s="10" t="s">
        <v>2623</v>
      </c>
      <c r="E85" s="9">
        <v>45848</v>
      </c>
      <c r="F85" s="10" t="s">
        <v>129</v>
      </c>
      <c r="G85" s="10" t="s">
        <v>2625</v>
      </c>
      <c r="H85" s="10" t="s">
        <v>24</v>
      </c>
      <c r="I85" s="10" t="s">
        <v>61</v>
      </c>
      <c r="J85" s="10"/>
      <c r="K85" s="10" t="s">
        <v>6</v>
      </c>
      <c r="L85" s="12">
        <v>1</v>
      </c>
      <c r="M85" s="12">
        <v>10000</v>
      </c>
      <c r="N85" s="12">
        <v>0</v>
      </c>
      <c r="O85" s="112">
        <v>10000</v>
      </c>
      <c r="P85" s="112">
        <f t="shared" si="9"/>
        <v>10000</v>
      </c>
      <c r="Q85" s="112">
        <v>0</v>
      </c>
      <c r="R85" s="112"/>
      <c r="S85" s="112">
        <v>0</v>
      </c>
      <c r="T85" s="112">
        <f t="shared" si="10"/>
        <v>10000</v>
      </c>
      <c r="U85" s="42">
        <v>1</v>
      </c>
    </row>
    <row r="86" spans="1:21" s="36" customFormat="1" ht="15.45" hidden="1" x14ac:dyDescent="0.35">
      <c r="A86" s="19" t="s">
        <v>132</v>
      </c>
      <c r="B86" s="9">
        <v>45848</v>
      </c>
      <c r="C86" s="14" t="s">
        <v>2622</v>
      </c>
      <c r="D86" s="10" t="s">
        <v>2623</v>
      </c>
      <c r="E86" s="9">
        <v>45848</v>
      </c>
      <c r="F86" s="10" t="s">
        <v>129</v>
      </c>
      <c r="G86" s="10" t="s">
        <v>2626</v>
      </c>
      <c r="H86" s="10" t="s">
        <v>24</v>
      </c>
      <c r="I86" s="10" t="s">
        <v>61</v>
      </c>
      <c r="J86" s="10"/>
      <c r="K86" s="10" t="s">
        <v>6</v>
      </c>
      <c r="L86" s="12">
        <v>2</v>
      </c>
      <c r="M86" s="12">
        <v>6000</v>
      </c>
      <c r="N86" s="12">
        <v>0</v>
      </c>
      <c r="O86" s="112">
        <v>12000</v>
      </c>
      <c r="P86" s="112">
        <f t="shared" si="9"/>
        <v>12000</v>
      </c>
      <c r="Q86" s="112">
        <v>0</v>
      </c>
      <c r="R86" s="112"/>
      <c r="S86" s="112">
        <v>0</v>
      </c>
      <c r="T86" s="112">
        <f t="shared" si="10"/>
        <v>12000</v>
      </c>
      <c r="U86" s="42">
        <v>2</v>
      </c>
    </row>
    <row r="87" spans="1:21" s="36" customFormat="1" ht="15.45" hidden="1" x14ac:dyDescent="0.35">
      <c r="A87" s="19" t="s">
        <v>132</v>
      </c>
      <c r="B87" s="9">
        <v>45848</v>
      </c>
      <c r="C87" s="14" t="s">
        <v>2622</v>
      </c>
      <c r="D87" s="10" t="s">
        <v>2623</v>
      </c>
      <c r="E87" s="9">
        <v>45848</v>
      </c>
      <c r="F87" s="10" t="s">
        <v>129</v>
      </c>
      <c r="G87" s="10" t="s">
        <v>1013</v>
      </c>
      <c r="H87" s="10" t="s">
        <v>24</v>
      </c>
      <c r="I87" s="10" t="s">
        <v>61</v>
      </c>
      <c r="J87" s="10"/>
      <c r="K87" s="10" t="s">
        <v>6</v>
      </c>
      <c r="L87" s="12">
        <v>10</v>
      </c>
      <c r="M87" s="12">
        <v>7500</v>
      </c>
      <c r="N87" s="12">
        <v>0</v>
      </c>
      <c r="O87" s="112">
        <v>75000</v>
      </c>
      <c r="P87" s="112">
        <f t="shared" si="9"/>
        <v>75000</v>
      </c>
      <c r="Q87" s="112">
        <v>0</v>
      </c>
      <c r="R87" s="112"/>
      <c r="S87" s="112">
        <v>0</v>
      </c>
      <c r="T87" s="112">
        <f t="shared" si="10"/>
        <v>75000</v>
      </c>
      <c r="U87" s="42">
        <v>10</v>
      </c>
    </row>
    <row r="88" spans="1:21" s="36" customFormat="1" ht="15.45" hidden="1" x14ac:dyDescent="0.35">
      <c r="A88" s="19" t="s">
        <v>132</v>
      </c>
      <c r="B88" s="9">
        <v>45848</v>
      </c>
      <c r="C88" s="14" t="s">
        <v>2622</v>
      </c>
      <c r="D88" s="10" t="s">
        <v>2623</v>
      </c>
      <c r="E88" s="9">
        <v>45848</v>
      </c>
      <c r="F88" s="10" t="s">
        <v>129</v>
      </c>
      <c r="G88" s="10" t="s">
        <v>2627</v>
      </c>
      <c r="H88" s="10" t="s">
        <v>24</v>
      </c>
      <c r="I88" s="10" t="s">
        <v>61</v>
      </c>
      <c r="J88" s="10"/>
      <c r="K88" s="10" t="s">
        <v>10</v>
      </c>
      <c r="L88" s="12">
        <v>3</v>
      </c>
      <c r="M88" s="12">
        <v>36500</v>
      </c>
      <c r="N88" s="12">
        <v>0</v>
      </c>
      <c r="O88" s="112">
        <v>109500</v>
      </c>
      <c r="P88" s="112">
        <f t="shared" si="9"/>
        <v>109500</v>
      </c>
      <c r="Q88" s="112">
        <v>0</v>
      </c>
      <c r="R88" s="112"/>
      <c r="S88" s="112">
        <v>0</v>
      </c>
      <c r="T88" s="112">
        <f t="shared" si="10"/>
        <v>109500</v>
      </c>
      <c r="U88" s="42">
        <v>3</v>
      </c>
    </row>
    <row r="89" spans="1:21" s="36" customFormat="1" ht="15.45" hidden="1" x14ac:dyDescent="0.35">
      <c r="A89" s="19" t="s">
        <v>132</v>
      </c>
      <c r="B89" s="9">
        <v>45848</v>
      </c>
      <c r="C89" s="14" t="s">
        <v>2622</v>
      </c>
      <c r="D89" s="10" t="s">
        <v>2623</v>
      </c>
      <c r="E89" s="9">
        <v>45848</v>
      </c>
      <c r="F89" s="10" t="s">
        <v>129</v>
      </c>
      <c r="G89" s="10" t="s">
        <v>2628</v>
      </c>
      <c r="H89" s="10" t="s">
        <v>24</v>
      </c>
      <c r="I89" s="10" t="s">
        <v>61</v>
      </c>
      <c r="J89" s="10"/>
      <c r="K89" s="10" t="s">
        <v>6</v>
      </c>
      <c r="L89" s="12">
        <v>1</v>
      </c>
      <c r="M89" s="12">
        <v>12000</v>
      </c>
      <c r="N89" s="12">
        <v>0</v>
      </c>
      <c r="O89" s="112">
        <v>12000</v>
      </c>
      <c r="P89" s="112">
        <f t="shared" si="9"/>
        <v>12000</v>
      </c>
      <c r="Q89" s="112">
        <v>0</v>
      </c>
      <c r="R89" s="112"/>
      <c r="S89" s="112">
        <v>0</v>
      </c>
      <c r="T89" s="112">
        <f t="shared" si="10"/>
        <v>12000</v>
      </c>
      <c r="U89" s="42">
        <v>1</v>
      </c>
    </row>
    <row r="90" spans="1:21" s="36" customFormat="1" ht="15.45" hidden="1" x14ac:dyDescent="0.35">
      <c r="A90" s="19" t="s">
        <v>132</v>
      </c>
      <c r="B90" s="9">
        <v>45848</v>
      </c>
      <c r="C90" s="14" t="s">
        <v>2622</v>
      </c>
      <c r="D90" s="10" t="s">
        <v>2623</v>
      </c>
      <c r="E90" s="9">
        <v>45848</v>
      </c>
      <c r="F90" s="10" t="s">
        <v>129</v>
      </c>
      <c r="G90" s="10" t="s">
        <v>2629</v>
      </c>
      <c r="H90" s="10" t="s">
        <v>24</v>
      </c>
      <c r="I90" s="10" t="s">
        <v>61</v>
      </c>
      <c r="J90" s="10"/>
      <c r="K90" s="10" t="s">
        <v>6</v>
      </c>
      <c r="L90" s="12">
        <v>2</v>
      </c>
      <c r="M90" s="12">
        <v>15500</v>
      </c>
      <c r="N90" s="12">
        <v>0</v>
      </c>
      <c r="O90" s="112">
        <v>31000</v>
      </c>
      <c r="P90" s="112">
        <f t="shared" si="9"/>
        <v>31000</v>
      </c>
      <c r="Q90" s="112">
        <v>0</v>
      </c>
      <c r="R90" s="112"/>
      <c r="S90" s="112">
        <v>0</v>
      </c>
      <c r="T90" s="112">
        <f t="shared" si="10"/>
        <v>31000</v>
      </c>
      <c r="U90" s="42">
        <v>2</v>
      </c>
    </row>
    <row r="91" spans="1:21" s="36" customFormat="1" ht="15.45" hidden="1" x14ac:dyDescent="0.35">
      <c r="A91" s="19" t="s">
        <v>132</v>
      </c>
      <c r="B91" s="9">
        <v>45848</v>
      </c>
      <c r="C91" s="14" t="s">
        <v>2622</v>
      </c>
      <c r="D91" s="10" t="s">
        <v>2623</v>
      </c>
      <c r="E91" s="9">
        <v>45848</v>
      </c>
      <c r="F91" s="10" t="s">
        <v>129</v>
      </c>
      <c r="G91" s="10" t="s">
        <v>2630</v>
      </c>
      <c r="H91" s="10" t="s">
        <v>24</v>
      </c>
      <c r="I91" s="10" t="s">
        <v>61</v>
      </c>
      <c r="J91" s="10"/>
      <c r="K91" s="10" t="s">
        <v>6</v>
      </c>
      <c r="L91" s="12">
        <v>3</v>
      </c>
      <c r="M91" s="12">
        <v>10000</v>
      </c>
      <c r="N91" s="12">
        <v>0</v>
      </c>
      <c r="O91" s="112">
        <v>30000</v>
      </c>
      <c r="P91" s="112">
        <f t="shared" si="9"/>
        <v>30000</v>
      </c>
      <c r="Q91" s="112">
        <v>0</v>
      </c>
      <c r="R91" s="112"/>
      <c r="S91" s="112">
        <v>0</v>
      </c>
      <c r="T91" s="112">
        <f t="shared" si="10"/>
        <v>30000</v>
      </c>
      <c r="U91" s="42">
        <v>3</v>
      </c>
    </row>
    <row r="92" spans="1:21" s="36" customFormat="1" ht="15.45" hidden="1" x14ac:dyDescent="0.35">
      <c r="A92" s="19" t="s">
        <v>132</v>
      </c>
      <c r="B92" s="9">
        <v>45848</v>
      </c>
      <c r="C92" s="14" t="s">
        <v>2622</v>
      </c>
      <c r="D92" s="10" t="s">
        <v>2623</v>
      </c>
      <c r="E92" s="9">
        <v>45848</v>
      </c>
      <c r="F92" s="10" t="s">
        <v>129</v>
      </c>
      <c r="G92" s="10" t="s">
        <v>174</v>
      </c>
      <c r="H92" s="10" t="s">
        <v>24</v>
      </c>
      <c r="I92" s="10" t="s">
        <v>61</v>
      </c>
      <c r="J92" s="10"/>
      <c r="K92" s="10" t="s">
        <v>6</v>
      </c>
      <c r="L92" s="12">
        <v>10</v>
      </c>
      <c r="M92" s="12">
        <v>10000</v>
      </c>
      <c r="N92" s="12">
        <v>0</v>
      </c>
      <c r="O92" s="112">
        <v>100000</v>
      </c>
      <c r="P92" s="112">
        <f t="shared" si="9"/>
        <v>100000</v>
      </c>
      <c r="Q92" s="112">
        <v>0</v>
      </c>
      <c r="R92" s="112"/>
      <c r="S92" s="112">
        <v>0</v>
      </c>
      <c r="T92" s="112">
        <f t="shared" si="10"/>
        <v>100000</v>
      </c>
      <c r="U92" s="42">
        <v>10</v>
      </c>
    </row>
    <row r="93" spans="1:21" s="36" customFormat="1" ht="15.45" hidden="1" x14ac:dyDescent="0.35">
      <c r="A93" s="19" t="s">
        <v>132</v>
      </c>
      <c r="B93" s="9">
        <v>45848</v>
      </c>
      <c r="C93" s="14" t="s">
        <v>2622</v>
      </c>
      <c r="D93" s="10" t="s">
        <v>2623</v>
      </c>
      <c r="E93" s="9">
        <v>45848</v>
      </c>
      <c r="F93" s="10" t="s">
        <v>129</v>
      </c>
      <c r="G93" s="10" t="s">
        <v>2631</v>
      </c>
      <c r="H93" s="10" t="s">
        <v>24</v>
      </c>
      <c r="I93" s="10" t="s">
        <v>61</v>
      </c>
      <c r="J93" s="10"/>
      <c r="K93" s="10" t="s">
        <v>6</v>
      </c>
      <c r="L93" s="12">
        <v>2</v>
      </c>
      <c r="M93" s="12">
        <v>52000</v>
      </c>
      <c r="N93" s="12">
        <v>0</v>
      </c>
      <c r="O93" s="112">
        <v>104000</v>
      </c>
      <c r="P93" s="112">
        <f t="shared" si="9"/>
        <v>104000</v>
      </c>
      <c r="Q93" s="112">
        <v>0</v>
      </c>
      <c r="R93" s="112"/>
      <c r="S93" s="112">
        <v>0</v>
      </c>
      <c r="T93" s="112">
        <f t="shared" si="10"/>
        <v>104000</v>
      </c>
      <c r="U93" s="42">
        <v>2</v>
      </c>
    </row>
    <row r="94" spans="1:21" s="36" customFormat="1" ht="15.45" hidden="1" x14ac:dyDescent="0.35">
      <c r="A94" s="19" t="s">
        <v>111</v>
      </c>
      <c r="B94" s="9">
        <v>45848</v>
      </c>
      <c r="C94" s="14" t="s">
        <v>2632</v>
      </c>
      <c r="D94" s="10" t="s">
        <v>2633</v>
      </c>
      <c r="E94" s="9">
        <v>45848</v>
      </c>
      <c r="F94" s="10" t="s">
        <v>55</v>
      </c>
      <c r="G94" s="10" t="s">
        <v>2634</v>
      </c>
      <c r="H94" s="10" t="s">
        <v>24</v>
      </c>
      <c r="I94" s="10" t="s">
        <v>61</v>
      </c>
      <c r="J94" s="10"/>
      <c r="K94" s="10" t="s">
        <v>6</v>
      </c>
      <c r="L94" s="12">
        <v>3</v>
      </c>
      <c r="M94" s="12">
        <v>150000</v>
      </c>
      <c r="N94" s="12">
        <v>0</v>
      </c>
      <c r="O94" s="112">
        <v>450000</v>
      </c>
      <c r="P94" s="112">
        <f t="shared" ref="P94:P123" si="11">O94</f>
        <v>450000</v>
      </c>
      <c r="Q94" s="112">
        <v>0</v>
      </c>
      <c r="R94" s="112"/>
      <c r="S94" s="112">
        <v>0</v>
      </c>
      <c r="T94" s="112">
        <f t="shared" si="10"/>
        <v>450000</v>
      </c>
      <c r="U94" s="42">
        <v>3</v>
      </c>
    </row>
    <row r="95" spans="1:21" s="36" customFormat="1" ht="15.45" hidden="1" x14ac:dyDescent="0.35">
      <c r="A95" s="19" t="s">
        <v>111</v>
      </c>
      <c r="B95" s="9">
        <v>45848</v>
      </c>
      <c r="C95" s="14" t="s">
        <v>2632</v>
      </c>
      <c r="D95" s="10" t="s">
        <v>2633</v>
      </c>
      <c r="E95" s="9">
        <v>45848</v>
      </c>
      <c r="F95" s="10" t="s">
        <v>55</v>
      </c>
      <c r="G95" s="10" t="s">
        <v>2635</v>
      </c>
      <c r="H95" s="10" t="s">
        <v>24</v>
      </c>
      <c r="I95" s="10" t="s">
        <v>61</v>
      </c>
      <c r="J95" s="10"/>
      <c r="K95" s="10" t="s">
        <v>140</v>
      </c>
      <c r="L95" s="12">
        <v>2</v>
      </c>
      <c r="M95" s="12">
        <v>650000</v>
      </c>
      <c r="N95" s="12">
        <v>0</v>
      </c>
      <c r="O95" s="112">
        <v>1300000</v>
      </c>
      <c r="P95" s="112">
        <f t="shared" si="11"/>
        <v>1300000</v>
      </c>
      <c r="Q95" s="112">
        <v>0</v>
      </c>
      <c r="R95" s="112"/>
      <c r="S95" s="112">
        <v>0</v>
      </c>
      <c r="T95" s="112">
        <f t="shared" si="10"/>
        <v>1300000</v>
      </c>
      <c r="U95" s="42">
        <v>2</v>
      </c>
    </row>
    <row r="96" spans="1:21" s="36" customFormat="1" ht="15.45" hidden="1" x14ac:dyDescent="0.35">
      <c r="A96" s="19" t="s">
        <v>98</v>
      </c>
      <c r="B96" s="9">
        <v>45850</v>
      </c>
      <c r="C96" s="14" t="s">
        <v>2653</v>
      </c>
      <c r="D96" s="10" t="s">
        <v>2608</v>
      </c>
      <c r="E96" s="9">
        <v>45840</v>
      </c>
      <c r="F96" s="10" t="s">
        <v>84</v>
      </c>
      <c r="G96" s="10" t="s">
        <v>89</v>
      </c>
      <c r="H96" s="10" t="s">
        <v>25</v>
      </c>
      <c r="I96" s="10" t="s">
        <v>79</v>
      </c>
      <c r="J96" s="50" t="s">
        <v>2895</v>
      </c>
      <c r="K96" s="10" t="s">
        <v>1</v>
      </c>
      <c r="L96" s="12">
        <v>31530</v>
      </c>
      <c r="M96" s="12">
        <v>1525</v>
      </c>
      <c r="N96" s="12">
        <v>0</v>
      </c>
      <c r="O96" s="112">
        <v>48083250</v>
      </c>
      <c r="P96" s="112">
        <f t="shared" si="11"/>
        <v>48083250</v>
      </c>
      <c r="Q96" s="112">
        <v>5289157.5</v>
      </c>
      <c r="R96" s="112">
        <f>P96*1.5%</f>
        <v>721248.75</v>
      </c>
      <c r="S96" s="112">
        <v>0</v>
      </c>
      <c r="T96" s="112">
        <f>P96+Q96-S96-R96</f>
        <v>52651158.75</v>
      </c>
      <c r="U96" s="42">
        <v>31530</v>
      </c>
    </row>
    <row r="97" spans="1:21" s="36" customFormat="1" ht="15.45" hidden="1" x14ac:dyDescent="0.35">
      <c r="A97" s="19" t="s">
        <v>104</v>
      </c>
      <c r="B97" s="9">
        <v>45850</v>
      </c>
      <c r="C97" s="14" t="s">
        <v>2654</v>
      </c>
      <c r="D97" s="10" t="s">
        <v>2655</v>
      </c>
      <c r="E97" s="9">
        <v>45849</v>
      </c>
      <c r="F97" s="10" t="s">
        <v>73</v>
      </c>
      <c r="G97" s="10" t="s">
        <v>2656</v>
      </c>
      <c r="H97" s="10" t="s">
        <v>24</v>
      </c>
      <c r="I97" s="10" t="s">
        <v>61</v>
      </c>
      <c r="J97" s="50" t="s">
        <v>2720</v>
      </c>
      <c r="K97" s="10" t="s">
        <v>6</v>
      </c>
      <c r="L97" s="12">
        <v>1</v>
      </c>
      <c r="M97" s="12">
        <v>1000000</v>
      </c>
      <c r="N97" s="12">
        <v>0</v>
      </c>
      <c r="O97" s="112">
        <v>1000000</v>
      </c>
      <c r="P97" s="112">
        <f t="shared" si="11"/>
        <v>1000000</v>
      </c>
      <c r="Q97" s="112">
        <v>110000</v>
      </c>
      <c r="R97" s="112"/>
      <c r="S97" s="112">
        <v>0</v>
      </c>
      <c r="T97" s="112">
        <f t="shared" ref="T97:T106" si="12">P97+Q97-S97</f>
        <v>1110000</v>
      </c>
      <c r="U97" s="42">
        <v>1</v>
      </c>
    </row>
    <row r="98" spans="1:21" s="36" customFormat="1" ht="15.45" hidden="1" x14ac:dyDescent="0.35">
      <c r="A98" s="20" t="s">
        <v>109</v>
      </c>
      <c r="B98" s="9">
        <v>45852</v>
      </c>
      <c r="C98" s="14" t="s">
        <v>2657</v>
      </c>
      <c r="D98" s="10" t="s">
        <v>2614</v>
      </c>
      <c r="E98" s="9">
        <v>45847</v>
      </c>
      <c r="F98" s="10" t="s">
        <v>54</v>
      </c>
      <c r="G98" s="10" t="s">
        <v>49</v>
      </c>
      <c r="H98" s="10" t="s">
        <v>24</v>
      </c>
      <c r="I98" s="10" t="s">
        <v>61</v>
      </c>
      <c r="J98" s="50" t="s">
        <v>2679</v>
      </c>
      <c r="K98" s="10" t="s">
        <v>15</v>
      </c>
      <c r="L98" s="12">
        <v>144</v>
      </c>
      <c r="M98" s="12">
        <v>6454</v>
      </c>
      <c r="N98" s="12">
        <v>0</v>
      </c>
      <c r="O98" s="112">
        <v>929376</v>
      </c>
      <c r="P98" s="112">
        <f t="shared" si="11"/>
        <v>929376</v>
      </c>
      <c r="Q98" s="112">
        <v>102231.36</v>
      </c>
      <c r="R98" s="112"/>
      <c r="S98" s="112">
        <v>0</v>
      </c>
      <c r="T98" s="112">
        <f t="shared" si="12"/>
        <v>1031607.36</v>
      </c>
      <c r="U98" s="42">
        <v>144</v>
      </c>
    </row>
    <row r="99" spans="1:21" s="36" customFormat="1" ht="15.45" hidden="1" x14ac:dyDescent="0.35">
      <c r="A99" s="19" t="s">
        <v>592</v>
      </c>
      <c r="B99" s="9">
        <v>45852</v>
      </c>
      <c r="C99" s="14" t="s">
        <v>2658</v>
      </c>
      <c r="D99" s="10" t="s">
        <v>2659</v>
      </c>
      <c r="E99" s="9">
        <v>45847</v>
      </c>
      <c r="F99" s="10" t="s">
        <v>585</v>
      </c>
      <c r="G99" s="10" t="s">
        <v>786</v>
      </c>
      <c r="H99" s="10" t="s">
        <v>23</v>
      </c>
      <c r="I99" s="10" t="s">
        <v>886</v>
      </c>
      <c r="J99" s="50" t="s">
        <v>2855</v>
      </c>
      <c r="K99" s="10" t="s">
        <v>1</v>
      </c>
      <c r="L99" s="12">
        <v>400</v>
      </c>
      <c r="M99" s="12">
        <v>60125</v>
      </c>
      <c r="N99" s="12">
        <v>16250</v>
      </c>
      <c r="O99" s="112">
        <v>24050000</v>
      </c>
      <c r="P99" s="112">
        <f t="shared" si="11"/>
        <v>24050000</v>
      </c>
      <c r="Q99" s="112">
        <v>2645500</v>
      </c>
      <c r="R99" s="112"/>
      <c r="S99" s="112">
        <v>0</v>
      </c>
      <c r="T99" s="112">
        <f t="shared" si="12"/>
        <v>26695500</v>
      </c>
      <c r="U99" s="42">
        <v>400</v>
      </c>
    </row>
    <row r="100" spans="1:21" s="36" customFormat="1" ht="15.45" hidden="1" x14ac:dyDescent="0.35">
      <c r="A100" s="19" t="s">
        <v>200</v>
      </c>
      <c r="B100" s="9">
        <v>45852</v>
      </c>
      <c r="C100" s="14" t="s">
        <v>2660</v>
      </c>
      <c r="D100" s="10" t="s">
        <v>2661</v>
      </c>
      <c r="E100" s="9">
        <v>45849</v>
      </c>
      <c r="F100" s="10" t="s">
        <v>194</v>
      </c>
      <c r="G100" s="10" t="s">
        <v>195</v>
      </c>
      <c r="H100" s="10" t="s">
        <v>23</v>
      </c>
      <c r="I100" s="10" t="s">
        <v>2192</v>
      </c>
      <c r="J100" s="50" t="s">
        <v>3088</v>
      </c>
      <c r="K100" s="10" t="s">
        <v>1</v>
      </c>
      <c r="L100" s="12">
        <v>300</v>
      </c>
      <c r="M100" s="12">
        <v>17000</v>
      </c>
      <c r="N100" s="12">
        <v>0</v>
      </c>
      <c r="O100" s="112">
        <v>5100000</v>
      </c>
      <c r="P100" s="112">
        <f t="shared" si="11"/>
        <v>5100000</v>
      </c>
      <c r="Q100" s="112">
        <v>561000</v>
      </c>
      <c r="R100" s="112"/>
      <c r="S100" s="112">
        <v>0</v>
      </c>
      <c r="T100" s="112">
        <f t="shared" si="12"/>
        <v>5661000</v>
      </c>
      <c r="U100" s="42">
        <v>300</v>
      </c>
    </row>
    <row r="101" spans="1:21" s="36" customFormat="1" ht="15.45" hidden="1" x14ac:dyDescent="0.35">
      <c r="A101" s="19" t="s">
        <v>159</v>
      </c>
      <c r="B101" s="9">
        <v>45852</v>
      </c>
      <c r="C101" s="14" t="s">
        <v>2662</v>
      </c>
      <c r="D101" s="10" t="s">
        <v>2663</v>
      </c>
      <c r="E101" s="9">
        <v>45849</v>
      </c>
      <c r="F101" s="10" t="s">
        <v>157</v>
      </c>
      <c r="G101" s="10" t="s">
        <v>158</v>
      </c>
      <c r="H101" s="10" t="s">
        <v>23</v>
      </c>
      <c r="I101" s="10" t="s">
        <v>2192</v>
      </c>
      <c r="J101" s="50" t="s">
        <v>2941</v>
      </c>
      <c r="K101" s="10" t="s">
        <v>1</v>
      </c>
      <c r="L101" s="12">
        <v>25</v>
      </c>
      <c r="M101" s="12">
        <v>75000</v>
      </c>
      <c r="N101" s="12">
        <v>0</v>
      </c>
      <c r="O101" s="112">
        <v>1875000</v>
      </c>
      <c r="P101" s="112">
        <f t="shared" si="11"/>
        <v>1875000</v>
      </c>
      <c r="Q101" s="112">
        <v>206250</v>
      </c>
      <c r="R101" s="112"/>
      <c r="S101" s="112">
        <v>0</v>
      </c>
      <c r="T101" s="112">
        <f t="shared" si="12"/>
        <v>2081250</v>
      </c>
      <c r="U101" s="42">
        <v>25</v>
      </c>
    </row>
    <row r="102" spans="1:21" s="36" customFormat="1" ht="15.45" hidden="1" x14ac:dyDescent="0.35">
      <c r="A102" s="19" t="s">
        <v>100</v>
      </c>
      <c r="B102" s="9">
        <v>45852</v>
      </c>
      <c r="C102" s="14" t="s">
        <v>2664</v>
      </c>
      <c r="D102" s="10" t="s">
        <v>2665</v>
      </c>
      <c r="E102" s="9">
        <v>45852</v>
      </c>
      <c r="F102" s="10" t="s">
        <v>56</v>
      </c>
      <c r="G102" s="10" t="s">
        <v>2666</v>
      </c>
      <c r="H102" s="10" t="s">
        <v>27</v>
      </c>
      <c r="I102" s="10" t="s">
        <v>69</v>
      </c>
      <c r="J102" s="10"/>
      <c r="K102" s="10" t="s">
        <v>1381</v>
      </c>
      <c r="L102" s="12">
        <v>2</v>
      </c>
      <c r="M102" s="12">
        <v>56000</v>
      </c>
      <c r="N102" s="12">
        <v>0</v>
      </c>
      <c r="O102" s="112">
        <v>112000</v>
      </c>
      <c r="P102" s="112">
        <f t="shared" si="11"/>
        <v>112000</v>
      </c>
      <c r="Q102" s="112">
        <v>0</v>
      </c>
      <c r="R102" s="112"/>
      <c r="S102" s="112">
        <v>0</v>
      </c>
      <c r="T102" s="112">
        <f t="shared" si="12"/>
        <v>112000</v>
      </c>
      <c r="U102" s="42">
        <v>2</v>
      </c>
    </row>
    <row r="103" spans="1:21" s="36" customFormat="1" ht="15.45" hidden="1" x14ac:dyDescent="0.35">
      <c r="A103" s="19" t="s">
        <v>114</v>
      </c>
      <c r="B103" s="9">
        <v>45852</v>
      </c>
      <c r="C103" s="14" t="s">
        <v>2667</v>
      </c>
      <c r="D103" s="10" t="s">
        <v>2503</v>
      </c>
      <c r="E103" s="9">
        <v>45834</v>
      </c>
      <c r="F103" s="10" t="s">
        <v>71</v>
      </c>
      <c r="G103" s="10" t="s">
        <v>76</v>
      </c>
      <c r="H103" s="10" t="s">
        <v>23</v>
      </c>
      <c r="I103" s="10" t="s">
        <v>978</v>
      </c>
      <c r="J103" s="50" t="s">
        <v>2931</v>
      </c>
      <c r="K103" s="10" t="s">
        <v>1</v>
      </c>
      <c r="L103" s="12">
        <v>1000</v>
      </c>
      <c r="M103" s="12">
        <v>28399</v>
      </c>
      <c r="N103" s="12">
        <v>16228</v>
      </c>
      <c r="O103" s="112">
        <v>28399000</v>
      </c>
      <c r="P103" s="112">
        <f t="shared" si="11"/>
        <v>28399000</v>
      </c>
      <c r="Q103" s="112">
        <v>3123890</v>
      </c>
      <c r="R103" s="112"/>
      <c r="S103" s="112">
        <v>0</v>
      </c>
      <c r="T103" s="112">
        <f t="shared" si="12"/>
        <v>31522890</v>
      </c>
      <c r="U103" s="42">
        <v>1000</v>
      </c>
    </row>
    <row r="104" spans="1:21" s="36" customFormat="1" ht="15.45" hidden="1" x14ac:dyDescent="0.35">
      <c r="A104" s="19" t="s">
        <v>107</v>
      </c>
      <c r="B104" s="9">
        <v>45854</v>
      </c>
      <c r="C104" s="14" t="s">
        <v>2668</v>
      </c>
      <c r="D104" s="10" t="s">
        <v>2669</v>
      </c>
      <c r="E104" s="9">
        <v>45834</v>
      </c>
      <c r="F104" s="10" t="s">
        <v>60</v>
      </c>
      <c r="G104" s="10" t="s">
        <v>82</v>
      </c>
      <c r="H104" s="10" t="s">
        <v>24</v>
      </c>
      <c r="I104" s="10" t="s">
        <v>61</v>
      </c>
      <c r="J104" s="50" t="s">
        <v>2682</v>
      </c>
      <c r="K104" s="10" t="s">
        <v>1</v>
      </c>
      <c r="L104" s="12">
        <v>252.5</v>
      </c>
      <c r="M104" s="12">
        <v>24500</v>
      </c>
      <c r="N104" s="12">
        <v>0</v>
      </c>
      <c r="O104" s="112">
        <v>6186250</v>
      </c>
      <c r="P104" s="112">
        <f t="shared" si="11"/>
        <v>6186250</v>
      </c>
      <c r="Q104" s="112">
        <v>680487.5</v>
      </c>
      <c r="R104" s="112"/>
      <c r="S104" s="112">
        <v>0</v>
      </c>
      <c r="T104" s="112">
        <f t="shared" si="12"/>
        <v>6866737.5</v>
      </c>
      <c r="U104" s="42">
        <v>252.5</v>
      </c>
    </row>
    <row r="105" spans="1:21" s="36" customFormat="1" ht="15.45" hidden="1" x14ac:dyDescent="0.35">
      <c r="A105" s="19" t="s">
        <v>105</v>
      </c>
      <c r="B105" s="9">
        <v>45853</v>
      </c>
      <c r="C105" s="14" t="s">
        <v>2670</v>
      </c>
      <c r="D105" s="10" t="s">
        <v>2671</v>
      </c>
      <c r="E105" s="9">
        <v>45840</v>
      </c>
      <c r="F105" s="10" t="s">
        <v>85</v>
      </c>
      <c r="G105" s="10" t="s">
        <v>660</v>
      </c>
      <c r="H105" s="10" t="s">
        <v>23</v>
      </c>
      <c r="I105" s="10" t="s">
        <v>890</v>
      </c>
      <c r="J105" s="50" t="s">
        <v>2786</v>
      </c>
      <c r="K105" s="10" t="s">
        <v>1</v>
      </c>
      <c r="L105" s="12">
        <v>300</v>
      </c>
      <c r="M105" s="12">
        <v>23509</v>
      </c>
      <c r="N105" s="12">
        <v>16213</v>
      </c>
      <c r="O105" s="112">
        <v>7052700</v>
      </c>
      <c r="P105" s="112">
        <f t="shared" si="11"/>
        <v>7052700</v>
      </c>
      <c r="Q105" s="112">
        <v>775797</v>
      </c>
      <c r="R105" s="112"/>
      <c r="S105" s="112">
        <v>0</v>
      </c>
      <c r="T105" s="112">
        <f t="shared" si="12"/>
        <v>7828497</v>
      </c>
      <c r="U105" s="42">
        <v>300</v>
      </c>
    </row>
    <row r="106" spans="1:21" s="36" customFormat="1" ht="15.45" hidden="1" x14ac:dyDescent="0.35">
      <c r="A106" s="19" t="s">
        <v>110</v>
      </c>
      <c r="B106" s="9">
        <v>45853</v>
      </c>
      <c r="C106" s="14" t="s">
        <v>2672</v>
      </c>
      <c r="D106" s="10" t="s">
        <v>2673</v>
      </c>
      <c r="E106" s="9">
        <v>45849</v>
      </c>
      <c r="F106" s="10" t="s">
        <v>72</v>
      </c>
      <c r="G106" s="10" t="s">
        <v>77</v>
      </c>
      <c r="H106" s="10" t="s">
        <v>23</v>
      </c>
      <c r="I106" s="10" t="s">
        <v>887</v>
      </c>
      <c r="J106" s="50" t="s">
        <v>2721</v>
      </c>
      <c r="K106" s="10" t="s">
        <v>1</v>
      </c>
      <c r="L106" s="12">
        <v>400</v>
      </c>
      <c r="M106" s="12">
        <v>30500</v>
      </c>
      <c r="N106" s="12">
        <v>0</v>
      </c>
      <c r="O106" s="112">
        <v>12200000</v>
      </c>
      <c r="P106" s="112">
        <f t="shared" si="11"/>
        <v>12200000</v>
      </c>
      <c r="Q106" s="112">
        <v>1342000</v>
      </c>
      <c r="R106" s="112"/>
      <c r="S106" s="112">
        <v>0</v>
      </c>
      <c r="T106" s="112">
        <f t="shared" si="12"/>
        <v>13542000</v>
      </c>
      <c r="U106" s="42">
        <v>400</v>
      </c>
    </row>
    <row r="107" spans="1:21" s="36" customFormat="1" ht="15.45" hidden="1" x14ac:dyDescent="0.35">
      <c r="A107" s="19" t="s">
        <v>98</v>
      </c>
      <c r="B107" s="9">
        <v>45853</v>
      </c>
      <c r="C107" s="14" t="s">
        <v>2674</v>
      </c>
      <c r="D107" s="10" t="s">
        <v>2498</v>
      </c>
      <c r="E107" s="9">
        <v>45840</v>
      </c>
      <c r="F107" s="10" t="s">
        <v>84</v>
      </c>
      <c r="G107" s="10" t="s">
        <v>175</v>
      </c>
      <c r="H107" s="10" t="s">
        <v>25</v>
      </c>
      <c r="I107" s="10" t="s">
        <v>79</v>
      </c>
      <c r="J107" s="50" t="s">
        <v>2893</v>
      </c>
      <c r="K107" s="10" t="s">
        <v>1</v>
      </c>
      <c r="L107" s="12">
        <v>29500</v>
      </c>
      <c r="M107" s="12">
        <v>1250</v>
      </c>
      <c r="N107" s="12">
        <v>0</v>
      </c>
      <c r="O107" s="112">
        <v>36875000</v>
      </c>
      <c r="P107" s="112">
        <f t="shared" si="11"/>
        <v>36875000</v>
      </c>
      <c r="Q107" s="112">
        <v>4056250</v>
      </c>
      <c r="R107" s="112">
        <f>P107*1.5%</f>
        <v>553125</v>
      </c>
      <c r="S107" s="112">
        <v>0</v>
      </c>
      <c r="T107" s="112">
        <f>P107+Q107-S107-R107</f>
        <v>40378125</v>
      </c>
      <c r="U107" s="42">
        <v>29500</v>
      </c>
    </row>
    <row r="108" spans="1:21" s="36" customFormat="1" ht="15.45" hidden="1" x14ac:dyDescent="0.35">
      <c r="A108" s="19" t="s">
        <v>98</v>
      </c>
      <c r="B108" s="9">
        <v>45854</v>
      </c>
      <c r="C108" s="14" t="s">
        <v>2675</v>
      </c>
      <c r="D108" s="10" t="s">
        <v>2608</v>
      </c>
      <c r="E108" s="9">
        <v>45840</v>
      </c>
      <c r="F108" s="10" t="s">
        <v>84</v>
      </c>
      <c r="G108" s="10" t="s">
        <v>89</v>
      </c>
      <c r="H108" s="10" t="s">
        <v>25</v>
      </c>
      <c r="I108" s="10" t="s">
        <v>79</v>
      </c>
      <c r="J108" s="50" t="s">
        <v>2895</v>
      </c>
      <c r="K108" s="10" t="s">
        <v>1</v>
      </c>
      <c r="L108" s="12">
        <v>33430</v>
      </c>
      <c r="M108" s="12">
        <v>1525</v>
      </c>
      <c r="N108" s="12">
        <v>0</v>
      </c>
      <c r="O108" s="112">
        <v>50980750</v>
      </c>
      <c r="P108" s="112">
        <f t="shared" si="11"/>
        <v>50980750</v>
      </c>
      <c r="Q108" s="112">
        <v>5607882.5</v>
      </c>
      <c r="R108" s="112">
        <f>P108*1.5%</f>
        <v>764711.25</v>
      </c>
      <c r="S108" s="112">
        <v>0</v>
      </c>
      <c r="T108" s="112">
        <f>P108+Q108-S108-R108</f>
        <v>55823921.25</v>
      </c>
      <c r="U108" s="42">
        <v>33430</v>
      </c>
    </row>
    <row r="109" spans="1:21" s="36" customFormat="1" ht="15.45" x14ac:dyDescent="0.35">
      <c r="A109" s="19" t="s">
        <v>115</v>
      </c>
      <c r="B109" s="9">
        <v>45854</v>
      </c>
      <c r="C109" s="14" t="s">
        <v>2676</v>
      </c>
      <c r="D109" s="10" t="s">
        <v>2500</v>
      </c>
      <c r="E109" s="9">
        <v>45840</v>
      </c>
      <c r="F109" s="10" t="s">
        <v>81</v>
      </c>
      <c r="G109" s="10" t="s">
        <v>89</v>
      </c>
      <c r="H109" s="10" t="s">
        <v>25</v>
      </c>
      <c r="I109" s="10" t="s">
        <v>79</v>
      </c>
      <c r="J109" s="50" t="s">
        <v>2937</v>
      </c>
      <c r="K109" s="10" t="s">
        <v>1</v>
      </c>
      <c r="L109" s="12">
        <v>28000</v>
      </c>
      <c r="M109" s="12">
        <v>1525</v>
      </c>
      <c r="N109" s="12">
        <v>0</v>
      </c>
      <c r="O109" s="112">
        <v>42700000</v>
      </c>
      <c r="P109" s="112">
        <f t="shared" si="11"/>
        <v>42700000</v>
      </c>
      <c r="Q109" s="112">
        <v>4697000</v>
      </c>
      <c r="R109" s="112">
        <f>P109*1.5%</f>
        <v>640500</v>
      </c>
      <c r="S109" s="112">
        <v>0</v>
      </c>
      <c r="T109" s="112">
        <f>P109+Q109-S109-R109</f>
        <v>46756500</v>
      </c>
      <c r="U109" s="42">
        <v>28000</v>
      </c>
    </row>
    <row r="110" spans="1:21" s="36" customFormat="1" ht="15.45" hidden="1" x14ac:dyDescent="0.35">
      <c r="A110" s="19" t="s">
        <v>102</v>
      </c>
      <c r="B110" s="9">
        <v>45854</v>
      </c>
      <c r="C110" s="14" t="s">
        <v>2677</v>
      </c>
      <c r="D110" s="10" t="s">
        <v>2678</v>
      </c>
      <c r="E110" s="9">
        <v>45847</v>
      </c>
      <c r="F110" s="10" t="s">
        <v>65</v>
      </c>
      <c r="G110" s="10" t="s">
        <v>48</v>
      </c>
      <c r="H110" s="10" t="s">
        <v>24</v>
      </c>
      <c r="I110" s="10" t="s">
        <v>61</v>
      </c>
      <c r="J110" s="50" t="s">
        <v>2683</v>
      </c>
      <c r="K110" s="10" t="s">
        <v>15</v>
      </c>
      <c r="L110" s="12">
        <v>216</v>
      </c>
      <c r="M110" s="12">
        <v>8200</v>
      </c>
      <c r="N110" s="12">
        <v>0</v>
      </c>
      <c r="O110" s="112">
        <v>1771200</v>
      </c>
      <c r="P110" s="112">
        <f t="shared" si="11"/>
        <v>1771200</v>
      </c>
      <c r="Q110" s="112">
        <v>194832</v>
      </c>
      <c r="R110" s="112"/>
      <c r="S110" s="112">
        <v>0</v>
      </c>
      <c r="T110" s="112">
        <f t="shared" ref="T110:T125" si="13">P110+Q110-S110</f>
        <v>1966032</v>
      </c>
      <c r="U110" s="42">
        <v>216</v>
      </c>
    </row>
    <row r="111" spans="1:21" s="36" customFormat="1" ht="15.45" hidden="1" x14ac:dyDescent="0.35">
      <c r="A111" s="19" t="s">
        <v>111</v>
      </c>
      <c r="B111" s="9">
        <v>45854</v>
      </c>
      <c r="C111" s="14" t="s">
        <v>2684</v>
      </c>
      <c r="D111" s="10" t="s">
        <v>2685</v>
      </c>
      <c r="E111" s="9">
        <v>45855</v>
      </c>
      <c r="F111" s="10" t="s">
        <v>55</v>
      </c>
      <c r="G111" s="10" t="s">
        <v>87</v>
      </c>
      <c r="H111" s="10" t="s">
        <v>26</v>
      </c>
      <c r="I111" s="10" t="s">
        <v>80</v>
      </c>
      <c r="J111" s="10"/>
      <c r="K111" s="10" t="s">
        <v>10</v>
      </c>
      <c r="L111" s="12">
        <f t="shared" ref="L111:L142" si="14">IF(LEFT(C111,2)="RP",U111*-1,U111)</f>
        <v>54</v>
      </c>
      <c r="M111" s="12">
        <v>12500</v>
      </c>
      <c r="N111" s="12">
        <v>0</v>
      </c>
      <c r="O111" s="112">
        <v>675000</v>
      </c>
      <c r="P111" s="112">
        <f t="shared" si="11"/>
        <v>675000</v>
      </c>
      <c r="Q111" s="112">
        <v>0</v>
      </c>
      <c r="R111" s="112"/>
      <c r="S111" s="112">
        <v>0</v>
      </c>
      <c r="T111" s="112">
        <f t="shared" si="13"/>
        <v>675000</v>
      </c>
      <c r="U111" s="42">
        <v>54</v>
      </c>
    </row>
    <row r="112" spans="1:21" s="36" customFormat="1" ht="15.45" hidden="1" x14ac:dyDescent="0.35">
      <c r="A112" s="19" t="s">
        <v>132</v>
      </c>
      <c r="B112" s="9">
        <v>45855</v>
      </c>
      <c r="C112" s="14" t="s">
        <v>2686</v>
      </c>
      <c r="D112" s="10" t="s">
        <v>2687</v>
      </c>
      <c r="E112" s="9">
        <v>45855</v>
      </c>
      <c r="F112" s="10" t="s">
        <v>129</v>
      </c>
      <c r="G112" s="10" t="s">
        <v>202</v>
      </c>
      <c r="H112" s="10" t="s">
        <v>24</v>
      </c>
      <c r="I112" s="10" t="s">
        <v>61</v>
      </c>
      <c r="J112" s="10"/>
      <c r="K112" s="10" t="s">
        <v>145</v>
      </c>
      <c r="L112" s="12">
        <f t="shared" si="14"/>
        <v>20</v>
      </c>
      <c r="M112" s="12">
        <v>4500</v>
      </c>
      <c r="N112" s="12">
        <v>0</v>
      </c>
      <c r="O112" s="112">
        <v>90000</v>
      </c>
      <c r="P112" s="112">
        <f t="shared" si="11"/>
        <v>90000</v>
      </c>
      <c r="Q112" s="112">
        <v>0</v>
      </c>
      <c r="R112" s="112"/>
      <c r="S112" s="112">
        <v>0</v>
      </c>
      <c r="T112" s="112">
        <f t="shared" si="13"/>
        <v>90000</v>
      </c>
      <c r="U112" s="42">
        <v>20</v>
      </c>
    </row>
    <row r="113" spans="1:21" s="36" customFormat="1" ht="15.45" hidden="1" x14ac:dyDescent="0.35">
      <c r="A113" s="19" t="s">
        <v>132</v>
      </c>
      <c r="B113" s="9">
        <v>45855</v>
      </c>
      <c r="C113" s="14" t="s">
        <v>2686</v>
      </c>
      <c r="D113" s="10" t="s">
        <v>2687</v>
      </c>
      <c r="E113" s="9">
        <v>45855</v>
      </c>
      <c r="F113" s="10" t="s">
        <v>129</v>
      </c>
      <c r="G113" s="10" t="s">
        <v>2688</v>
      </c>
      <c r="H113" s="10" t="s">
        <v>24</v>
      </c>
      <c r="I113" s="10" t="s">
        <v>61</v>
      </c>
      <c r="J113" s="10"/>
      <c r="K113" s="10" t="s">
        <v>6</v>
      </c>
      <c r="L113" s="12">
        <f t="shared" si="14"/>
        <v>1</v>
      </c>
      <c r="M113" s="12">
        <v>190000</v>
      </c>
      <c r="N113" s="12">
        <v>0</v>
      </c>
      <c r="O113" s="112">
        <v>190000</v>
      </c>
      <c r="P113" s="112">
        <f t="shared" si="11"/>
        <v>190000</v>
      </c>
      <c r="Q113" s="112">
        <v>0</v>
      </c>
      <c r="R113" s="112"/>
      <c r="S113" s="112">
        <v>0</v>
      </c>
      <c r="T113" s="112">
        <f t="shared" si="13"/>
        <v>190000</v>
      </c>
      <c r="U113" s="42">
        <v>1</v>
      </c>
    </row>
    <row r="114" spans="1:21" s="36" customFormat="1" ht="15.45" hidden="1" x14ac:dyDescent="0.35">
      <c r="A114" s="19" t="s">
        <v>132</v>
      </c>
      <c r="B114" s="9">
        <v>45855</v>
      </c>
      <c r="C114" s="14" t="s">
        <v>2686</v>
      </c>
      <c r="D114" s="10" t="s">
        <v>2687</v>
      </c>
      <c r="E114" s="9">
        <v>45855</v>
      </c>
      <c r="F114" s="10" t="s">
        <v>129</v>
      </c>
      <c r="G114" s="10" t="s">
        <v>2689</v>
      </c>
      <c r="H114" s="10" t="s">
        <v>24</v>
      </c>
      <c r="I114" s="10" t="s">
        <v>61</v>
      </c>
      <c r="J114" s="10"/>
      <c r="K114" s="10" t="s">
        <v>6</v>
      </c>
      <c r="L114" s="12">
        <f t="shared" si="14"/>
        <v>100</v>
      </c>
      <c r="M114" s="12">
        <v>800</v>
      </c>
      <c r="N114" s="12">
        <v>0</v>
      </c>
      <c r="O114" s="112">
        <v>80000</v>
      </c>
      <c r="P114" s="112">
        <f t="shared" si="11"/>
        <v>80000</v>
      </c>
      <c r="Q114" s="112">
        <v>0</v>
      </c>
      <c r="R114" s="112"/>
      <c r="S114" s="112">
        <v>0</v>
      </c>
      <c r="T114" s="112">
        <f t="shared" si="13"/>
        <v>80000</v>
      </c>
      <c r="U114" s="42">
        <v>100</v>
      </c>
    </row>
    <row r="115" spans="1:21" s="36" customFormat="1" ht="15.45" hidden="1" x14ac:dyDescent="0.35">
      <c r="A115" s="19" t="s">
        <v>113</v>
      </c>
      <c r="B115" s="9">
        <v>45855</v>
      </c>
      <c r="C115" s="14" t="s">
        <v>2690</v>
      </c>
      <c r="D115" s="10" t="s">
        <v>2691</v>
      </c>
      <c r="E115" s="9">
        <v>45855</v>
      </c>
      <c r="F115" s="10" t="s">
        <v>42</v>
      </c>
      <c r="G115" s="10" t="s">
        <v>2692</v>
      </c>
      <c r="H115" s="10" t="s">
        <v>24</v>
      </c>
      <c r="I115" s="10" t="s">
        <v>61</v>
      </c>
      <c r="J115" s="10"/>
      <c r="K115" s="10" t="s">
        <v>6</v>
      </c>
      <c r="L115" s="12">
        <f t="shared" si="14"/>
        <v>1</v>
      </c>
      <c r="M115" s="12">
        <v>135000</v>
      </c>
      <c r="N115" s="12">
        <v>0</v>
      </c>
      <c r="O115" s="112">
        <v>135000</v>
      </c>
      <c r="P115" s="112">
        <f t="shared" si="11"/>
        <v>135000</v>
      </c>
      <c r="Q115" s="112">
        <v>0</v>
      </c>
      <c r="R115" s="112"/>
      <c r="S115" s="112">
        <v>0</v>
      </c>
      <c r="T115" s="112">
        <f t="shared" si="13"/>
        <v>135000</v>
      </c>
      <c r="U115" s="42">
        <v>1</v>
      </c>
    </row>
    <row r="116" spans="1:21" s="36" customFormat="1" ht="15.45" hidden="1" x14ac:dyDescent="0.35">
      <c r="A116" s="19" t="s">
        <v>113</v>
      </c>
      <c r="B116" s="9">
        <v>45855</v>
      </c>
      <c r="C116" s="14" t="s">
        <v>2690</v>
      </c>
      <c r="D116" s="10" t="s">
        <v>2691</v>
      </c>
      <c r="E116" s="9">
        <v>45855</v>
      </c>
      <c r="F116" s="10" t="s">
        <v>42</v>
      </c>
      <c r="G116" s="10" t="s">
        <v>1766</v>
      </c>
      <c r="H116" s="10" t="s">
        <v>24</v>
      </c>
      <c r="I116" s="10" t="s">
        <v>61</v>
      </c>
      <c r="J116" s="10"/>
      <c r="K116" s="10" t="s">
        <v>145</v>
      </c>
      <c r="L116" s="12">
        <f t="shared" si="14"/>
        <v>10</v>
      </c>
      <c r="M116" s="12">
        <v>4000</v>
      </c>
      <c r="N116" s="12">
        <v>0</v>
      </c>
      <c r="O116" s="112">
        <v>40000</v>
      </c>
      <c r="P116" s="112">
        <f t="shared" si="11"/>
        <v>40000</v>
      </c>
      <c r="Q116" s="112">
        <v>0</v>
      </c>
      <c r="R116" s="112"/>
      <c r="S116" s="112">
        <v>0</v>
      </c>
      <c r="T116" s="112">
        <f t="shared" si="13"/>
        <v>40000</v>
      </c>
      <c r="U116" s="42">
        <v>10</v>
      </c>
    </row>
    <row r="117" spans="1:21" s="36" customFormat="1" ht="15.45" hidden="1" x14ac:dyDescent="0.35">
      <c r="A117" s="20" t="s">
        <v>113</v>
      </c>
      <c r="B117" s="9">
        <v>45855</v>
      </c>
      <c r="C117" s="14" t="s">
        <v>2690</v>
      </c>
      <c r="D117" s="10" t="s">
        <v>2691</v>
      </c>
      <c r="E117" s="9">
        <v>45855</v>
      </c>
      <c r="F117" s="10" t="s">
        <v>42</v>
      </c>
      <c r="G117" s="10" t="s">
        <v>227</v>
      </c>
      <c r="H117" s="10" t="s">
        <v>24</v>
      </c>
      <c r="I117" s="10" t="s">
        <v>61</v>
      </c>
      <c r="J117" s="10"/>
      <c r="K117" s="10" t="s">
        <v>8</v>
      </c>
      <c r="L117" s="12">
        <f t="shared" si="14"/>
        <v>36</v>
      </c>
      <c r="M117" s="12">
        <v>5000</v>
      </c>
      <c r="N117" s="12">
        <v>0</v>
      </c>
      <c r="O117" s="112">
        <v>180000</v>
      </c>
      <c r="P117" s="112">
        <f t="shared" si="11"/>
        <v>180000</v>
      </c>
      <c r="Q117" s="112">
        <v>0</v>
      </c>
      <c r="R117" s="112"/>
      <c r="S117" s="112">
        <v>0</v>
      </c>
      <c r="T117" s="112">
        <f t="shared" si="13"/>
        <v>180000</v>
      </c>
      <c r="U117" s="42">
        <v>36</v>
      </c>
    </row>
    <row r="118" spans="1:21" s="36" customFormat="1" ht="15.45" hidden="1" x14ac:dyDescent="0.35">
      <c r="A118" s="20" t="s">
        <v>218</v>
      </c>
      <c r="B118" s="9">
        <v>45855</v>
      </c>
      <c r="C118" s="14" t="s">
        <v>2693</v>
      </c>
      <c r="D118" s="10" t="s">
        <v>2694</v>
      </c>
      <c r="E118" s="9">
        <v>45852</v>
      </c>
      <c r="F118" s="10" t="s">
        <v>44</v>
      </c>
      <c r="G118" s="10" t="s">
        <v>1922</v>
      </c>
      <c r="H118" s="10" t="s">
        <v>23</v>
      </c>
      <c r="I118" s="10" t="s">
        <v>885</v>
      </c>
      <c r="J118" s="50" t="s">
        <v>2789</v>
      </c>
      <c r="K118" s="10" t="s">
        <v>1</v>
      </c>
      <c r="L118" s="12">
        <f t="shared" si="14"/>
        <v>250</v>
      </c>
      <c r="M118" s="12">
        <v>25152</v>
      </c>
      <c r="N118" s="12">
        <v>16227</v>
      </c>
      <c r="O118" s="112">
        <v>6288000</v>
      </c>
      <c r="P118" s="112">
        <f t="shared" si="11"/>
        <v>6288000</v>
      </c>
      <c r="Q118" s="112">
        <v>691680</v>
      </c>
      <c r="R118" s="112"/>
      <c r="S118" s="112">
        <v>0</v>
      </c>
      <c r="T118" s="112">
        <f t="shared" si="13"/>
        <v>6979680</v>
      </c>
      <c r="U118" s="42">
        <v>250</v>
      </c>
    </row>
    <row r="119" spans="1:21" s="36" customFormat="1" ht="15.45" hidden="1" x14ac:dyDescent="0.35">
      <c r="A119" s="19" t="s">
        <v>2714</v>
      </c>
      <c r="B119" s="9">
        <v>45855</v>
      </c>
      <c r="C119" s="14" t="s">
        <v>2695</v>
      </c>
      <c r="D119" s="10" t="s">
        <v>2696</v>
      </c>
      <c r="E119" s="9">
        <v>45854</v>
      </c>
      <c r="F119" s="10" t="s">
        <v>2697</v>
      </c>
      <c r="G119" s="10" t="s">
        <v>2698</v>
      </c>
      <c r="H119" s="10" t="s">
        <v>23</v>
      </c>
      <c r="I119" s="10" t="s">
        <v>890</v>
      </c>
      <c r="J119" s="50" t="s">
        <v>2843</v>
      </c>
      <c r="K119" s="10" t="s">
        <v>1</v>
      </c>
      <c r="L119" s="12">
        <f t="shared" si="14"/>
        <v>1040</v>
      </c>
      <c r="M119" s="12">
        <v>22788</v>
      </c>
      <c r="N119" s="12">
        <v>16277</v>
      </c>
      <c r="O119" s="112">
        <v>23699520</v>
      </c>
      <c r="P119" s="112">
        <f t="shared" si="11"/>
        <v>23699520</v>
      </c>
      <c r="Q119" s="112">
        <v>2606947.2000000002</v>
      </c>
      <c r="R119" s="112"/>
      <c r="S119" s="112">
        <v>0</v>
      </c>
      <c r="T119" s="112">
        <f t="shared" si="13"/>
        <v>26306467.199999999</v>
      </c>
      <c r="U119" s="42">
        <v>1040</v>
      </c>
    </row>
    <row r="120" spans="1:21" s="36" customFormat="1" ht="15.45" hidden="1" x14ac:dyDescent="0.35">
      <c r="A120" s="19" t="s">
        <v>104</v>
      </c>
      <c r="B120" s="9">
        <v>45856</v>
      </c>
      <c r="C120" s="14" t="s">
        <v>2699</v>
      </c>
      <c r="D120" s="10" t="s">
        <v>2700</v>
      </c>
      <c r="E120" s="9">
        <v>45849</v>
      </c>
      <c r="F120" s="10" t="s">
        <v>73</v>
      </c>
      <c r="G120" s="10" t="s">
        <v>2701</v>
      </c>
      <c r="H120" s="10" t="s">
        <v>24</v>
      </c>
      <c r="I120" s="10" t="s">
        <v>61</v>
      </c>
      <c r="J120" s="50" t="s">
        <v>2851</v>
      </c>
      <c r="K120" s="10" t="s">
        <v>2702</v>
      </c>
      <c r="L120" s="12">
        <f t="shared" si="14"/>
        <v>10</v>
      </c>
      <c r="M120" s="12">
        <v>160000</v>
      </c>
      <c r="N120" s="12">
        <v>0</v>
      </c>
      <c r="O120" s="112">
        <v>1600000</v>
      </c>
      <c r="P120" s="112">
        <f t="shared" si="11"/>
        <v>1600000</v>
      </c>
      <c r="Q120" s="112">
        <v>176000</v>
      </c>
      <c r="R120" s="112"/>
      <c r="S120" s="112">
        <v>0</v>
      </c>
      <c r="T120" s="112">
        <f t="shared" si="13"/>
        <v>1776000</v>
      </c>
      <c r="U120" s="42">
        <v>10</v>
      </c>
    </row>
    <row r="121" spans="1:21" s="36" customFormat="1" ht="15.45" hidden="1" x14ac:dyDescent="0.35">
      <c r="A121" s="19" t="s">
        <v>107</v>
      </c>
      <c r="B121" s="9">
        <v>45855</v>
      </c>
      <c r="C121" s="14" t="s">
        <v>2703</v>
      </c>
      <c r="D121" s="10" t="s">
        <v>2669</v>
      </c>
      <c r="E121" s="9">
        <v>45834</v>
      </c>
      <c r="F121" s="10" t="s">
        <v>60</v>
      </c>
      <c r="G121" s="10" t="s">
        <v>82</v>
      </c>
      <c r="H121" s="10" t="s">
        <v>24</v>
      </c>
      <c r="I121" s="10" t="s">
        <v>61</v>
      </c>
      <c r="J121" s="50" t="s">
        <v>2719</v>
      </c>
      <c r="K121" s="10" t="s">
        <v>1</v>
      </c>
      <c r="L121" s="12">
        <f t="shared" si="14"/>
        <v>739.5</v>
      </c>
      <c r="M121" s="12">
        <v>24500</v>
      </c>
      <c r="N121" s="12">
        <v>0</v>
      </c>
      <c r="O121" s="112">
        <v>18117750</v>
      </c>
      <c r="P121" s="112">
        <f t="shared" si="11"/>
        <v>18117750</v>
      </c>
      <c r="Q121" s="112">
        <v>1992952.5</v>
      </c>
      <c r="R121" s="112"/>
      <c r="S121" s="112">
        <v>0</v>
      </c>
      <c r="T121" s="112">
        <f t="shared" si="13"/>
        <v>20110702.5</v>
      </c>
      <c r="U121" s="42">
        <v>739.5</v>
      </c>
    </row>
    <row r="122" spans="1:21" s="36" customFormat="1" ht="15.45" hidden="1" x14ac:dyDescent="0.35">
      <c r="A122" s="19" t="s">
        <v>105</v>
      </c>
      <c r="B122" s="9">
        <v>45856</v>
      </c>
      <c r="C122" s="14" t="s">
        <v>2704</v>
      </c>
      <c r="D122" s="10" t="s">
        <v>2705</v>
      </c>
      <c r="E122" s="9">
        <v>45854</v>
      </c>
      <c r="F122" s="10" t="s">
        <v>85</v>
      </c>
      <c r="G122" s="10" t="s">
        <v>2204</v>
      </c>
      <c r="H122" s="10" t="s">
        <v>23</v>
      </c>
      <c r="I122" s="10" t="s">
        <v>886</v>
      </c>
      <c r="J122" s="50" t="s">
        <v>2844</v>
      </c>
      <c r="K122" s="10" t="s">
        <v>1</v>
      </c>
      <c r="L122" s="12">
        <f t="shared" si="14"/>
        <v>25</v>
      </c>
      <c r="M122" s="12">
        <v>195336</v>
      </c>
      <c r="N122" s="12">
        <v>16278</v>
      </c>
      <c r="O122" s="112">
        <v>4883400</v>
      </c>
      <c r="P122" s="112">
        <f t="shared" si="11"/>
        <v>4883400</v>
      </c>
      <c r="Q122" s="112">
        <v>537174</v>
      </c>
      <c r="R122" s="112"/>
      <c r="S122" s="112">
        <v>0</v>
      </c>
      <c r="T122" s="112">
        <f t="shared" si="13"/>
        <v>5420574</v>
      </c>
      <c r="U122" s="42">
        <v>25</v>
      </c>
    </row>
    <row r="123" spans="1:21" s="36" customFormat="1" ht="15.45" hidden="1" x14ac:dyDescent="0.35">
      <c r="A123" s="19" t="s">
        <v>105</v>
      </c>
      <c r="B123" s="9">
        <v>45856</v>
      </c>
      <c r="C123" s="14" t="s">
        <v>2706</v>
      </c>
      <c r="D123" s="10" t="s">
        <v>2707</v>
      </c>
      <c r="E123" s="9">
        <v>45854</v>
      </c>
      <c r="F123" s="10" t="s">
        <v>85</v>
      </c>
      <c r="G123" s="10" t="s">
        <v>1899</v>
      </c>
      <c r="H123" s="10" t="s">
        <v>23</v>
      </c>
      <c r="I123" s="10" t="s">
        <v>886</v>
      </c>
      <c r="J123" s="50" t="s">
        <v>2845</v>
      </c>
      <c r="K123" s="10" t="s">
        <v>1</v>
      </c>
      <c r="L123" s="12">
        <f t="shared" si="14"/>
        <v>50</v>
      </c>
      <c r="M123" s="12">
        <v>366255</v>
      </c>
      <c r="N123" s="12">
        <v>16278</v>
      </c>
      <c r="O123" s="112">
        <v>18312750</v>
      </c>
      <c r="P123" s="112">
        <f t="shared" si="11"/>
        <v>18312750</v>
      </c>
      <c r="Q123" s="112">
        <v>2014402.5</v>
      </c>
      <c r="R123" s="112"/>
      <c r="S123" s="112">
        <v>0</v>
      </c>
      <c r="T123" s="112">
        <f t="shared" si="13"/>
        <v>20327152.5</v>
      </c>
      <c r="U123" s="42">
        <v>50</v>
      </c>
    </row>
    <row r="124" spans="1:21" s="36" customFormat="1" ht="15.45" hidden="1" x14ac:dyDescent="0.35">
      <c r="A124" s="19" t="s">
        <v>159</v>
      </c>
      <c r="B124" s="9">
        <v>45856</v>
      </c>
      <c r="C124" s="14" t="s">
        <v>2708</v>
      </c>
      <c r="D124" s="10" t="s">
        <v>2709</v>
      </c>
      <c r="E124" s="9">
        <v>45855</v>
      </c>
      <c r="F124" s="10" t="s">
        <v>157</v>
      </c>
      <c r="G124" s="10" t="s">
        <v>158</v>
      </c>
      <c r="H124" s="10" t="s">
        <v>23</v>
      </c>
      <c r="I124" s="10" t="s">
        <v>2192</v>
      </c>
      <c r="J124" s="50" t="s">
        <v>2942</v>
      </c>
      <c r="K124" s="10" t="s">
        <v>1</v>
      </c>
      <c r="L124" s="12">
        <f t="shared" si="14"/>
        <v>50</v>
      </c>
      <c r="M124" s="12">
        <v>75000</v>
      </c>
      <c r="N124" s="12">
        <v>0</v>
      </c>
      <c r="O124" s="112">
        <v>3750000</v>
      </c>
      <c r="P124" s="112">
        <f t="shared" ref="P124:P155" si="15">O124</f>
        <v>3750000</v>
      </c>
      <c r="Q124" s="112">
        <v>412500</v>
      </c>
      <c r="R124" s="112"/>
      <c r="S124" s="112">
        <v>0</v>
      </c>
      <c r="T124" s="112">
        <f t="shared" si="13"/>
        <v>4162500</v>
      </c>
      <c r="U124" s="42">
        <v>50</v>
      </c>
    </row>
    <row r="125" spans="1:21" s="36" customFormat="1" ht="15.45" hidden="1" x14ac:dyDescent="0.35">
      <c r="A125" s="19" t="s">
        <v>104</v>
      </c>
      <c r="B125" s="9">
        <v>45856</v>
      </c>
      <c r="C125" s="14" t="s">
        <v>2710</v>
      </c>
      <c r="D125" s="10" t="s">
        <v>2711</v>
      </c>
      <c r="E125" s="9">
        <v>45828</v>
      </c>
      <c r="F125" s="10" t="s">
        <v>73</v>
      </c>
      <c r="G125" s="10" t="s">
        <v>2712</v>
      </c>
      <c r="H125" s="10" t="s">
        <v>24</v>
      </c>
      <c r="I125" s="10" t="s">
        <v>61</v>
      </c>
      <c r="J125" s="50" t="s">
        <v>2852</v>
      </c>
      <c r="K125" s="10" t="s">
        <v>6</v>
      </c>
      <c r="L125" s="12">
        <f t="shared" si="14"/>
        <v>1</v>
      </c>
      <c r="M125" s="12">
        <v>895000</v>
      </c>
      <c r="N125" s="12">
        <v>0</v>
      </c>
      <c r="O125" s="112">
        <v>895000</v>
      </c>
      <c r="P125" s="112">
        <f t="shared" si="15"/>
        <v>895000</v>
      </c>
      <c r="Q125" s="112">
        <v>98450</v>
      </c>
      <c r="R125" s="112"/>
      <c r="S125" s="112">
        <v>0</v>
      </c>
      <c r="T125" s="112">
        <f t="shared" si="13"/>
        <v>993450</v>
      </c>
      <c r="U125" s="42">
        <v>1</v>
      </c>
    </row>
    <row r="126" spans="1:21" s="36" customFormat="1" ht="15.45" hidden="1" x14ac:dyDescent="0.35">
      <c r="A126" s="19" t="s">
        <v>98</v>
      </c>
      <c r="B126" s="9">
        <v>45856</v>
      </c>
      <c r="C126" s="14" t="s">
        <v>2713</v>
      </c>
      <c r="D126" s="10" t="s">
        <v>2498</v>
      </c>
      <c r="E126" s="9">
        <v>45840</v>
      </c>
      <c r="F126" s="10" t="s">
        <v>84</v>
      </c>
      <c r="G126" s="10" t="s">
        <v>175</v>
      </c>
      <c r="H126" s="10" t="s">
        <v>25</v>
      </c>
      <c r="I126" s="10" t="s">
        <v>79</v>
      </c>
      <c r="J126" s="50" t="s">
        <v>2893</v>
      </c>
      <c r="K126" s="10" t="s">
        <v>1</v>
      </c>
      <c r="L126" s="12">
        <f t="shared" si="14"/>
        <v>31840</v>
      </c>
      <c r="M126" s="12">
        <v>1250</v>
      </c>
      <c r="N126" s="12">
        <v>0</v>
      </c>
      <c r="O126" s="112">
        <v>39800000</v>
      </c>
      <c r="P126" s="112">
        <f t="shared" si="15"/>
        <v>39800000</v>
      </c>
      <c r="Q126" s="112">
        <v>4378000</v>
      </c>
      <c r="R126" s="112">
        <f>P126*1.5%</f>
        <v>597000</v>
      </c>
      <c r="S126" s="112">
        <v>0</v>
      </c>
      <c r="T126" s="112">
        <f>P126+Q126-S126-R126</f>
        <v>43581000</v>
      </c>
      <c r="U126" s="42">
        <v>31840</v>
      </c>
    </row>
    <row r="127" spans="1:21" s="36" customFormat="1" ht="15.45" hidden="1" x14ac:dyDescent="0.35">
      <c r="A127" s="19" t="s">
        <v>109</v>
      </c>
      <c r="B127" s="9">
        <v>45859</v>
      </c>
      <c r="C127" s="14" t="s">
        <v>2722</v>
      </c>
      <c r="D127" s="10" t="s">
        <v>2614</v>
      </c>
      <c r="E127" s="9">
        <v>45847</v>
      </c>
      <c r="F127" s="10" t="s">
        <v>54</v>
      </c>
      <c r="G127" s="10" t="s">
        <v>49</v>
      </c>
      <c r="H127" s="10" t="s">
        <v>24</v>
      </c>
      <c r="I127" s="10" t="s">
        <v>61</v>
      </c>
      <c r="J127" s="50" t="s">
        <v>2793</v>
      </c>
      <c r="K127" s="10" t="s">
        <v>15</v>
      </c>
      <c r="L127" s="12">
        <f t="shared" si="14"/>
        <v>144</v>
      </c>
      <c r="M127" s="12">
        <v>6454</v>
      </c>
      <c r="N127" s="12">
        <v>0</v>
      </c>
      <c r="O127" s="112">
        <v>929376</v>
      </c>
      <c r="P127" s="112">
        <f t="shared" si="15"/>
        <v>929376</v>
      </c>
      <c r="Q127" s="112">
        <v>102231.36</v>
      </c>
      <c r="R127" s="112"/>
      <c r="S127" s="112">
        <v>0</v>
      </c>
      <c r="T127" s="112">
        <f t="shared" ref="T127:T135" si="16">P127+Q127-S127</f>
        <v>1031607.36</v>
      </c>
      <c r="U127" s="42">
        <v>144</v>
      </c>
    </row>
    <row r="128" spans="1:21" s="36" customFormat="1" ht="15.45" hidden="1" x14ac:dyDescent="0.35">
      <c r="A128" s="19" t="s">
        <v>817</v>
      </c>
      <c r="B128" s="9">
        <v>45859</v>
      </c>
      <c r="C128" s="14" t="s">
        <v>2723</v>
      </c>
      <c r="D128" s="10" t="s">
        <v>2724</v>
      </c>
      <c r="E128" s="9">
        <v>45859</v>
      </c>
      <c r="F128" s="10" t="s">
        <v>808</v>
      </c>
      <c r="G128" s="10" t="s">
        <v>2725</v>
      </c>
      <c r="H128" s="10" t="s">
        <v>26</v>
      </c>
      <c r="I128" s="10" t="s">
        <v>80</v>
      </c>
      <c r="J128" s="10"/>
      <c r="K128" s="10" t="s">
        <v>16</v>
      </c>
      <c r="L128" s="12">
        <f t="shared" si="14"/>
        <v>1</v>
      </c>
      <c r="M128" s="12">
        <v>800000</v>
      </c>
      <c r="N128" s="12">
        <v>0</v>
      </c>
      <c r="O128" s="112">
        <v>800000</v>
      </c>
      <c r="P128" s="112">
        <f t="shared" si="15"/>
        <v>800000</v>
      </c>
      <c r="Q128" s="112">
        <v>0</v>
      </c>
      <c r="R128" s="112"/>
      <c r="S128" s="112">
        <v>0</v>
      </c>
      <c r="T128" s="112">
        <f t="shared" si="16"/>
        <v>800000</v>
      </c>
      <c r="U128" s="42">
        <v>1</v>
      </c>
    </row>
    <row r="129" spans="1:21" s="36" customFormat="1" ht="15.45" hidden="1" x14ac:dyDescent="0.35">
      <c r="A129" s="19" t="s">
        <v>105</v>
      </c>
      <c r="B129" s="9">
        <v>45859</v>
      </c>
      <c r="C129" s="14" t="s">
        <v>2726</v>
      </c>
      <c r="D129" s="10" t="s">
        <v>2489</v>
      </c>
      <c r="E129" s="9">
        <v>45833</v>
      </c>
      <c r="F129" s="10" t="s">
        <v>85</v>
      </c>
      <c r="G129" s="10" t="s">
        <v>1586</v>
      </c>
      <c r="H129" s="10" t="s">
        <v>23</v>
      </c>
      <c r="I129" s="10" t="s">
        <v>886</v>
      </c>
      <c r="J129" s="50" t="s">
        <v>2847</v>
      </c>
      <c r="K129" s="10" t="s">
        <v>1</v>
      </c>
      <c r="L129" s="12">
        <f t="shared" si="14"/>
        <v>300</v>
      </c>
      <c r="M129" s="12">
        <v>51298</v>
      </c>
      <c r="N129" s="12">
        <v>16285</v>
      </c>
      <c r="O129" s="112">
        <v>15389400</v>
      </c>
      <c r="P129" s="112">
        <f t="shared" si="15"/>
        <v>15389400</v>
      </c>
      <c r="Q129" s="112">
        <v>1692834</v>
      </c>
      <c r="R129" s="112"/>
      <c r="S129" s="112">
        <v>0</v>
      </c>
      <c r="T129" s="112">
        <f t="shared" si="16"/>
        <v>17082234</v>
      </c>
      <c r="U129" s="42">
        <v>300</v>
      </c>
    </row>
    <row r="130" spans="1:21" s="36" customFormat="1" ht="15.45" hidden="1" x14ac:dyDescent="0.35">
      <c r="A130" s="19" t="s">
        <v>105</v>
      </c>
      <c r="B130" s="9">
        <v>45859</v>
      </c>
      <c r="C130" s="14" t="s">
        <v>2727</v>
      </c>
      <c r="D130" s="10" t="s">
        <v>2728</v>
      </c>
      <c r="E130" s="9">
        <v>45855</v>
      </c>
      <c r="F130" s="10" t="s">
        <v>85</v>
      </c>
      <c r="G130" s="10" t="s">
        <v>2729</v>
      </c>
      <c r="H130" s="10" t="s">
        <v>23</v>
      </c>
      <c r="I130" s="10" t="s">
        <v>885</v>
      </c>
      <c r="J130" s="50" t="s">
        <v>2846</v>
      </c>
      <c r="K130" s="10" t="s">
        <v>1</v>
      </c>
      <c r="L130" s="12">
        <f t="shared" si="14"/>
        <v>200</v>
      </c>
      <c r="M130" s="12">
        <v>14691</v>
      </c>
      <c r="N130" s="12">
        <v>16323</v>
      </c>
      <c r="O130" s="112">
        <v>2938200</v>
      </c>
      <c r="P130" s="112">
        <f t="shared" si="15"/>
        <v>2938200</v>
      </c>
      <c r="Q130" s="112">
        <v>323202</v>
      </c>
      <c r="R130" s="112"/>
      <c r="S130" s="112">
        <v>0</v>
      </c>
      <c r="T130" s="112">
        <f t="shared" si="16"/>
        <v>3261402</v>
      </c>
      <c r="U130" s="42">
        <v>200</v>
      </c>
    </row>
    <row r="131" spans="1:21" s="36" customFormat="1" ht="15.45" hidden="1" x14ac:dyDescent="0.35">
      <c r="A131" s="19" t="s">
        <v>225</v>
      </c>
      <c r="B131" s="9">
        <v>45859</v>
      </c>
      <c r="C131" s="14" t="s">
        <v>2730</v>
      </c>
      <c r="D131" s="10" t="s">
        <v>2731</v>
      </c>
      <c r="E131" s="9">
        <v>45856</v>
      </c>
      <c r="F131" s="10" t="s">
        <v>221</v>
      </c>
      <c r="G131" s="10" t="s">
        <v>222</v>
      </c>
      <c r="H131" s="10" t="s">
        <v>23</v>
      </c>
      <c r="I131" s="10" t="s">
        <v>885</v>
      </c>
      <c r="J131" s="50" t="s">
        <v>2790</v>
      </c>
      <c r="K131" s="10" t="s">
        <v>1</v>
      </c>
      <c r="L131" s="12">
        <f t="shared" si="14"/>
        <v>200</v>
      </c>
      <c r="M131" s="12">
        <v>9128</v>
      </c>
      <c r="N131" s="12">
        <v>16300</v>
      </c>
      <c r="O131" s="112">
        <v>1825600</v>
      </c>
      <c r="P131" s="112">
        <f t="shared" si="15"/>
        <v>1825600</v>
      </c>
      <c r="Q131" s="112">
        <v>200816</v>
      </c>
      <c r="R131" s="112"/>
      <c r="S131" s="112">
        <v>0</v>
      </c>
      <c r="T131" s="112">
        <f t="shared" si="16"/>
        <v>2026416</v>
      </c>
      <c r="U131" s="42">
        <v>200</v>
      </c>
    </row>
    <row r="132" spans="1:21" s="36" customFormat="1" ht="15.45" hidden="1" x14ac:dyDescent="0.35">
      <c r="A132" s="19" t="s">
        <v>96</v>
      </c>
      <c r="B132" s="9">
        <v>45859</v>
      </c>
      <c r="C132" s="14" t="s">
        <v>2732</v>
      </c>
      <c r="D132" s="10" t="s">
        <v>2733</v>
      </c>
      <c r="E132" s="9">
        <v>45855</v>
      </c>
      <c r="F132" s="10" t="s">
        <v>39</v>
      </c>
      <c r="G132" s="10" t="s">
        <v>649</v>
      </c>
      <c r="H132" s="10" t="s">
        <v>24</v>
      </c>
      <c r="I132" s="10" t="s">
        <v>61</v>
      </c>
      <c r="J132" s="10"/>
      <c r="K132" s="10" t="s">
        <v>650</v>
      </c>
      <c r="L132" s="12">
        <f t="shared" si="14"/>
        <v>5</v>
      </c>
      <c r="M132" s="12">
        <v>800000</v>
      </c>
      <c r="N132" s="12">
        <v>0</v>
      </c>
      <c r="O132" s="112">
        <v>4000000</v>
      </c>
      <c r="P132" s="112">
        <f t="shared" si="15"/>
        <v>4000000</v>
      </c>
      <c r="Q132" s="112">
        <v>0</v>
      </c>
      <c r="R132" s="112"/>
      <c r="S132" s="112">
        <v>0</v>
      </c>
      <c r="T132" s="112">
        <f t="shared" si="16"/>
        <v>4000000</v>
      </c>
      <c r="U132" s="42">
        <v>5</v>
      </c>
    </row>
    <row r="133" spans="1:21" s="36" customFormat="1" ht="15.45" hidden="1" x14ac:dyDescent="0.35">
      <c r="A133" s="19" t="s">
        <v>2752</v>
      </c>
      <c r="B133" s="9">
        <v>45859</v>
      </c>
      <c r="C133" s="14" t="s">
        <v>2734</v>
      </c>
      <c r="D133" s="10" t="s">
        <v>2735</v>
      </c>
      <c r="E133" s="9">
        <v>45854</v>
      </c>
      <c r="F133" s="10" t="s">
        <v>2736</v>
      </c>
      <c r="G133" s="10" t="s">
        <v>2201</v>
      </c>
      <c r="H133" s="10" t="s">
        <v>23</v>
      </c>
      <c r="I133" s="10" t="s">
        <v>886</v>
      </c>
      <c r="J133" s="50" t="s">
        <v>2792</v>
      </c>
      <c r="K133" s="10" t="s">
        <v>1</v>
      </c>
      <c r="L133" s="12">
        <f t="shared" si="14"/>
        <v>25</v>
      </c>
      <c r="M133" s="12">
        <v>413967</v>
      </c>
      <c r="N133" s="12">
        <v>16234</v>
      </c>
      <c r="O133" s="112">
        <v>10349175</v>
      </c>
      <c r="P133" s="112">
        <f t="shared" si="15"/>
        <v>10349175</v>
      </c>
      <c r="Q133" s="112">
        <v>1138409.25</v>
      </c>
      <c r="R133" s="112"/>
      <c r="S133" s="112">
        <v>0</v>
      </c>
      <c r="T133" s="112">
        <f t="shared" si="16"/>
        <v>11487584.25</v>
      </c>
      <c r="U133" s="42">
        <v>25</v>
      </c>
    </row>
    <row r="134" spans="1:21" s="36" customFormat="1" ht="15.45" hidden="1" x14ac:dyDescent="0.35">
      <c r="A134" s="19" t="s">
        <v>103</v>
      </c>
      <c r="B134" s="9">
        <v>45859</v>
      </c>
      <c r="C134" s="14" t="s">
        <v>2737</v>
      </c>
      <c r="D134" s="10" t="s">
        <v>2738</v>
      </c>
      <c r="E134" s="9">
        <v>45854</v>
      </c>
      <c r="F134" s="10" t="s">
        <v>70</v>
      </c>
      <c r="G134" s="10" t="s">
        <v>46</v>
      </c>
      <c r="H134" s="10" t="s">
        <v>23</v>
      </c>
      <c r="I134" s="10" t="s">
        <v>889</v>
      </c>
      <c r="J134" s="50" t="s">
        <v>2791</v>
      </c>
      <c r="K134" s="10" t="s">
        <v>1</v>
      </c>
      <c r="L134" s="12">
        <f t="shared" si="14"/>
        <v>240</v>
      </c>
      <c r="M134" s="12">
        <v>24000</v>
      </c>
      <c r="N134" s="12">
        <v>0</v>
      </c>
      <c r="O134" s="112">
        <v>5760000</v>
      </c>
      <c r="P134" s="112">
        <f t="shared" si="15"/>
        <v>5760000</v>
      </c>
      <c r="Q134" s="112">
        <v>633600</v>
      </c>
      <c r="R134" s="112"/>
      <c r="S134" s="112">
        <v>0</v>
      </c>
      <c r="T134" s="112">
        <f t="shared" si="16"/>
        <v>6393600</v>
      </c>
      <c r="U134" s="42">
        <v>240</v>
      </c>
    </row>
    <row r="135" spans="1:21" s="36" customFormat="1" ht="15.45" hidden="1" x14ac:dyDescent="0.35">
      <c r="A135" s="19" t="s">
        <v>103</v>
      </c>
      <c r="B135" s="9">
        <v>45859</v>
      </c>
      <c r="C135" s="14" t="s">
        <v>2737</v>
      </c>
      <c r="D135" s="10" t="s">
        <v>2738</v>
      </c>
      <c r="E135" s="9">
        <v>45854</v>
      </c>
      <c r="F135" s="10" t="s">
        <v>70</v>
      </c>
      <c r="G135" s="10" t="s">
        <v>47</v>
      </c>
      <c r="H135" s="10" t="s">
        <v>23</v>
      </c>
      <c r="I135" s="10" t="s">
        <v>889</v>
      </c>
      <c r="J135" s="50" t="s">
        <v>2791</v>
      </c>
      <c r="K135" s="10" t="s">
        <v>1</v>
      </c>
      <c r="L135" s="12">
        <f t="shared" si="14"/>
        <v>240</v>
      </c>
      <c r="M135" s="12">
        <v>23000</v>
      </c>
      <c r="N135" s="12">
        <v>0</v>
      </c>
      <c r="O135" s="112">
        <v>5520000</v>
      </c>
      <c r="P135" s="112">
        <f t="shared" si="15"/>
        <v>5520000</v>
      </c>
      <c r="Q135" s="112">
        <v>607200</v>
      </c>
      <c r="R135" s="112"/>
      <c r="S135" s="112">
        <v>0</v>
      </c>
      <c r="T135" s="112">
        <f t="shared" si="16"/>
        <v>6127200</v>
      </c>
      <c r="U135" s="42">
        <v>240</v>
      </c>
    </row>
    <row r="136" spans="1:21" s="36" customFormat="1" ht="15.45" x14ac:dyDescent="0.35">
      <c r="A136" s="19" t="s">
        <v>115</v>
      </c>
      <c r="B136" s="9">
        <v>45859</v>
      </c>
      <c r="C136" s="14" t="s">
        <v>2739</v>
      </c>
      <c r="D136" s="10" t="s">
        <v>2500</v>
      </c>
      <c r="E136" s="9">
        <v>45840</v>
      </c>
      <c r="F136" s="10" t="s">
        <v>81</v>
      </c>
      <c r="G136" s="10" t="s">
        <v>89</v>
      </c>
      <c r="H136" s="10" t="s">
        <v>25</v>
      </c>
      <c r="I136" s="10" t="s">
        <v>79</v>
      </c>
      <c r="J136" s="50" t="s">
        <v>2938</v>
      </c>
      <c r="K136" s="10" t="s">
        <v>1</v>
      </c>
      <c r="L136" s="12">
        <f t="shared" si="14"/>
        <v>30160</v>
      </c>
      <c r="M136" s="12">
        <v>1525</v>
      </c>
      <c r="N136" s="12">
        <v>0</v>
      </c>
      <c r="O136" s="112">
        <v>45994000</v>
      </c>
      <c r="P136" s="112">
        <f t="shared" si="15"/>
        <v>45994000</v>
      </c>
      <c r="Q136" s="112">
        <v>5059340</v>
      </c>
      <c r="R136" s="112">
        <f>P136*1.5%</f>
        <v>689910</v>
      </c>
      <c r="S136" s="112">
        <v>0</v>
      </c>
      <c r="T136" s="112">
        <f>P136+Q136-S136-R136</f>
        <v>50363430</v>
      </c>
      <c r="U136" s="42">
        <v>30160</v>
      </c>
    </row>
    <row r="137" spans="1:21" s="36" customFormat="1" ht="15.45" hidden="1" x14ac:dyDescent="0.35">
      <c r="A137" s="19" t="s">
        <v>98</v>
      </c>
      <c r="B137" s="9">
        <v>45860</v>
      </c>
      <c r="C137" s="14" t="s">
        <v>2740</v>
      </c>
      <c r="D137" s="10" t="s">
        <v>2741</v>
      </c>
      <c r="E137" s="9">
        <v>45860</v>
      </c>
      <c r="F137" s="10" t="s">
        <v>84</v>
      </c>
      <c r="G137" s="10" t="s">
        <v>175</v>
      </c>
      <c r="H137" s="10" t="s">
        <v>25</v>
      </c>
      <c r="I137" s="10" t="s">
        <v>79</v>
      </c>
      <c r="J137" s="50" t="s">
        <v>2894</v>
      </c>
      <c r="K137" s="10" t="s">
        <v>1</v>
      </c>
      <c r="L137" s="12">
        <f t="shared" si="14"/>
        <v>25640</v>
      </c>
      <c r="M137" s="12">
        <v>1250</v>
      </c>
      <c r="N137" s="12">
        <v>0</v>
      </c>
      <c r="O137" s="112">
        <v>32050000</v>
      </c>
      <c r="P137" s="112">
        <f t="shared" si="15"/>
        <v>32050000</v>
      </c>
      <c r="Q137" s="112">
        <v>3525500</v>
      </c>
      <c r="R137" s="112">
        <f>P137*1.5%</f>
        <v>480750</v>
      </c>
      <c r="S137" s="112">
        <v>0</v>
      </c>
      <c r="T137" s="112">
        <f>P137+Q137-S137-R137</f>
        <v>35094750</v>
      </c>
      <c r="U137" s="42">
        <v>25640</v>
      </c>
    </row>
    <row r="138" spans="1:21" s="36" customFormat="1" ht="15.45" hidden="1" x14ac:dyDescent="0.35">
      <c r="A138" s="19" t="s">
        <v>2753</v>
      </c>
      <c r="B138" s="9">
        <v>45861</v>
      </c>
      <c r="C138" s="14" t="s">
        <v>2742</v>
      </c>
      <c r="D138" s="10" t="s">
        <v>2743</v>
      </c>
      <c r="E138" s="9">
        <v>45855</v>
      </c>
      <c r="F138" s="10" t="s">
        <v>2744</v>
      </c>
      <c r="G138" s="10" t="s">
        <v>2746</v>
      </c>
      <c r="H138" s="10" t="s">
        <v>23</v>
      </c>
      <c r="I138" s="10" t="s">
        <v>887</v>
      </c>
      <c r="J138" s="50" t="s">
        <v>2848</v>
      </c>
      <c r="K138" s="10" t="s">
        <v>2747</v>
      </c>
      <c r="L138" s="12">
        <f t="shared" si="14"/>
        <v>30</v>
      </c>
      <c r="M138" s="12">
        <v>26000</v>
      </c>
      <c r="N138" s="12">
        <v>0</v>
      </c>
      <c r="O138" s="112">
        <v>780000</v>
      </c>
      <c r="P138" s="112">
        <f t="shared" si="15"/>
        <v>780000</v>
      </c>
      <c r="Q138" s="112">
        <v>85800</v>
      </c>
      <c r="R138" s="112"/>
      <c r="S138" s="112">
        <v>0</v>
      </c>
      <c r="T138" s="112">
        <f>P138+Q138-S138</f>
        <v>865800</v>
      </c>
      <c r="U138" s="42">
        <v>30</v>
      </c>
    </row>
    <row r="139" spans="1:21" s="36" customFormat="1" ht="15.45" hidden="1" x14ac:dyDescent="0.35">
      <c r="A139" s="19" t="s">
        <v>2753</v>
      </c>
      <c r="B139" s="9">
        <v>45861</v>
      </c>
      <c r="C139" s="14" t="s">
        <v>2742</v>
      </c>
      <c r="D139" s="10" t="s">
        <v>2743</v>
      </c>
      <c r="E139" s="9">
        <v>45855</v>
      </c>
      <c r="F139" s="10" t="s">
        <v>2744</v>
      </c>
      <c r="G139" s="10" t="s">
        <v>2745</v>
      </c>
      <c r="H139" s="10" t="s">
        <v>23</v>
      </c>
      <c r="I139" s="10" t="s">
        <v>887</v>
      </c>
      <c r="J139" s="50" t="s">
        <v>2848</v>
      </c>
      <c r="K139" s="10" t="s">
        <v>1</v>
      </c>
      <c r="L139" s="12">
        <f t="shared" si="14"/>
        <v>5000</v>
      </c>
      <c r="M139" s="12">
        <v>5500</v>
      </c>
      <c r="N139" s="12">
        <v>0</v>
      </c>
      <c r="O139" s="112">
        <v>27500000</v>
      </c>
      <c r="P139" s="112">
        <f t="shared" si="15"/>
        <v>27500000</v>
      </c>
      <c r="Q139" s="112">
        <v>3025000</v>
      </c>
      <c r="R139" s="112"/>
      <c r="S139" s="112">
        <v>0</v>
      </c>
      <c r="T139" s="112">
        <f>P139+Q139-S139</f>
        <v>30525000</v>
      </c>
      <c r="U139" s="42">
        <v>5000</v>
      </c>
    </row>
    <row r="140" spans="1:21" s="36" customFormat="1" ht="15.45" hidden="1" x14ac:dyDescent="0.35">
      <c r="A140" s="19" t="s">
        <v>2751</v>
      </c>
      <c r="B140" s="9">
        <v>45861</v>
      </c>
      <c r="C140" s="14" t="s">
        <v>2748</v>
      </c>
      <c r="D140" s="10" t="s">
        <v>2749</v>
      </c>
      <c r="E140" s="9">
        <v>45860</v>
      </c>
      <c r="F140" s="10" t="s">
        <v>240</v>
      </c>
      <c r="G140" s="10" t="s">
        <v>205</v>
      </c>
      <c r="H140" s="10" t="s">
        <v>24</v>
      </c>
      <c r="I140" s="10" t="s">
        <v>2192</v>
      </c>
      <c r="J140" s="50" t="s">
        <v>2849</v>
      </c>
      <c r="K140" s="10" t="s">
        <v>10</v>
      </c>
      <c r="L140" s="12">
        <f t="shared" si="14"/>
        <v>20</v>
      </c>
      <c r="M140" s="12">
        <v>684180</v>
      </c>
      <c r="N140" s="12">
        <v>16290</v>
      </c>
      <c r="O140" s="112">
        <v>13683600</v>
      </c>
      <c r="P140" s="112">
        <f t="shared" si="15"/>
        <v>13683600</v>
      </c>
      <c r="Q140" s="112">
        <v>1505196</v>
      </c>
      <c r="R140" s="112"/>
      <c r="S140" s="112">
        <v>0</v>
      </c>
      <c r="T140" s="112">
        <f>P140+Q140-S140</f>
        <v>15188796</v>
      </c>
      <c r="U140" s="42">
        <v>20</v>
      </c>
    </row>
    <row r="141" spans="1:21" s="36" customFormat="1" ht="15.45" hidden="1" x14ac:dyDescent="0.35">
      <c r="A141" s="20" t="s">
        <v>98</v>
      </c>
      <c r="B141" s="9">
        <v>45861</v>
      </c>
      <c r="C141" s="14" t="s">
        <v>2750</v>
      </c>
      <c r="D141" s="10" t="s">
        <v>2608</v>
      </c>
      <c r="E141" s="9">
        <v>45840</v>
      </c>
      <c r="F141" s="10" t="s">
        <v>84</v>
      </c>
      <c r="G141" s="10" t="s">
        <v>89</v>
      </c>
      <c r="H141" s="10" t="s">
        <v>25</v>
      </c>
      <c r="I141" s="10" t="s">
        <v>79</v>
      </c>
      <c r="J141" s="50" t="s">
        <v>2895</v>
      </c>
      <c r="K141" s="10" t="s">
        <v>1</v>
      </c>
      <c r="L141" s="12">
        <f t="shared" si="14"/>
        <v>35410</v>
      </c>
      <c r="M141" s="12">
        <v>1525</v>
      </c>
      <c r="N141" s="12">
        <v>0</v>
      </c>
      <c r="O141" s="112">
        <v>54000250</v>
      </c>
      <c r="P141" s="112">
        <f t="shared" si="15"/>
        <v>54000250</v>
      </c>
      <c r="Q141" s="112">
        <v>5940027.5</v>
      </c>
      <c r="R141" s="112">
        <f>P141*1.5%</f>
        <v>810003.75</v>
      </c>
      <c r="S141" s="112">
        <v>0</v>
      </c>
      <c r="T141" s="112">
        <f>P141+Q141-S141-R141</f>
        <v>59130273.75</v>
      </c>
      <c r="U141" s="42">
        <v>35410</v>
      </c>
    </row>
    <row r="142" spans="1:21" s="36" customFormat="1" ht="15.45" hidden="1" x14ac:dyDescent="0.35">
      <c r="A142" s="19" t="s">
        <v>149</v>
      </c>
      <c r="B142" s="9">
        <v>45862</v>
      </c>
      <c r="C142" s="14" t="s">
        <v>2759</v>
      </c>
      <c r="D142" s="10" t="s">
        <v>2760</v>
      </c>
      <c r="E142" s="9">
        <v>45860</v>
      </c>
      <c r="F142" s="10" t="s">
        <v>143</v>
      </c>
      <c r="G142" s="10" t="s">
        <v>763</v>
      </c>
      <c r="H142" s="10" t="s">
        <v>24</v>
      </c>
      <c r="I142" s="10" t="s">
        <v>61</v>
      </c>
      <c r="J142" s="50" t="s">
        <v>2940</v>
      </c>
      <c r="K142" s="10" t="s">
        <v>10</v>
      </c>
      <c r="L142" s="12">
        <f t="shared" si="14"/>
        <v>20</v>
      </c>
      <c r="M142" s="12">
        <v>24700</v>
      </c>
      <c r="N142" s="12">
        <v>0</v>
      </c>
      <c r="O142" s="112">
        <v>494000</v>
      </c>
      <c r="P142" s="112">
        <f t="shared" si="15"/>
        <v>494000</v>
      </c>
      <c r="Q142" s="112">
        <v>54340</v>
      </c>
      <c r="R142" s="112"/>
      <c r="S142" s="112">
        <v>0</v>
      </c>
      <c r="T142" s="112">
        <f t="shared" ref="T142:T156" si="17">P142+Q142-S142</f>
        <v>548340</v>
      </c>
      <c r="U142" s="42">
        <v>20</v>
      </c>
    </row>
    <row r="143" spans="1:21" s="36" customFormat="1" ht="15.45" hidden="1" x14ac:dyDescent="0.35">
      <c r="A143" s="19" t="s">
        <v>149</v>
      </c>
      <c r="B143" s="9">
        <v>45862</v>
      </c>
      <c r="C143" s="14" t="s">
        <v>2759</v>
      </c>
      <c r="D143" s="10" t="s">
        <v>2760</v>
      </c>
      <c r="E143" s="9">
        <v>45860</v>
      </c>
      <c r="F143" s="10" t="s">
        <v>143</v>
      </c>
      <c r="G143" s="10" t="s">
        <v>198</v>
      </c>
      <c r="H143" s="10" t="s">
        <v>24</v>
      </c>
      <c r="I143" s="10" t="s">
        <v>61</v>
      </c>
      <c r="J143" s="50" t="s">
        <v>2940</v>
      </c>
      <c r="K143" s="10" t="s">
        <v>10</v>
      </c>
      <c r="L143" s="12">
        <f t="shared" ref="L143:L169" si="18">IF(LEFT(C143,2)="RP",U143*-1,U143)</f>
        <v>10</v>
      </c>
      <c r="M143" s="12">
        <v>28500</v>
      </c>
      <c r="N143" s="12">
        <v>0</v>
      </c>
      <c r="O143" s="112">
        <v>285000</v>
      </c>
      <c r="P143" s="112">
        <f t="shared" si="15"/>
        <v>285000</v>
      </c>
      <c r="Q143" s="112">
        <v>31350</v>
      </c>
      <c r="R143" s="112"/>
      <c r="S143" s="112">
        <v>0</v>
      </c>
      <c r="T143" s="112">
        <f t="shared" si="17"/>
        <v>316350</v>
      </c>
      <c r="U143" s="42">
        <v>10</v>
      </c>
    </row>
    <row r="144" spans="1:21" s="36" customFormat="1" ht="15.45" hidden="1" x14ac:dyDescent="0.35">
      <c r="A144" s="19" t="s">
        <v>105</v>
      </c>
      <c r="B144" s="9">
        <v>45862</v>
      </c>
      <c r="C144" s="14" t="s">
        <v>2761</v>
      </c>
      <c r="D144" s="10" t="s">
        <v>2671</v>
      </c>
      <c r="E144" s="9">
        <v>45840</v>
      </c>
      <c r="F144" s="10" t="s">
        <v>85</v>
      </c>
      <c r="G144" s="10" t="s">
        <v>660</v>
      </c>
      <c r="H144" s="10" t="s">
        <v>23</v>
      </c>
      <c r="I144" s="10" t="s">
        <v>890</v>
      </c>
      <c r="J144" s="50" t="s">
        <v>2953</v>
      </c>
      <c r="K144" s="10" t="s">
        <v>1</v>
      </c>
      <c r="L144" s="12">
        <f t="shared" si="18"/>
        <v>1980</v>
      </c>
      <c r="M144" s="12">
        <v>23509</v>
      </c>
      <c r="N144" s="12">
        <v>16213</v>
      </c>
      <c r="O144" s="112">
        <v>46547820</v>
      </c>
      <c r="P144" s="112">
        <f t="shared" si="15"/>
        <v>46547820</v>
      </c>
      <c r="Q144" s="112">
        <v>5120260.2</v>
      </c>
      <c r="R144" s="112"/>
      <c r="S144" s="112">
        <v>0</v>
      </c>
      <c r="T144" s="112">
        <f t="shared" si="17"/>
        <v>51668080.200000003</v>
      </c>
      <c r="U144" s="42">
        <v>1980</v>
      </c>
    </row>
    <row r="145" spans="1:21" s="36" customFormat="1" ht="15.45" hidden="1" x14ac:dyDescent="0.35">
      <c r="A145" s="19" t="s">
        <v>132</v>
      </c>
      <c r="B145" s="9">
        <v>45862</v>
      </c>
      <c r="C145" s="14" t="s">
        <v>2762</v>
      </c>
      <c r="D145" s="10" t="s">
        <v>2763</v>
      </c>
      <c r="E145" s="9">
        <v>45862</v>
      </c>
      <c r="F145" s="10" t="s">
        <v>129</v>
      </c>
      <c r="G145" s="10" t="s">
        <v>633</v>
      </c>
      <c r="H145" s="10" t="s">
        <v>24</v>
      </c>
      <c r="I145" s="10" t="s">
        <v>61</v>
      </c>
      <c r="J145" s="10"/>
      <c r="K145" s="10" t="s">
        <v>6</v>
      </c>
      <c r="L145" s="12">
        <f t="shared" si="18"/>
        <v>100</v>
      </c>
      <c r="M145" s="12">
        <v>335</v>
      </c>
      <c r="N145" s="12">
        <v>0</v>
      </c>
      <c r="O145" s="112">
        <v>33500</v>
      </c>
      <c r="P145" s="112">
        <f t="shared" si="15"/>
        <v>33500</v>
      </c>
      <c r="Q145" s="112">
        <v>0</v>
      </c>
      <c r="R145" s="112"/>
      <c r="S145" s="112">
        <v>0</v>
      </c>
      <c r="T145" s="112">
        <f t="shared" si="17"/>
        <v>33500</v>
      </c>
      <c r="U145" s="42">
        <v>100</v>
      </c>
    </row>
    <row r="146" spans="1:21" s="36" customFormat="1" ht="15.45" hidden="1" x14ac:dyDescent="0.35">
      <c r="A146" s="19" t="s">
        <v>132</v>
      </c>
      <c r="B146" s="9">
        <v>45862</v>
      </c>
      <c r="C146" s="14" t="s">
        <v>2762</v>
      </c>
      <c r="D146" s="10" t="s">
        <v>2763</v>
      </c>
      <c r="E146" s="9">
        <v>45862</v>
      </c>
      <c r="F146" s="10" t="s">
        <v>129</v>
      </c>
      <c r="G146" s="10" t="s">
        <v>2764</v>
      </c>
      <c r="H146" s="10" t="s">
        <v>24</v>
      </c>
      <c r="I146" s="10" t="s">
        <v>61</v>
      </c>
      <c r="J146" s="10"/>
      <c r="K146" s="10" t="s">
        <v>6</v>
      </c>
      <c r="L146" s="12">
        <f t="shared" si="18"/>
        <v>50</v>
      </c>
      <c r="M146" s="12">
        <v>800</v>
      </c>
      <c r="N146" s="12">
        <v>0</v>
      </c>
      <c r="O146" s="112">
        <v>40000</v>
      </c>
      <c r="P146" s="112">
        <f t="shared" si="15"/>
        <v>40000</v>
      </c>
      <c r="Q146" s="112">
        <v>0</v>
      </c>
      <c r="R146" s="112"/>
      <c r="S146" s="112">
        <v>0</v>
      </c>
      <c r="T146" s="112">
        <f t="shared" si="17"/>
        <v>40000</v>
      </c>
      <c r="U146" s="42">
        <v>50</v>
      </c>
    </row>
    <row r="147" spans="1:21" s="36" customFormat="1" ht="15.45" hidden="1" x14ac:dyDescent="0.35">
      <c r="A147" s="20" t="s">
        <v>132</v>
      </c>
      <c r="B147" s="9">
        <v>45862</v>
      </c>
      <c r="C147" s="14" t="s">
        <v>2762</v>
      </c>
      <c r="D147" s="10" t="s">
        <v>2763</v>
      </c>
      <c r="E147" s="9">
        <v>45862</v>
      </c>
      <c r="F147" s="10" t="s">
        <v>129</v>
      </c>
      <c r="G147" s="10" t="s">
        <v>2689</v>
      </c>
      <c r="H147" s="10" t="s">
        <v>24</v>
      </c>
      <c r="I147" s="10" t="s">
        <v>61</v>
      </c>
      <c r="J147" s="10"/>
      <c r="K147" s="10" t="s">
        <v>6</v>
      </c>
      <c r="L147" s="12">
        <f t="shared" si="18"/>
        <v>100</v>
      </c>
      <c r="M147" s="12">
        <v>800</v>
      </c>
      <c r="N147" s="12">
        <v>0</v>
      </c>
      <c r="O147" s="112">
        <v>80000</v>
      </c>
      <c r="P147" s="112">
        <f t="shared" si="15"/>
        <v>80000</v>
      </c>
      <c r="Q147" s="112">
        <v>0</v>
      </c>
      <c r="R147" s="112"/>
      <c r="S147" s="112">
        <v>0</v>
      </c>
      <c r="T147" s="112">
        <f t="shared" si="17"/>
        <v>80000</v>
      </c>
      <c r="U147" s="42">
        <v>100</v>
      </c>
    </row>
    <row r="148" spans="1:21" s="36" customFormat="1" ht="15.45" hidden="1" x14ac:dyDescent="0.35">
      <c r="A148" s="19" t="s">
        <v>132</v>
      </c>
      <c r="B148" s="9">
        <v>45862</v>
      </c>
      <c r="C148" s="14" t="s">
        <v>2762</v>
      </c>
      <c r="D148" s="10" t="s">
        <v>2763</v>
      </c>
      <c r="E148" s="9">
        <v>45862</v>
      </c>
      <c r="F148" s="10" t="s">
        <v>129</v>
      </c>
      <c r="G148" s="10" t="s">
        <v>2765</v>
      </c>
      <c r="H148" s="10" t="s">
        <v>24</v>
      </c>
      <c r="I148" s="10" t="s">
        <v>61</v>
      </c>
      <c r="J148" s="10"/>
      <c r="K148" s="10" t="s">
        <v>6</v>
      </c>
      <c r="L148" s="12">
        <f t="shared" si="18"/>
        <v>100</v>
      </c>
      <c r="M148" s="12">
        <v>3600</v>
      </c>
      <c r="N148" s="12">
        <v>0</v>
      </c>
      <c r="O148" s="112">
        <v>360000</v>
      </c>
      <c r="P148" s="112">
        <f t="shared" si="15"/>
        <v>360000</v>
      </c>
      <c r="Q148" s="112">
        <v>0</v>
      </c>
      <c r="R148" s="112"/>
      <c r="S148" s="112">
        <v>0</v>
      </c>
      <c r="T148" s="112">
        <f t="shared" si="17"/>
        <v>360000</v>
      </c>
      <c r="U148" s="42">
        <v>100</v>
      </c>
    </row>
    <row r="149" spans="1:21" s="36" customFormat="1" ht="15.45" hidden="1" x14ac:dyDescent="0.35">
      <c r="A149" s="19" t="s">
        <v>113</v>
      </c>
      <c r="B149" s="9">
        <v>45862</v>
      </c>
      <c r="C149" s="14" t="s">
        <v>2766</v>
      </c>
      <c r="D149" s="10" t="s">
        <v>2767</v>
      </c>
      <c r="E149" s="9">
        <v>45862</v>
      </c>
      <c r="F149" s="10" t="s">
        <v>42</v>
      </c>
      <c r="G149" s="10" t="s">
        <v>1410</v>
      </c>
      <c r="H149" s="10" t="s">
        <v>24</v>
      </c>
      <c r="I149" s="10" t="s">
        <v>61</v>
      </c>
      <c r="J149" s="10"/>
      <c r="K149" s="10" t="s">
        <v>6</v>
      </c>
      <c r="L149" s="12">
        <f t="shared" si="18"/>
        <v>2</v>
      </c>
      <c r="M149" s="12">
        <v>575000</v>
      </c>
      <c r="N149" s="12">
        <v>0</v>
      </c>
      <c r="O149" s="112">
        <v>1150000</v>
      </c>
      <c r="P149" s="112">
        <f t="shared" si="15"/>
        <v>1150000</v>
      </c>
      <c r="Q149" s="112">
        <v>0</v>
      </c>
      <c r="R149" s="112"/>
      <c r="S149" s="112">
        <v>0</v>
      </c>
      <c r="T149" s="112">
        <f t="shared" si="17"/>
        <v>1150000</v>
      </c>
      <c r="U149" s="42">
        <v>2</v>
      </c>
    </row>
    <row r="150" spans="1:21" s="36" customFormat="1" ht="15.45" hidden="1" x14ac:dyDescent="0.35">
      <c r="A150" s="19" t="s">
        <v>150</v>
      </c>
      <c r="B150" s="9">
        <v>45862</v>
      </c>
      <c r="C150" s="14" t="s">
        <v>2768</v>
      </c>
      <c r="D150" s="10" t="s">
        <v>2769</v>
      </c>
      <c r="E150" s="9">
        <v>45862</v>
      </c>
      <c r="F150" s="10" t="s">
        <v>147</v>
      </c>
      <c r="G150" s="10" t="s">
        <v>547</v>
      </c>
      <c r="H150" s="10" t="s">
        <v>24</v>
      </c>
      <c r="I150" s="10" t="s">
        <v>61</v>
      </c>
      <c r="J150" s="10"/>
      <c r="K150" s="10" t="s">
        <v>6</v>
      </c>
      <c r="L150" s="12">
        <f t="shared" si="18"/>
        <v>10</v>
      </c>
      <c r="M150" s="12">
        <v>14000</v>
      </c>
      <c r="N150" s="12">
        <v>0</v>
      </c>
      <c r="O150" s="112">
        <v>140000</v>
      </c>
      <c r="P150" s="112">
        <f t="shared" si="15"/>
        <v>140000</v>
      </c>
      <c r="Q150" s="112">
        <v>0</v>
      </c>
      <c r="R150" s="112"/>
      <c r="S150" s="112">
        <v>0</v>
      </c>
      <c r="T150" s="112">
        <f t="shared" si="17"/>
        <v>140000</v>
      </c>
      <c r="U150" s="42">
        <v>10</v>
      </c>
    </row>
    <row r="151" spans="1:21" s="36" customFormat="1" ht="15.45" hidden="1" x14ac:dyDescent="0.35">
      <c r="A151" s="19" t="s">
        <v>150</v>
      </c>
      <c r="B151" s="9">
        <v>45862</v>
      </c>
      <c r="C151" s="14" t="s">
        <v>2768</v>
      </c>
      <c r="D151" s="10" t="s">
        <v>2769</v>
      </c>
      <c r="E151" s="9">
        <v>45862</v>
      </c>
      <c r="F151" s="10" t="s">
        <v>147</v>
      </c>
      <c r="G151" s="10" t="s">
        <v>1418</v>
      </c>
      <c r="H151" s="10" t="s">
        <v>24</v>
      </c>
      <c r="I151" s="10" t="s">
        <v>61</v>
      </c>
      <c r="J151" s="10"/>
      <c r="K151" s="10" t="s">
        <v>151</v>
      </c>
      <c r="L151" s="12">
        <f t="shared" si="18"/>
        <v>3</v>
      </c>
      <c r="M151" s="12">
        <v>15000</v>
      </c>
      <c r="N151" s="12">
        <v>0</v>
      </c>
      <c r="O151" s="112">
        <v>45000</v>
      </c>
      <c r="P151" s="112">
        <f t="shared" si="15"/>
        <v>45000</v>
      </c>
      <c r="Q151" s="112">
        <v>0</v>
      </c>
      <c r="R151" s="112"/>
      <c r="S151" s="112">
        <v>0</v>
      </c>
      <c r="T151" s="112">
        <f t="shared" si="17"/>
        <v>45000</v>
      </c>
      <c r="U151" s="42">
        <v>3</v>
      </c>
    </row>
    <row r="152" spans="1:21" s="36" customFormat="1" ht="15.45" hidden="1" x14ac:dyDescent="0.35">
      <c r="A152" s="19" t="s">
        <v>117</v>
      </c>
      <c r="B152" s="9">
        <v>45862</v>
      </c>
      <c r="C152" s="14" t="s">
        <v>2770</v>
      </c>
      <c r="D152" s="10" t="s">
        <v>2771</v>
      </c>
      <c r="E152" s="9">
        <v>45862</v>
      </c>
      <c r="F152" s="10" t="s">
        <v>68</v>
      </c>
      <c r="G152" s="10" t="s">
        <v>2772</v>
      </c>
      <c r="H152" s="10" t="s">
        <v>24</v>
      </c>
      <c r="I152" s="10" t="s">
        <v>61</v>
      </c>
      <c r="J152" s="50" t="s">
        <v>2934</v>
      </c>
      <c r="K152" s="10" t="s">
        <v>6</v>
      </c>
      <c r="L152" s="12">
        <f t="shared" si="18"/>
        <v>3</v>
      </c>
      <c r="M152" s="12">
        <v>78829</v>
      </c>
      <c r="N152" s="12">
        <v>0</v>
      </c>
      <c r="O152" s="112">
        <v>236487</v>
      </c>
      <c r="P152" s="112">
        <f t="shared" si="15"/>
        <v>236487</v>
      </c>
      <c r="Q152" s="112">
        <v>26013.57</v>
      </c>
      <c r="R152" s="112"/>
      <c r="S152" s="112">
        <v>0</v>
      </c>
      <c r="T152" s="112">
        <f t="shared" si="17"/>
        <v>262500.57</v>
      </c>
      <c r="U152" s="42">
        <v>3</v>
      </c>
    </row>
    <row r="153" spans="1:21" s="36" customFormat="1" ht="15.45" hidden="1" x14ac:dyDescent="0.35">
      <c r="A153" s="19" t="s">
        <v>109</v>
      </c>
      <c r="B153" s="9">
        <v>45863</v>
      </c>
      <c r="C153" s="14" t="s">
        <v>2773</v>
      </c>
      <c r="D153" s="10" t="s">
        <v>2774</v>
      </c>
      <c r="E153" s="9">
        <v>45863</v>
      </c>
      <c r="F153" s="10" t="s">
        <v>54</v>
      </c>
      <c r="G153" s="10" t="s">
        <v>722</v>
      </c>
      <c r="H153" s="10" t="s">
        <v>24</v>
      </c>
      <c r="I153" s="10" t="s">
        <v>61</v>
      </c>
      <c r="J153" s="50" t="s">
        <v>2784</v>
      </c>
      <c r="K153" s="10" t="s">
        <v>15</v>
      </c>
      <c r="L153" s="12">
        <f t="shared" si="18"/>
        <v>48</v>
      </c>
      <c r="M153" s="12">
        <v>5909</v>
      </c>
      <c r="N153" s="12">
        <v>0</v>
      </c>
      <c r="O153" s="112">
        <v>283632</v>
      </c>
      <c r="P153" s="112">
        <f t="shared" si="15"/>
        <v>283632</v>
      </c>
      <c r="Q153" s="112">
        <v>31199.52</v>
      </c>
      <c r="R153" s="112"/>
      <c r="S153" s="112">
        <v>0</v>
      </c>
      <c r="T153" s="112">
        <f t="shared" si="17"/>
        <v>314831.52</v>
      </c>
      <c r="U153" s="42">
        <v>48</v>
      </c>
    </row>
    <row r="154" spans="1:21" s="36" customFormat="1" ht="15.45" hidden="1" x14ac:dyDescent="0.35">
      <c r="A154" s="19" t="s">
        <v>99</v>
      </c>
      <c r="B154" s="9">
        <v>45863</v>
      </c>
      <c r="C154" s="14" t="s">
        <v>2775</v>
      </c>
      <c r="D154" s="10" t="s">
        <v>2776</v>
      </c>
      <c r="E154" s="9">
        <v>45863</v>
      </c>
      <c r="F154" s="10" t="s">
        <v>64</v>
      </c>
      <c r="G154" s="10" t="s">
        <v>237</v>
      </c>
      <c r="H154" s="10" t="s">
        <v>23</v>
      </c>
      <c r="I154" s="10" t="s">
        <v>887</v>
      </c>
      <c r="J154" s="50" t="s">
        <v>2785</v>
      </c>
      <c r="K154" s="10" t="s">
        <v>1</v>
      </c>
      <c r="L154" s="12">
        <f t="shared" si="18"/>
        <v>300</v>
      </c>
      <c r="M154" s="12">
        <v>47500</v>
      </c>
      <c r="N154" s="12">
        <v>0</v>
      </c>
      <c r="O154" s="112">
        <v>14250000</v>
      </c>
      <c r="P154" s="112">
        <f t="shared" si="15"/>
        <v>14250000</v>
      </c>
      <c r="Q154" s="112">
        <v>1567500</v>
      </c>
      <c r="R154" s="112"/>
      <c r="S154" s="112">
        <v>0</v>
      </c>
      <c r="T154" s="112">
        <f t="shared" si="17"/>
        <v>15817500</v>
      </c>
      <c r="U154" s="42">
        <v>300</v>
      </c>
    </row>
    <row r="155" spans="1:21" s="36" customFormat="1" ht="15.45" hidden="1" x14ac:dyDescent="0.35">
      <c r="A155" s="19" t="s">
        <v>138</v>
      </c>
      <c r="B155" s="9">
        <v>45863</v>
      </c>
      <c r="C155" s="14" t="s">
        <v>2777</v>
      </c>
      <c r="D155" s="10" t="s">
        <v>2621</v>
      </c>
      <c r="E155" s="9">
        <v>45840</v>
      </c>
      <c r="F155" s="10" t="s">
        <v>137</v>
      </c>
      <c r="G155" s="10" t="s">
        <v>53</v>
      </c>
      <c r="H155" s="10" t="s">
        <v>23</v>
      </c>
      <c r="I155" s="10" t="s">
        <v>978</v>
      </c>
      <c r="J155" s="50" t="s">
        <v>2850</v>
      </c>
      <c r="K155" s="10" t="s">
        <v>1</v>
      </c>
      <c r="L155" s="12">
        <f t="shared" si="18"/>
        <v>1000</v>
      </c>
      <c r="M155" s="12">
        <v>11500</v>
      </c>
      <c r="N155" s="12">
        <v>0</v>
      </c>
      <c r="O155" s="112">
        <v>11500000</v>
      </c>
      <c r="P155" s="112">
        <f t="shared" si="15"/>
        <v>11500000</v>
      </c>
      <c r="Q155" s="112">
        <v>1265000</v>
      </c>
      <c r="R155" s="112"/>
      <c r="S155" s="112">
        <v>0</v>
      </c>
      <c r="T155" s="112">
        <f t="shared" si="17"/>
        <v>12765000</v>
      </c>
      <c r="U155" s="42">
        <v>1000</v>
      </c>
    </row>
    <row r="156" spans="1:21" s="36" customFormat="1" ht="15.45" hidden="1" x14ac:dyDescent="0.35">
      <c r="A156" s="19" t="s">
        <v>114</v>
      </c>
      <c r="B156" s="9">
        <v>45863</v>
      </c>
      <c r="C156" s="14" t="s">
        <v>2778</v>
      </c>
      <c r="D156" s="10" t="s">
        <v>2503</v>
      </c>
      <c r="E156" s="9">
        <v>45834</v>
      </c>
      <c r="F156" s="10" t="s">
        <v>71</v>
      </c>
      <c r="G156" s="10" t="s">
        <v>76</v>
      </c>
      <c r="H156" s="10" t="s">
        <v>23</v>
      </c>
      <c r="I156" s="10" t="s">
        <v>978</v>
      </c>
      <c r="J156" s="50" t="s">
        <v>2932</v>
      </c>
      <c r="K156" s="10" t="s">
        <v>1</v>
      </c>
      <c r="L156" s="12">
        <f t="shared" si="18"/>
        <v>1000</v>
      </c>
      <c r="M156" s="12">
        <v>28399</v>
      </c>
      <c r="N156" s="12">
        <v>16228</v>
      </c>
      <c r="O156" s="112">
        <v>28399000</v>
      </c>
      <c r="P156" s="112">
        <f t="shared" ref="P156:P172" si="19">O156</f>
        <v>28399000</v>
      </c>
      <c r="Q156" s="112">
        <v>3123890</v>
      </c>
      <c r="R156" s="112"/>
      <c r="S156" s="112">
        <v>0</v>
      </c>
      <c r="T156" s="112">
        <f t="shared" si="17"/>
        <v>31522890</v>
      </c>
      <c r="U156" s="42">
        <v>1000</v>
      </c>
    </row>
    <row r="157" spans="1:21" s="36" customFormat="1" ht="15.45" hidden="1" x14ac:dyDescent="0.35">
      <c r="A157" s="19" t="s">
        <v>2783</v>
      </c>
      <c r="B157" s="9">
        <v>45863</v>
      </c>
      <c r="C157" s="14" t="s">
        <v>2779</v>
      </c>
      <c r="D157" s="10" t="s">
        <v>2780</v>
      </c>
      <c r="E157" s="9">
        <v>45863</v>
      </c>
      <c r="F157" s="10" t="s">
        <v>2781</v>
      </c>
      <c r="G157" s="10" t="s">
        <v>175</v>
      </c>
      <c r="H157" s="10" t="s">
        <v>25</v>
      </c>
      <c r="I157" s="10" t="s">
        <v>79</v>
      </c>
      <c r="J157" s="50" t="s">
        <v>2935</v>
      </c>
      <c r="K157" s="10" t="s">
        <v>1</v>
      </c>
      <c r="L157" s="12">
        <f t="shared" si="18"/>
        <v>27950</v>
      </c>
      <c r="M157" s="12">
        <v>1150</v>
      </c>
      <c r="N157" s="12">
        <v>0</v>
      </c>
      <c r="O157" s="112">
        <v>32142500</v>
      </c>
      <c r="P157" s="112">
        <f t="shared" si="19"/>
        <v>32142500</v>
      </c>
      <c r="Q157" s="112">
        <v>3535675</v>
      </c>
      <c r="R157" s="112">
        <f>P157*1.5%</f>
        <v>482137.5</v>
      </c>
      <c r="S157" s="112">
        <v>0</v>
      </c>
      <c r="T157" s="112">
        <f>P157+Q157-S157-R157</f>
        <v>35196037.5</v>
      </c>
      <c r="U157" s="42">
        <v>27950</v>
      </c>
    </row>
    <row r="158" spans="1:21" s="36" customFormat="1" ht="15.45" x14ac:dyDescent="0.35">
      <c r="A158" s="19" t="s">
        <v>115</v>
      </c>
      <c r="B158" s="9">
        <v>45863</v>
      </c>
      <c r="C158" s="14" t="s">
        <v>2782</v>
      </c>
      <c r="D158" s="10" t="s">
        <v>2500</v>
      </c>
      <c r="E158" s="9">
        <v>45840</v>
      </c>
      <c r="F158" s="10" t="s">
        <v>81</v>
      </c>
      <c r="G158" s="10" t="s">
        <v>89</v>
      </c>
      <c r="H158" s="10" t="s">
        <v>25</v>
      </c>
      <c r="I158" s="10" t="s">
        <v>79</v>
      </c>
      <c r="J158" s="50" t="s">
        <v>2938</v>
      </c>
      <c r="K158" s="10" t="s">
        <v>1</v>
      </c>
      <c r="L158" s="12">
        <f t="shared" si="18"/>
        <v>30740</v>
      </c>
      <c r="M158" s="12">
        <v>1525</v>
      </c>
      <c r="N158" s="12">
        <v>0</v>
      </c>
      <c r="O158" s="112">
        <v>46878500</v>
      </c>
      <c r="P158" s="112">
        <f t="shared" si="19"/>
        <v>46878500</v>
      </c>
      <c r="Q158" s="112">
        <v>5156635</v>
      </c>
      <c r="R158" s="112">
        <f>P158*1.5%</f>
        <v>703177.5</v>
      </c>
      <c r="S158" s="112">
        <v>0</v>
      </c>
      <c r="T158" s="112">
        <f>P158+Q158-S158-R158</f>
        <v>51331957.5</v>
      </c>
      <c r="U158" s="42">
        <v>30740</v>
      </c>
    </row>
    <row r="159" spans="1:21" s="36" customFormat="1" ht="15.45" hidden="1" x14ac:dyDescent="0.35">
      <c r="A159" s="19" t="s">
        <v>1492</v>
      </c>
      <c r="B159" s="9">
        <v>45864</v>
      </c>
      <c r="C159" s="14" t="s">
        <v>2802</v>
      </c>
      <c r="D159" s="10" t="s">
        <v>2803</v>
      </c>
      <c r="E159" s="9">
        <v>45863</v>
      </c>
      <c r="F159" s="10" t="s">
        <v>1483</v>
      </c>
      <c r="G159" s="10" t="s">
        <v>2804</v>
      </c>
      <c r="H159" s="10" t="s">
        <v>24</v>
      </c>
      <c r="I159" s="10" t="s">
        <v>61</v>
      </c>
      <c r="J159" s="50" t="s">
        <v>2856</v>
      </c>
      <c r="K159" s="10" t="s">
        <v>16</v>
      </c>
      <c r="L159" s="12">
        <f t="shared" si="18"/>
        <v>1</v>
      </c>
      <c r="M159" s="12">
        <v>9729730</v>
      </c>
      <c r="N159" s="12">
        <v>0</v>
      </c>
      <c r="O159" s="112">
        <v>9729730</v>
      </c>
      <c r="P159" s="112">
        <f t="shared" si="19"/>
        <v>9729730</v>
      </c>
      <c r="Q159" s="112">
        <v>1070270.3</v>
      </c>
      <c r="R159" s="112"/>
      <c r="S159" s="112">
        <v>0</v>
      </c>
      <c r="T159" s="112">
        <f t="shared" ref="T159:T164" si="20">P159+Q159-S159</f>
        <v>10800000.300000001</v>
      </c>
      <c r="U159" s="42">
        <v>1</v>
      </c>
    </row>
    <row r="160" spans="1:21" s="36" customFormat="1" ht="15.45" hidden="1" x14ac:dyDescent="0.35">
      <c r="A160" s="19" t="s">
        <v>149</v>
      </c>
      <c r="B160" s="9">
        <v>45866</v>
      </c>
      <c r="C160" s="14" t="s">
        <v>2805</v>
      </c>
      <c r="D160" s="10" t="s">
        <v>2806</v>
      </c>
      <c r="E160" s="9">
        <v>45863</v>
      </c>
      <c r="F160" s="10" t="s">
        <v>143</v>
      </c>
      <c r="G160" s="10" t="s">
        <v>2807</v>
      </c>
      <c r="H160" s="10" t="s">
        <v>24</v>
      </c>
      <c r="I160" s="10" t="s">
        <v>61</v>
      </c>
      <c r="J160" s="50" t="s">
        <v>2939</v>
      </c>
      <c r="K160" s="10" t="s">
        <v>6</v>
      </c>
      <c r="L160" s="12">
        <f t="shared" si="18"/>
        <v>3</v>
      </c>
      <c r="M160" s="12">
        <v>188100</v>
      </c>
      <c r="N160" s="12">
        <v>0</v>
      </c>
      <c r="O160" s="112">
        <v>564300</v>
      </c>
      <c r="P160" s="112">
        <f t="shared" si="19"/>
        <v>564300</v>
      </c>
      <c r="Q160" s="112">
        <v>62073</v>
      </c>
      <c r="R160" s="112"/>
      <c r="S160" s="112">
        <v>0</v>
      </c>
      <c r="T160" s="112">
        <f t="shared" si="20"/>
        <v>626373</v>
      </c>
      <c r="U160" s="42">
        <v>3</v>
      </c>
    </row>
    <row r="161" spans="1:23" s="36" customFormat="1" ht="15.45" hidden="1" x14ac:dyDescent="0.35">
      <c r="A161" s="19" t="s">
        <v>105</v>
      </c>
      <c r="B161" s="9">
        <v>45866</v>
      </c>
      <c r="C161" s="14" t="s">
        <v>2808</v>
      </c>
      <c r="D161" s="10" t="s">
        <v>2671</v>
      </c>
      <c r="E161" s="9">
        <v>45840</v>
      </c>
      <c r="F161" s="10" t="s">
        <v>85</v>
      </c>
      <c r="G161" s="10" t="s">
        <v>660</v>
      </c>
      <c r="H161" s="10" t="s">
        <v>23</v>
      </c>
      <c r="I161" s="10" t="s">
        <v>890</v>
      </c>
      <c r="J161" s="50" t="s">
        <v>2954</v>
      </c>
      <c r="K161" s="10" t="s">
        <v>1</v>
      </c>
      <c r="L161" s="12">
        <f t="shared" si="18"/>
        <v>1980</v>
      </c>
      <c r="M161" s="12">
        <v>23509</v>
      </c>
      <c r="N161" s="12">
        <v>16213</v>
      </c>
      <c r="O161" s="112">
        <v>46547820</v>
      </c>
      <c r="P161" s="112">
        <f t="shared" si="19"/>
        <v>46547820</v>
      </c>
      <c r="Q161" s="112">
        <v>5120260.2</v>
      </c>
      <c r="R161" s="112"/>
      <c r="S161" s="112">
        <v>0</v>
      </c>
      <c r="T161" s="112">
        <f t="shared" si="20"/>
        <v>51668080.200000003</v>
      </c>
      <c r="U161" s="42">
        <v>1980</v>
      </c>
    </row>
    <row r="162" spans="1:23" s="36" customFormat="1" ht="15.45" hidden="1" x14ac:dyDescent="0.35">
      <c r="A162" s="19" t="s">
        <v>200</v>
      </c>
      <c r="B162" s="9">
        <v>45866</v>
      </c>
      <c r="C162" s="14" t="s">
        <v>2809</v>
      </c>
      <c r="D162" s="10" t="s">
        <v>2810</v>
      </c>
      <c r="E162" s="9">
        <v>45863</v>
      </c>
      <c r="F162" s="10" t="s">
        <v>194</v>
      </c>
      <c r="G162" s="10" t="s">
        <v>195</v>
      </c>
      <c r="H162" s="10" t="s">
        <v>23</v>
      </c>
      <c r="I162" s="10" t="s">
        <v>2192</v>
      </c>
      <c r="J162" s="50" t="s">
        <v>3089</v>
      </c>
      <c r="K162" s="10" t="s">
        <v>1</v>
      </c>
      <c r="L162" s="12">
        <f t="shared" si="18"/>
        <v>300</v>
      </c>
      <c r="M162" s="12">
        <v>17000</v>
      </c>
      <c r="N162" s="12">
        <v>0</v>
      </c>
      <c r="O162" s="112">
        <v>5100000</v>
      </c>
      <c r="P162" s="112">
        <f t="shared" si="19"/>
        <v>5100000</v>
      </c>
      <c r="Q162" s="112">
        <v>561000</v>
      </c>
      <c r="R162" s="112"/>
      <c r="S162" s="112">
        <v>0</v>
      </c>
      <c r="T162" s="112">
        <f t="shared" si="20"/>
        <v>5661000</v>
      </c>
      <c r="U162" s="42">
        <v>300</v>
      </c>
    </row>
    <row r="163" spans="1:23" s="36" customFormat="1" ht="15.45" hidden="1" x14ac:dyDescent="0.35">
      <c r="A163" s="19" t="s">
        <v>2044</v>
      </c>
      <c r="B163" s="9">
        <v>45867</v>
      </c>
      <c r="C163" s="14" t="s">
        <v>2811</v>
      </c>
      <c r="D163" s="10" t="s">
        <v>2812</v>
      </c>
      <c r="E163" s="9">
        <v>45863</v>
      </c>
      <c r="F163" s="10" t="s">
        <v>2006</v>
      </c>
      <c r="G163" s="10" t="s">
        <v>2007</v>
      </c>
      <c r="H163" s="10" t="s">
        <v>23</v>
      </c>
      <c r="I163" s="10" t="s">
        <v>890</v>
      </c>
      <c r="J163" s="50" t="s">
        <v>2955</v>
      </c>
      <c r="K163" s="10" t="s">
        <v>1</v>
      </c>
      <c r="L163" s="12">
        <f t="shared" si="18"/>
        <v>200</v>
      </c>
      <c r="M163" s="12">
        <v>17941</v>
      </c>
      <c r="N163" s="12">
        <v>16310</v>
      </c>
      <c r="O163" s="112">
        <v>3588200</v>
      </c>
      <c r="P163" s="112">
        <f t="shared" si="19"/>
        <v>3588200</v>
      </c>
      <c r="Q163" s="112">
        <v>394702</v>
      </c>
      <c r="R163" s="112"/>
      <c r="S163" s="112">
        <v>0</v>
      </c>
      <c r="T163" s="112">
        <f t="shared" si="20"/>
        <v>3982902</v>
      </c>
      <c r="U163" s="42">
        <v>200</v>
      </c>
    </row>
    <row r="164" spans="1:23" s="36" customFormat="1" ht="15.45" hidden="1" x14ac:dyDescent="0.35">
      <c r="A164" s="19" t="s">
        <v>1492</v>
      </c>
      <c r="B164" s="9">
        <v>45867</v>
      </c>
      <c r="C164" s="14" t="s">
        <v>2813</v>
      </c>
      <c r="D164" s="10" t="s">
        <v>2803</v>
      </c>
      <c r="E164" s="9">
        <v>45863</v>
      </c>
      <c r="F164" s="10" t="s">
        <v>1483</v>
      </c>
      <c r="G164" s="10" t="s">
        <v>2814</v>
      </c>
      <c r="H164" s="10" t="s">
        <v>24</v>
      </c>
      <c r="I164" s="10" t="s">
        <v>61</v>
      </c>
      <c r="J164" s="50" t="s">
        <v>2857</v>
      </c>
      <c r="K164" s="10" t="s">
        <v>6</v>
      </c>
      <c r="L164" s="12">
        <f t="shared" si="18"/>
        <v>1</v>
      </c>
      <c r="M164" s="12">
        <v>2072072.7</v>
      </c>
      <c r="N164" s="12">
        <v>0</v>
      </c>
      <c r="O164" s="112">
        <f>L164*M164</f>
        <v>2072072.7</v>
      </c>
      <c r="P164" s="112">
        <f t="shared" si="19"/>
        <v>2072072.7</v>
      </c>
      <c r="Q164" s="112">
        <f>P164*0.11</f>
        <v>227927.997</v>
      </c>
      <c r="R164" s="112"/>
      <c r="S164" s="112">
        <v>0</v>
      </c>
      <c r="T164" s="112">
        <f t="shared" si="20"/>
        <v>2300000.6970000002</v>
      </c>
      <c r="U164" s="42">
        <v>1</v>
      </c>
    </row>
    <row r="165" spans="1:23" s="36" customFormat="1" ht="15.45" hidden="1" x14ac:dyDescent="0.35">
      <c r="A165" s="19" t="s">
        <v>98</v>
      </c>
      <c r="B165" s="9">
        <v>45867</v>
      </c>
      <c r="C165" s="14" t="s">
        <v>2815</v>
      </c>
      <c r="D165" s="10" t="s">
        <v>2741</v>
      </c>
      <c r="E165" s="9">
        <v>45860</v>
      </c>
      <c r="F165" s="10" t="s">
        <v>84</v>
      </c>
      <c r="G165" s="10" t="s">
        <v>175</v>
      </c>
      <c r="H165" s="10" t="s">
        <v>25</v>
      </c>
      <c r="I165" s="10" t="s">
        <v>79</v>
      </c>
      <c r="J165" s="50" t="s">
        <v>2894</v>
      </c>
      <c r="K165" s="10" t="s">
        <v>1</v>
      </c>
      <c r="L165" s="12">
        <f t="shared" si="18"/>
        <v>28400</v>
      </c>
      <c r="M165" s="12">
        <v>1250</v>
      </c>
      <c r="N165" s="12">
        <v>0</v>
      </c>
      <c r="O165" s="112">
        <v>35500000</v>
      </c>
      <c r="P165" s="112">
        <f t="shared" si="19"/>
        <v>35500000</v>
      </c>
      <c r="Q165" s="112">
        <v>3905000</v>
      </c>
      <c r="R165" s="112">
        <f>P165*1.5%</f>
        <v>532500</v>
      </c>
      <c r="S165" s="112">
        <v>0</v>
      </c>
      <c r="T165" s="112">
        <f>P165+Q165-S165-R165</f>
        <v>38872500</v>
      </c>
      <c r="U165" s="42">
        <v>28400</v>
      </c>
    </row>
    <row r="166" spans="1:23" s="36" customFormat="1" ht="15.45" x14ac:dyDescent="0.35">
      <c r="A166" s="19" t="s">
        <v>115</v>
      </c>
      <c r="B166" s="9">
        <v>45867</v>
      </c>
      <c r="C166" s="14" t="s">
        <v>2816</v>
      </c>
      <c r="D166" s="10" t="s">
        <v>2500</v>
      </c>
      <c r="E166" s="9">
        <v>45840</v>
      </c>
      <c r="F166" s="10" t="s">
        <v>81</v>
      </c>
      <c r="G166" s="10" t="s">
        <v>89</v>
      </c>
      <c r="H166" s="10" t="s">
        <v>25</v>
      </c>
      <c r="I166" s="10" t="s">
        <v>79</v>
      </c>
      <c r="J166" s="50" t="s">
        <v>3282</v>
      </c>
      <c r="K166" s="10" t="s">
        <v>1</v>
      </c>
      <c r="L166" s="12">
        <f t="shared" si="18"/>
        <v>30300</v>
      </c>
      <c r="M166" s="12">
        <v>1525</v>
      </c>
      <c r="N166" s="12">
        <v>0</v>
      </c>
      <c r="O166" s="112">
        <v>46207500</v>
      </c>
      <c r="P166" s="112">
        <f t="shared" si="19"/>
        <v>46207500</v>
      </c>
      <c r="Q166" s="112">
        <v>5082825</v>
      </c>
      <c r="R166" s="112">
        <f>P166*1.5%</f>
        <v>693112.5</v>
      </c>
      <c r="S166" s="112">
        <v>0</v>
      </c>
      <c r="T166" s="112">
        <f>P166+Q166-S166-R166</f>
        <v>50597212.5</v>
      </c>
      <c r="U166" s="42">
        <v>30300</v>
      </c>
    </row>
    <row r="167" spans="1:23" s="36" customFormat="1" ht="15.45" hidden="1" x14ac:dyDescent="0.35">
      <c r="A167" s="19" t="s">
        <v>159</v>
      </c>
      <c r="B167" s="9">
        <v>45868</v>
      </c>
      <c r="C167" s="14" t="s">
        <v>2817</v>
      </c>
      <c r="D167" s="10" t="s">
        <v>2818</v>
      </c>
      <c r="E167" s="9">
        <v>45867</v>
      </c>
      <c r="F167" s="10" t="s">
        <v>157</v>
      </c>
      <c r="G167" s="10" t="s">
        <v>158</v>
      </c>
      <c r="H167" s="10" t="s">
        <v>23</v>
      </c>
      <c r="I167" s="10" t="s">
        <v>2192</v>
      </c>
      <c r="J167" s="50" t="s">
        <v>2943</v>
      </c>
      <c r="K167" s="10" t="s">
        <v>1</v>
      </c>
      <c r="L167" s="12">
        <f t="shared" si="18"/>
        <v>50</v>
      </c>
      <c r="M167" s="12">
        <v>75000</v>
      </c>
      <c r="N167" s="12">
        <v>0</v>
      </c>
      <c r="O167" s="112">
        <v>3750000</v>
      </c>
      <c r="P167" s="112">
        <f t="shared" si="19"/>
        <v>3750000</v>
      </c>
      <c r="Q167" s="112">
        <v>412500</v>
      </c>
      <c r="R167" s="112"/>
      <c r="S167" s="112">
        <v>0</v>
      </c>
      <c r="T167" s="112">
        <f>P167+Q167-S167</f>
        <v>4162500</v>
      </c>
      <c r="U167" s="42">
        <v>50</v>
      </c>
    </row>
    <row r="168" spans="1:23" s="36" customFormat="1" ht="15.45" hidden="1" x14ac:dyDescent="0.35">
      <c r="A168" s="19" t="s">
        <v>102</v>
      </c>
      <c r="B168" s="9">
        <v>45868</v>
      </c>
      <c r="C168" s="14" t="s">
        <v>2819</v>
      </c>
      <c r="D168" s="10" t="s">
        <v>2678</v>
      </c>
      <c r="E168" s="9">
        <v>45847</v>
      </c>
      <c r="F168" s="10" t="s">
        <v>65</v>
      </c>
      <c r="G168" s="10" t="s">
        <v>48</v>
      </c>
      <c r="H168" s="10" t="s">
        <v>24</v>
      </c>
      <c r="I168" s="10" t="s">
        <v>61</v>
      </c>
      <c r="J168" s="50" t="s">
        <v>2950</v>
      </c>
      <c r="K168" s="10" t="s">
        <v>15</v>
      </c>
      <c r="L168" s="12">
        <f t="shared" si="18"/>
        <v>216</v>
      </c>
      <c r="M168" s="12">
        <v>8200</v>
      </c>
      <c r="N168" s="12">
        <v>0</v>
      </c>
      <c r="O168" s="112">
        <v>1771200</v>
      </c>
      <c r="P168" s="112">
        <f t="shared" si="19"/>
        <v>1771200</v>
      </c>
      <c r="Q168" s="112">
        <v>194832</v>
      </c>
      <c r="R168" s="112"/>
      <c r="S168" s="112">
        <v>0</v>
      </c>
      <c r="T168" s="112">
        <f>P168+Q168-S168</f>
        <v>1966032</v>
      </c>
      <c r="U168" s="42">
        <v>216</v>
      </c>
    </row>
    <row r="169" spans="1:23" s="36" customFormat="1" ht="15.45" hidden="1" x14ac:dyDescent="0.35">
      <c r="A169" s="19" t="s">
        <v>1331</v>
      </c>
      <c r="B169" s="9">
        <v>45869</v>
      </c>
      <c r="C169" s="14" t="s">
        <v>2820</v>
      </c>
      <c r="D169" s="10" t="s">
        <v>2821</v>
      </c>
      <c r="E169" s="9">
        <v>45867</v>
      </c>
      <c r="F169" s="10" t="s">
        <v>1317</v>
      </c>
      <c r="G169" s="10" t="s">
        <v>1318</v>
      </c>
      <c r="H169" s="10" t="s">
        <v>23</v>
      </c>
      <c r="I169" s="10" t="s">
        <v>2192</v>
      </c>
      <c r="J169" s="50" t="s">
        <v>2933</v>
      </c>
      <c r="K169" s="10" t="s">
        <v>1</v>
      </c>
      <c r="L169" s="12">
        <f t="shared" si="18"/>
        <v>50</v>
      </c>
      <c r="M169" s="12">
        <v>114660</v>
      </c>
      <c r="N169" s="12">
        <v>16380</v>
      </c>
      <c r="O169" s="112">
        <v>5733000</v>
      </c>
      <c r="P169" s="112">
        <f t="shared" si="19"/>
        <v>5733000</v>
      </c>
      <c r="Q169" s="112">
        <v>630630</v>
      </c>
      <c r="R169" s="112"/>
      <c r="S169" s="112">
        <v>0</v>
      </c>
      <c r="T169" s="112">
        <f>P169+Q169-S169</f>
        <v>6363630</v>
      </c>
      <c r="U169" s="42">
        <v>50</v>
      </c>
    </row>
    <row r="170" spans="1:23" s="36" customFormat="1" ht="15.45" hidden="1" x14ac:dyDescent="0.35">
      <c r="A170" s="19" t="s">
        <v>118</v>
      </c>
      <c r="B170" s="9">
        <v>45845</v>
      </c>
      <c r="C170" s="14" t="s">
        <v>2599</v>
      </c>
      <c r="D170" s="10"/>
      <c r="E170" s="9"/>
      <c r="F170" s="10" t="s">
        <v>217</v>
      </c>
      <c r="G170" s="10" t="s">
        <v>2600</v>
      </c>
      <c r="H170" s="10" t="s">
        <v>119</v>
      </c>
      <c r="I170" s="10" t="s">
        <v>120</v>
      </c>
      <c r="J170" s="10"/>
      <c r="K170" s="10" t="s">
        <v>135</v>
      </c>
      <c r="L170" s="12">
        <v>4575</v>
      </c>
      <c r="M170" s="12">
        <v>8500</v>
      </c>
      <c r="N170" s="12"/>
      <c r="O170" s="112">
        <f>L170*M170</f>
        <v>38887500</v>
      </c>
      <c r="P170" s="112">
        <f t="shared" si="19"/>
        <v>38887500</v>
      </c>
      <c r="Q170" s="112">
        <v>0</v>
      </c>
      <c r="R170" s="112"/>
      <c r="S170" s="112"/>
      <c r="T170" s="112">
        <f>P170</f>
        <v>38887500</v>
      </c>
      <c r="U170" s="42"/>
    </row>
    <row r="171" spans="1:23" s="36" customFormat="1" ht="15.45" hidden="1" x14ac:dyDescent="0.35">
      <c r="A171" s="19" t="s">
        <v>161</v>
      </c>
      <c r="B171" s="9">
        <v>45853</v>
      </c>
      <c r="C171" s="14" t="s">
        <v>2822</v>
      </c>
      <c r="D171" s="10"/>
      <c r="E171" s="9"/>
      <c r="F171" s="23" t="s">
        <v>162</v>
      </c>
      <c r="G171" s="23" t="s">
        <v>3097</v>
      </c>
      <c r="H171" s="23" t="s">
        <v>163</v>
      </c>
      <c r="I171" s="23" t="s">
        <v>164</v>
      </c>
      <c r="J171" s="50" t="s">
        <v>2823</v>
      </c>
      <c r="K171" s="10" t="s">
        <v>165</v>
      </c>
      <c r="L171" s="12">
        <v>5</v>
      </c>
      <c r="M171" s="12">
        <v>5094055</v>
      </c>
      <c r="N171" s="12">
        <v>0</v>
      </c>
      <c r="O171" s="112">
        <f>L171*M171</f>
        <v>25470275</v>
      </c>
      <c r="P171" s="112">
        <f t="shared" si="19"/>
        <v>25470275</v>
      </c>
      <c r="Q171" s="113">
        <f>P171*0.11</f>
        <v>2801730.25</v>
      </c>
      <c r="R171" s="112">
        <f>P171*2%</f>
        <v>509405.5</v>
      </c>
      <c r="S171" s="112">
        <v>0</v>
      </c>
      <c r="T171" s="112">
        <f>P171+Q171-S171-R171</f>
        <v>27762599.75</v>
      </c>
      <c r="U171" s="42"/>
    </row>
    <row r="172" spans="1:23" s="36" customFormat="1" ht="15.45" hidden="1" x14ac:dyDescent="0.35">
      <c r="A172" s="19" t="s">
        <v>510</v>
      </c>
      <c r="B172" s="21">
        <v>45864</v>
      </c>
      <c r="C172" s="22"/>
      <c r="D172" s="23"/>
      <c r="E172" s="21"/>
      <c r="F172" s="23" t="s">
        <v>511</v>
      </c>
      <c r="G172" s="23" t="s">
        <v>1157</v>
      </c>
      <c r="H172" s="23" t="s">
        <v>513</v>
      </c>
      <c r="I172" s="23" t="s">
        <v>514</v>
      </c>
      <c r="J172" s="46" t="s">
        <v>2842</v>
      </c>
      <c r="K172" s="23" t="s">
        <v>1159</v>
      </c>
      <c r="L172" s="24">
        <v>1</v>
      </c>
      <c r="M172" s="24">
        <v>474565</v>
      </c>
      <c r="N172" s="24"/>
      <c r="O172" s="114">
        <f>L172*M172</f>
        <v>474565</v>
      </c>
      <c r="P172" s="114">
        <f t="shared" si="19"/>
        <v>474565</v>
      </c>
      <c r="Q172" s="115">
        <f>P172*0.11</f>
        <v>52202.15</v>
      </c>
      <c r="R172" s="114">
        <f>P172*2%</f>
        <v>9491.3000000000011</v>
      </c>
      <c r="S172" s="114"/>
      <c r="T172" s="114">
        <f>P172+Q172-R172</f>
        <v>517275.85000000003</v>
      </c>
      <c r="U172" s="29"/>
      <c r="V172" s="28"/>
      <c r="W172" s="28"/>
    </row>
    <row r="177" spans="16:21" x14ac:dyDescent="0.4">
      <c r="P177" s="117" t="s">
        <v>2948</v>
      </c>
      <c r="Q177" s="118">
        <f>170400695+2464000+148500+92400+7012004</f>
        <v>180117599</v>
      </c>
      <c r="R177" s="119" t="s">
        <v>505</v>
      </c>
    </row>
    <row r="178" spans="16:21" x14ac:dyDescent="0.4">
      <c r="Q178" s="118">
        <v>180117599.40000001</v>
      </c>
      <c r="R178" s="119" t="s">
        <v>506</v>
      </c>
      <c r="T178" s="116">
        <f>179747449-190850</f>
        <v>179556599</v>
      </c>
      <c r="U178" s="103">
        <f>Q178-T178</f>
        <v>561000.40000000596</v>
      </c>
    </row>
    <row r="179" spans="16:21" x14ac:dyDescent="0.4">
      <c r="Q179" s="118">
        <v>355840023</v>
      </c>
      <c r="R179" s="119" t="s">
        <v>507</v>
      </c>
    </row>
    <row r="180" spans="16:21" x14ac:dyDescent="0.4">
      <c r="Q180" s="120">
        <f>Q177-Q178</f>
        <v>-0.40000000596046448</v>
      </c>
      <c r="R180" s="119" t="s">
        <v>508</v>
      </c>
    </row>
    <row r="181" spans="16:21" x14ac:dyDescent="0.4">
      <c r="Q181" s="120">
        <f>Q178-Q179</f>
        <v>-175722423.59999999</v>
      </c>
      <c r="R181" s="119" t="s">
        <v>509</v>
      </c>
    </row>
  </sheetData>
  <autoFilter ref="A7:V172" xr:uid="{4120658B-A629-4D14-824D-255A891E3FE8}">
    <filterColumn colId="5">
      <filters>
        <filter val="MITRA BARA ABADI BANDUNG, PT"/>
      </filters>
    </filterColumn>
  </autoFilter>
  <conditionalFormatting sqref="A8">
    <cfRule type="duplicateValues" dxfId="397" priority="315"/>
  </conditionalFormatting>
  <conditionalFormatting sqref="A9">
    <cfRule type="duplicateValues" dxfId="396" priority="305"/>
  </conditionalFormatting>
  <conditionalFormatting sqref="A10">
    <cfRule type="duplicateValues" dxfId="395" priority="303"/>
  </conditionalFormatting>
  <conditionalFormatting sqref="A11:A12">
    <cfRule type="duplicateValues" dxfId="394" priority="253"/>
  </conditionalFormatting>
  <conditionalFormatting sqref="A12">
    <cfRule type="duplicateValues" dxfId="393" priority="1"/>
  </conditionalFormatting>
  <conditionalFormatting sqref="A13">
    <cfRule type="duplicateValues" dxfId="392" priority="251"/>
  </conditionalFormatting>
  <conditionalFormatting sqref="A14">
    <cfRule type="duplicateValues" dxfId="391" priority="285"/>
  </conditionalFormatting>
  <conditionalFormatting sqref="A15">
    <cfRule type="duplicateValues" dxfId="390" priority="319"/>
  </conditionalFormatting>
  <conditionalFormatting sqref="A16">
    <cfRule type="duplicateValues" dxfId="389" priority="275"/>
  </conditionalFormatting>
  <conditionalFormatting sqref="A17">
    <cfRule type="duplicateValues" dxfId="388" priority="291"/>
  </conditionalFormatting>
  <conditionalFormatting sqref="A18">
    <cfRule type="duplicateValues" dxfId="387" priority="277"/>
  </conditionalFormatting>
  <conditionalFormatting sqref="A19">
    <cfRule type="duplicateValues" dxfId="386" priority="313"/>
  </conditionalFormatting>
  <conditionalFormatting sqref="A20">
    <cfRule type="duplicateValues" dxfId="385" priority="311"/>
  </conditionalFormatting>
  <conditionalFormatting sqref="A21">
    <cfRule type="duplicateValues" dxfId="384" priority="283"/>
  </conditionalFormatting>
  <conditionalFormatting sqref="A22">
    <cfRule type="duplicateValues" dxfId="383" priority="281"/>
  </conditionalFormatting>
  <conditionalFormatting sqref="A23">
    <cfRule type="duplicateValues" dxfId="382" priority="279"/>
  </conditionalFormatting>
  <conditionalFormatting sqref="A24">
    <cfRule type="duplicateValues" dxfId="381" priority="287"/>
  </conditionalFormatting>
  <conditionalFormatting sqref="A25">
    <cfRule type="duplicateValues" dxfId="380" priority="247"/>
  </conditionalFormatting>
  <conditionalFormatting sqref="A26">
    <cfRule type="duplicateValues" dxfId="379" priority="245"/>
  </conditionalFormatting>
  <conditionalFormatting sqref="A27">
    <cfRule type="duplicateValues" dxfId="378" priority="243"/>
  </conditionalFormatting>
  <conditionalFormatting sqref="A28">
    <cfRule type="duplicateValues" dxfId="377" priority="241"/>
  </conditionalFormatting>
  <conditionalFormatting sqref="A29">
    <cfRule type="duplicateValues" dxfId="376" priority="255"/>
  </conditionalFormatting>
  <conditionalFormatting sqref="A30">
    <cfRule type="duplicateValues" dxfId="375" priority="295"/>
  </conditionalFormatting>
  <conditionalFormatting sqref="A31">
    <cfRule type="duplicateValues" dxfId="374" priority="293"/>
  </conditionalFormatting>
  <conditionalFormatting sqref="A32">
    <cfRule type="duplicateValues" dxfId="373" priority="271"/>
  </conditionalFormatting>
  <conditionalFormatting sqref="A33">
    <cfRule type="duplicateValues" dxfId="372" priority="309"/>
  </conditionalFormatting>
  <conditionalFormatting sqref="A34">
    <cfRule type="duplicateValues" dxfId="371" priority="299"/>
  </conditionalFormatting>
  <conditionalFormatting sqref="A35">
    <cfRule type="duplicateValues" dxfId="370" priority="297"/>
  </conditionalFormatting>
  <conditionalFormatting sqref="A36">
    <cfRule type="duplicateValues" dxfId="369" priority="301"/>
  </conditionalFormatting>
  <conditionalFormatting sqref="A37">
    <cfRule type="duplicateValues" dxfId="368" priority="269"/>
  </conditionalFormatting>
  <conditionalFormatting sqref="A38">
    <cfRule type="duplicateValues" dxfId="367" priority="307"/>
  </conditionalFormatting>
  <conditionalFormatting sqref="A39">
    <cfRule type="duplicateValues" dxfId="366" priority="267"/>
  </conditionalFormatting>
  <conditionalFormatting sqref="A40">
    <cfRule type="duplicateValues" dxfId="365" priority="265"/>
  </conditionalFormatting>
  <conditionalFormatting sqref="A41">
    <cfRule type="duplicateValues" dxfId="364" priority="263"/>
  </conditionalFormatting>
  <conditionalFormatting sqref="A42">
    <cfRule type="duplicateValues" dxfId="363" priority="261"/>
  </conditionalFormatting>
  <conditionalFormatting sqref="A43">
    <cfRule type="duplicateValues" dxfId="362" priority="259"/>
  </conditionalFormatting>
  <conditionalFormatting sqref="A44">
    <cfRule type="duplicateValues" dxfId="361" priority="257"/>
  </conditionalFormatting>
  <conditionalFormatting sqref="A45">
    <cfRule type="duplicateValues" dxfId="360" priority="325"/>
  </conditionalFormatting>
  <conditionalFormatting sqref="A46">
    <cfRule type="duplicateValues" dxfId="359" priority="323"/>
  </conditionalFormatting>
  <conditionalFormatting sqref="A47">
    <cfRule type="duplicateValues" dxfId="358" priority="321"/>
  </conditionalFormatting>
  <conditionalFormatting sqref="A48">
    <cfRule type="duplicateValues" dxfId="357" priority="289"/>
  </conditionalFormatting>
  <conditionalFormatting sqref="A49">
    <cfRule type="duplicateValues" dxfId="356" priority="317"/>
  </conditionalFormatting>
  <conditionalFormatting sqref="A50">
    <cfRule type="duplicateValues" dxfId="355" priority="273"/>
  </conditionalFormatting>
  <conditionalFormatting sqref="A51">
    <cfRule type="duplicateValues" dxfId="354" priority="249"/>
  </conditionalFormatting>
  <conditionalFormatting sqref="A52">
    <cfRule type="duplicateValues" dxfId="353" priority="239"/>
  </conditionalFormatting>
  <conditionalFormatting sqref="A53">
    <cfRule type="duplicateValues" dxfId="352" priority="206"/>
  </conditionalFormatting>
  <conditionalFormatting sqref="A54">
    <cfRule type="duplicateValues" dxfId="351" priority="232"/>
  </conditionalFormatting>
  <conditionalFormatting sqref="A55">
    <cfRule type="duplicateValues" dxfId="350" priority="238"/>
  </conditionalFormatting>
  <conditionalFormatting sqref="A56">
    <cfRule type="duplicateValues" dxfId="349" priority="236"/>
  </conditionalFormatting>
  <conditionalFormatting sqref="A57">
    <cfRule type="duplicateValues" dxfId="348" priority="234"/>
  </conditionalFormatting>
  <conditionalFormatting sqref="A58">
    <cfRule type="duplicateValues" dxfId="347" priority="204"/>
  </conditionalFormatting>
  <conditionalFormatting sqref="A59">
    <cfRule type="duplicateValues" dxfId="346" priority="202"/>
  </conditionalFormatting>
  <conditionalFormatting sqref="A60">
    <cfRule type="duplicateValues" dxfId="345" priority="210"/>
  </conditionalFormatting>
  <conditionalFormatting sqref="A61">
    <cfRule type="duplicateValues" dxfId="344" priority="196"/>
  </conditionalFormatting>
  <conditionalFormatting sqref="A62">
    <cfRule type="duplicateValues" dxfId="343" priority="208"/>
  </conditionalFormatting>
  <conditionalFormatting sqref="A63">
    <cfRule type="duplicateValues" dxfId="342" priority="230"/>
  </conditionalFormatting>
  <conditionalFormatting sqref="A64">
    <cfRule type="duplicateValues" dxfId="341" priority="228"/>
  </conditionalFormatting>
  <conditionalFormatting sqref="A65">
    <cfRule type="duplicateValues" dxfId="340" priority="226"/>
  </conditionalFormatting>
  <conditionalFormatting sqref="A66">
    <cfRule type="duplicateValues" dxfId="339" priority="224"/>
  </conditionalFormatting>
  <conditionalFormatting sqref="A67">
    <cfRule type="duplicateValues" dxfId="338" priority="222"/>
  </conditionalFormatting>
  <conditionalFormatting sqref="A68">
    <cfRule type="duplicateValues" dxfId="337" priority="220"/>
  </conditionalFormatting>
  <conditionalFormatting sqref="A69">
    <cfRule type="duplicateValues" dxfId="336" priority="218"/>
  </conditionalFormatting>
  <conditionalFormatting sqref="A70">
    <cfRule type="duplicateValues" dxfId="335" priority="216"/>
  </conditionalFormatting>
  <conditionalFormatting sqref="A71">
    <cfRule type="duplicateValues" dxfId="334" priority="214"/>
  </conditionalFormatting>
  <conditionalFormatting sqref="A72">
    <cfRule type="duplicateValues" dxfId="333" priority="212"/>
  </conditionalFormatting>
  <conditionalFormatting sqref="A73">
    <cfRule type="duplicateValues" dxfId="332" priority="200"/>
  </conditionalFormatting>
  <conditionalFormatting sqref="A74">
    <cfRule type="duplicateValues" dxfId="331" priority="198"/>
  </conditionalFormatting>
  <conditionalFormatting sqref="A75">
    <cfRule type="duplicateValues" dxfId="330" priority="184"/>
  </conditionalFormatting>
  <conditionalFormatting sqref="A76">
    <cfRule type="duplicateValues" dxfId="329" priority="182"/>
  </conditionalFormatting>
  <conditionalFormatting sqref="A77">
    <cfRule type="duplicateValues" dxfId="328" priority="180"/>
  </conditionalFormatting>
  <conditionalFormatting sqref="A78">
    <cfRule type="duplicateValues" dxfId="327" priority="178"/>
  </conditionalFormatting>
  <conditionalFormatting sqref="A79">
    <cfRule type="duplicateValues" dxfId="326" priority="176"/>
  </conditionalFormatting>
  <conditionalFormatting sqref="A80">
    <cfRule type="duplicateValues" dxfId="325" priority="174"/>
  </conditionalFormatting>
  <conditionalFormatting sqref="A81">
    <cfRule type="duplicateValues" dxfId="324" priority="172"/>
  </conditionalFormatting>
  <conditionalFormatting sqref="A82">
    <cfRule type="duplicateValues" dxfId="323" priority="170"/>
  </conditionalFormatting>
  <conditionalFormatting sqref="A83">
    <cfRule type="duplicateValues" dxfId="322" priority="168"/>
  </conditionalFormatting>
  <conditionalFormatting sqref="A84">
    <cfRule type="duplicateValues" dxfId="321" priority="166"/>
  </conditionalFormatting>
  <conditionalFormatting sqref="A85">
    <cfRule type="duplicateValues" dxfId="320" priority="148"/>
  </conditionalFormatting>
  <conditionalFormatting sqref="A86">
    <cfRule type="duplicateValues" dxfId="319" priority="146"/>
  </conditionalFormatting>
  <conditionalFormatting sqref="A87">
    <cfRule type="duplicateValues" dxfId="318" priority="192"/>
  </conditionalFormatting>
  <conditionalFormatting sqref="A88">
    <cfRule type="duplicateValues" dxfId="317" priority="162"/>
  </conditionalFormatting>
  <conditionalFormatting sqref="A89">
    <cfRule type="duplicateValues" dxfId="316" priority="154"/>
  </conditionalFormatting>
  <conditionalFormatting sqref="A90">
    <cfRule type="duplicateValues" dxfId="315" priority="158"/>
  </conditionalFormatting>
  <conditionalFormatting sqref="A91">
    <cfRule type="duplicateValues" dxfId="314" priority="194"/>
  </conditionalFormatting>
  <conditionalFormatting sqref="A92">
    <cfRule type="duplicateValues" dxfId="313" priority="152"/>
  </conditionalFormatting>
  <conditionalFormatting sqref="A93">
    <cfRule type="duplicateValues" dxfId="312" priority="186"/>
  </conditionalFormatting>
  <conditionalFormatting sqref="A94">
    <cfRule type="duplicateValues" dxfId="311" priority="136"/>
  </conditionalFormatting>
  <conditionalFormatting sqref="A95">
    <cfRule type="duplicateValues" dxfId="310" priority="134"/>
  </conditionalFormatting>
  <conditionalFormatting sqref="A96">
    <cfRule type="duplicateValues" dxfId="309" priority="112"/>
  </conditionalFormatting>
  <conditionalFormatting sqref="A97">
    <cfRule type="duplicateValues" dxfId="308" priority="120"/>
  </conditionalFormatting>
  <conditionalFormatting sqref="A98">
    <cfRule type="duplicateValues" dxfId="307" priority="110"/>
  </conditionalFormatting>
  <conditionalFormatting sqref="A99">
    <cfRule type="duplicateValues" dxfId="306" priority="132"/>
  </conditionalFormatting>
  <conditionalFormatting sqref="A100">
    <cfRule type="duplicateValues" dxfId="305" priority="124"/>
  </conditionalFormatting>
  <conditionalFormatting sqref="A101">
    <cfRule type="duplicateValues" dxfId="304" priority="128"/>
  </conditionalFormatting>
  <conditionalFormatting sqref="A102">
    <cfRule type="duplicateValues" dxfId="303" priority="126"/>
  </conditionalFormatting>
  <conditionalFormatting sqref="A103">
    <cfRule type="duplicateValues" dxfId="302" priority="122"/>
  </conditionalFormatting>
  <conditionalFormatting sqref="A104">
    <cfRule type="duplicateValues" dxfId="301" priority="130"/>
  </conditionalFormatting>
  <conditionalFormatting sqref="A105">
    <cfRule type="duplicateValues" dxfId="300" priority="140"/>
  </conditionalFormatting>
  <conditionalFormatting sqref="A106">
    <cfRule type="duplicateValues" dxfId="299" priority="94"/>
  </conditionalFormatting>
  <conditionalFormatting sqref="A107">
    <cfRule type="duplicateValues" dxfId="298" priority="86"/>
  </conditionalFormatting>
  <conditionalFormatting sqref="A108">
    <cfRule type="duplicateValues" dxfId="297" priority="98"/>
  </conditionalFormatting>
  <conditionalFormatting sqref="A109">
    <cfRule type="duplicateValues" dxfId="296" priority="96"/>
  </conditionalFormatting>
  <conditionalFormatting sqref="A110">
    <cfRule type="duplicateValues" dxfId="295" priority="92"/>
  </conditionalFormatting>
  <conditionalFormatting sqref="A111">
    <cfRule type="duplicateValues" dxfId="294" priority="108"/>
  </conditionalFormatting>
  <conditionalFormatting sqref="A112">
    <cfRule type="duplicateValues" dxfId="293" priority="84"/>
  </conditionalFormatting>
  <conditionalFormatting sqref="A113">
    <cfRule type="duplicateValues" dxfId="292" priority="102"/>
  </conditionalFormatting>
  <conditionalFormatting sqref="A114">
    <cfRule type="duplicateValues" dxfId="291" priority="100"/>
  </conditionalFormatting>
  <conditionalFormatting sqref="A115">
    <cfRule type="duplicateValues" dxfId="290" priority="90"/>
  </conditionalFormatting>
  <conditionalFormatting sqref="A116">
    <cfRule type="duplicateValues" dxfId="289" priority="106"/>
  </conditionalFormatting>
  <conditionalFormatting sqref="A117">
    <cfRule type="duplicateValues" dxfId="288" priority="82"/>
  </conditionalFormatting>
  <conditionalFormatting sqref="A118">
    <cfRule type="duplicateValues" dxfId="287" priority="80"/>
  </conditionalFormatting>
  <conditionalFormatting sqref="A119">
    <cfRule type="duplicateValues" dxfId="286" priority="88"/>
  </conditionalFormatting>
  <conditionalFormatting sqref="A120">
    <cfRule type="duplicateValues" dxfId="285" priority="104"/>
  </conditionalFormatting>
  <conditionalFormatting sqref="A121">
    <cfRule type="duplicateValues" dxfId="284" priority="78"/>
  </conditionalFormatting>
  <conditionalFormatting sqref="A122">
    <cfRule type="duplicateValues" dxfId="283" priority="77"/>
  </conditionalFormatting>
  <conditionalFormatting sqref="A123:A124">
    <cfRule type="duplicateValues" dxfId="282" priority="76"/>
  </conditionalFormatting>
  <conditionalFormatting sqref="A125">
    <cfRule type="duplicateValues" dxfId="281" priority="75"/>
  </conditionalFormatting>
  <conditionalFormatting sqref="A126">
    <cfRule type="duplicateValues" dxfId="280" priority="52"/>
  </conditionalFormatting>
  <conditionalFormatting sqref="A127">
    <cfRule type="duplicateValues" dxfId="279" priority="50"/>
  </conditionalFormatting>
  <conditionalFormatting sqref="A128">
    <cfRule type="duplicateValues" dxfId="278" priority="62"/>
  </conditionalFormatting>
  <conditionalFormatting sqref="A129">
    <cfRule type="duplicateValues" dxfId="277" priority="72"/>
  </conditionalFormatting>
  <conditionalFormatting sqref="A130">
    <cfRule type="duplicateValues" dxfId="276" priority="70"/>
  </conditionalFormatting>
  <conditionalFormatting sqref="A131">
    <cfRule type="duplicateValues" dxfId="275" priority="68"/>
  </conditionalFormatting>
  <conditionalFormatting sqref="A132">
    <cfRule type="duplicateValues" dxfId="274" priority="66"/>
  </conditionalFormatting>
  <conditionalFormatting sqref="A133">
    <cfRule type="duplicateValues" dxfId="273" priority="58"/>
  </conditionalFormatting>
  <conditionalFormatting sqref="A134">
    <cfRule type="duplicateValues" dxfId="272" priority="48"/>
  </conditionalFormatting>
  <conditionalFormatting sqref="A135">
    <cfRule type="duplicateValues" dxfId="271" priority="46"/>
  </conditionalFormatting>
  <conditionalFormatting sqref="A136">
    <cfRule type="duplicateValues" dxfId="270" priority="54"/>
  </conditionalFormatting>
  <conditionalFormatting sqref="A137">
    <cfRule type="duplicateValues" dxfId="269" priority="60"/>
  </conditionalFormatting>
  <conditionalFormatting sqref="A138">
    <cfRule type="duplicateValues" dxfId="268" priority="74"/>
  </conditionalFormatting>
  <conditionalFormatting sqref="A139">
    <cfRule type="duplicateValues" dxfId="267" priority="64"/>
  </conditionalFormatting>
  <conditionalFormatting sqref="A140">
    <cfRule type="duplicateValues" dxfId="266" priority="56"/>
  </conditionalFormatting>
  <conditionalFormatting sqref="A141">
    <cfRule type="duplicateValues" dxfId="265" priority="42"/>
  </conditionalFormatting>
  <conditionalFormatting sqref="A142">
    <cfRule type="duplicateValues" dxfId="264" priority="44"/>
  </conditionalFormatting>
  <conditionalFormatting sqref="A143">
    <cfRule type="duplicateValues" dxfId="263" priority="35"/>
  </conditionalFormatting>
  <conditionalFormatting sqref="A144">
    <cfRule type="duplicateValues" dxfId="262" priority="33"/>
  </conditionalFormatting>
  <conditionalFormatting sqref="A145">
    <cfRule type="duplicateValues" dxfId="261" priority="31"/>
  </conditionalFormatting>
  <conditionalFormatting sqref="A146">
    <cfRule type="duplicateValues" dxfId="260" priority="29"/>
  </conditionalFormatting>
  <conditionalFormatting sqref="A147">
    <cfRule type="duplicateValues" dxfId="259" priority="27"/>
  </conditionalFormatting>
  <conditionalFormatting sqref="A148">
    <cfRule type="duplicateValues" dxfId="258" priority="25"/>
  </conditionalFormatting>
  <conditionalFormatting sqref="A149">
    <cfRule type="duplicateValues" dxfId="257" priority="40"/>
  </conditionalFormatting>
  <conditionalFormatting sqref="A150">
    <cfRule type="duplicateValues" dxfId="256" priority="39"/>
  </conditionalFormatting>
  <conditionalFormatting sqref="A151">
    <cfRule type="duplicateValues" dxfId="255" priority="23"/>
  </conditionalFormatting>
  <conditionalFormatting sqref="A152">
    <cfRule type="duplicateValues" dxfId="254" priority="21"/>
  </conditionalFormatting>
  <conditionalFormatting sqref="A153">
    <cfRule type="duplicateValues" dxfId="253" priority="19"/>
  </conditionalFormatting>
  <conditionalFormatting sqref="A154">
    <cfRule type="duplicateValues" dxfId="252" priority="38"/>
  </conditionalFormatting>
  <conditionalFormatting sqref="A155">
    <cfRule type="duplicateValues" dxfId="251" priority="17"/>
  </conditionalFormatting>
  <conditionalFormatting sqref="A156">
    <cfRule type="duplicateValues" dxfId="250" priority="16"/>
  </conditionalFormatting>
  <conditionalFormatting sqref="A157">
    <cfRule type="duplicateValues" dxfId="249" priority="13"/>
  </conditionalFormatting>
  <conditionalFormatting sqref="A158">
    <cfRule type="duplicateValues" dxfId="248" priority="15"/>
  </conditionalFormatting>
  <conditionalFormatting sqref="A159">
    <cfRule type="duplicateValues" dxfId="247" priority="14"/>
  </conditionalFormatting>
  <conditionalFormatting sqref="A160">
    <cfRule type="duplicateValues" dxfId="246" priority="12"/>
  </conditionalFormatting>
  <conditionalFormatting sqref="A161">
    <cfRule type="duplicateValues" dxfId="245" priority="11"/>
  </conditionalFormatting>
  <conditionalFormatting sqref="A162">
    <cfRule type="duplicateValues" dxfId="244" priority="10"/>
  </conditionalFormatting>
  <conditionalFormatting sqref="A163:A166">
    <cfRule type="duplicateValues" dxfId="243" priority="9"/>
  </conditionalFormatting>
  <conditionalFormatting sqref="A167:A168">
    <cfRule type="duplicateValues" dxfId="242" priority="8"/>
  </conditionalFormatting>
  <conditionalFormatting sqref="A169">
    <cfRule type="duplicateValues" dxfId="241" priority="7"/>
  </conditionalFormatting>
  <conditionalFormatting sqref="A170:A171">
    <cfRule type="duplicateValues" dxfId="240" priority="6"/>
  </conditionalFormatting>
  <conditionalFormatting sqref="A172">
    <cfRule type="duplicateValues" dxfId="239" priority="2"/>
  </conditionalFormatting>
  <conditionalFormatting sqref="B154">
    <cfRule type="duplicateValues" dxfId="238" priority="37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FC89-DBA4-4EDA-87EC-CCCDAF06E4B1}">
  <dimension ref="A1:V176"/>
  <sheetViews>
    <sheetView workbookViewId="0">
      <pane ySplit="7" topLeftCell="A10" activePane="bottomLeft" state="frozen"/>
      <selection pane="bottomLeft" activeCell="B172" sqref="B172"/>
    </sheetView>
  </sheetViews>
  <sheetFormatPr defaultColWidth="9.15234375" defaultRowHeight="14.6" x14ac:dyDescent="0.4"/>
  <cols>
    <col min="1" max="1" width="17.23046875" style="57" bestFit="1" customWidth="1"/>
    <col min="2" max="2" width="77.3828125" style="57" bestFit="1" customWidth="1"/>
    <col min="3" max="3" width="19" style="57" bestFit="1" customWidth="1"/>
    <col min="4" max="4" width="10.921875" style="57" bestFit="1" customWidth="1"/>
    <col min="5" max="5" width="10.765625" style="57" bestFit="1" customWidth="1"/>
    <col min="6" max="6" width="27.84375" style="57" bestFit="1" customWidth="1"/>
    <col min="7" max="7" width="44.765625" style="57" bestFit="1" customWidth="1"/>
    <col min="8" max="8" width="10.84375" style="57" bestFit="1" customWidth="1"/>
    <col min="9" max="9" width="28.69140625" style="57" bestFit="1" customWidth="1"/>
    <col min="10" max="10" width="16.4609375" style="57" bestFit="1" customWidth="1"/>
    <col min="11" max="11" width="11.15234375" style="57" bestFit="1" customWidth="1"/>
    <col min="12" max="12" width="8.3046875" style="57" bestFit="1" customWidth="1"/>
    <col min="13" max="13" width="13.69140625" style="57" bestFit="1" customWidth="1"/>
    <col min="14" max="14" width="9.23046875" style="57" bestFit="1" customWidth="1"/>
    <col min="15" max="16" width="13.23046875" style="57" bestFit="1" customWidth="1"/>
    <col min="17" max="17" width="11.921875" style="57" bestFit="1" customWidth="1"/>
    <col min="18" max="18" width="11.07421875" style="57" bestFit="1" customWidth="1"/>
    <col min="19" max="19" width="9.07421875" style="57" bestFit="1" customWidth="1"/>
    <col min="20" max="20" width="16.23046875" style="57" bestFit="1" customWidth="1"/>
    <col min="21" max="21" width="10.23046875" style="57" bestFit="1" customWidth="1"/>
    <col min="22" max="22" width="6.84375" style="57" bestFit="1" customWidth="1"/>
    <col min="23" max="16384" width="9.15234375" style="57"/>
  </cols>
  <sheetData>
    <row r="1" spans="1:22" s="124" customFormat="1" x14ac:dyDescent="0.4">
      <c r="B1" s="125" t="s">
        <v>75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</row>
    <row r="2" spans="1:22" s="124" customFormat="1" x14ac:dyDescent="0.4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</row>
    <row r="3" spans="1:22" s="28" customFormat="1" ht="17.600000000000001" x14ac:dyDescent="0.4">
      <c r="B3" s="127" t="s">
        <v>92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</row>
    <row r="4" spans="1:22" s="28" customFormat="1" ht="12.9" x14ac:dyDescent="0.4">
      <c r="B4" s="128" t="s">
        <v>30</v>
      </c>
      <c r="C4" s="129" t="s">
        <v>2892</v>
      </c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</row>
    <row r="5" spans="1:22" s="28" customFormat="1" ht="12.9" x14ac:dyDescent="0.4">
      <c r="B5" s="128" t="s">
        <v>171</v>
      </c>
      <c r="C5" s="129" t="s">
        <v>172</v>
      </c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2"/>
      <c r="R5" s="132"/>
      <c r="S5" s="131"/>
      <c r="T5" s="131"/>
      <c r="U5" s="131"/>
    </row>
    <row r="6" spans="1:22" s="28" customFormat="1" ht="12.9" x14ac:dyDescent="0.4">
      <c r="B6" s="133" t="s">
        <v>62</v>
      </c>
      <c r="C6" s="134"/>
      <c r="D6" s="135"/>
      <c r="E6" s="128"/>
      <c r="F6" s="136"/>
      <c r="G6" s="128"/>
      <c r="H6" s="128"/>
      <c r="I6" s="128"/>
      <c r="J6" s="128"/>
      <c r="K6" s="128"/>
      <c r="L6" s="128"/>
      <c r="M6" s="128"/>
      <c r="N6" s="128"/>
      <c r="O6" s="137">
        <f t="shared" ref="O6:T6" si="0">SUBTOTAL(9,O8:O167)</f>
        <v>1454734455.3699996</v>
      </c>
      <c r="P6" s="137">
        <f t="shared" si="0"/>
        <v>1454734455.3699996</v>
      </c>
      <c r="Q6" s="137">
        <f t="shared" si="0"/>
        <v>151727004.7843</v>
      </c>
      <c r="R6" s="137">
        <f t="shared" si="0"/>
        <v>12098993.295999996</v>
      </c>
      <c r="S6" s="137">
        <f t="shared" si="0"/>
        <v>0</v>
      </c>
      <c r="T6" s="137">
        <f t="shared" si="0"/>
        <v>1594481266.8583004</v>
      </c>
      <c r="U6" s="128"/>
    </row>
    <row r="7" spans="1:22" s="28" customFormat="1" ht="24" customHeight="1" x14ac:dyDescent="0.4">
      <c r="A7" s="40" t="s">
        <v>95</v>
      </c>
      <c r="B7" s="40" t="s">
        <v>31</v>
      </c>
      <c r="C7" s="41" t="s">
        <v>32</v>
      </c>
      <c r="D7" s="39" t="s">
        <v>17</v>
      </c>
      <c r="E7" s="39" t="s">
        <v>22</v>
      </c>
      <c r="F7" s="40" t="s">
        <v>33</v>
      </c>
      <c r="G7" s="40" t="s">
        <v>38</v>
      </c>
      <c r="H7" s="40" t="s">
        <v>20</v>
      </c>
      <c r="I7" s="40" t="s">
        <v>28</v>
      </c>
      <c r="J7" s="40" t="s">
        <v>94</v>
      </c>
      <c r="K7" s="40" t="s">
        <v>21</v>
      </c>
      <c r="L7" s="40" t="s">
        <v>9</v>
      </c>
      <c r="M7" s="40" t="s">
        <v>34</v>
      </c>
      <c r="N7" s="40" t="s">
        <v>13</v>
      </c>
      <c r="O7" s="122" t="s">
        <v>18</v>
      </c>
      <c r="P7" s="122" t="s">
        <v>2</v>
      </c>
      <c r="Q7" s="121" t="s">
        <v>7</v>
      </c>
      <c r="R7" s="121" t="s">
        <v>93</v>
      </c>
      <c r="S7" s="121" t="s">
        <v>14</v>
      </c>
      <c r="T7" s="121" t="s">
        <v>37</v>
      </c>
      <c r="U7" s="16"/>
    </row>
    <row r="8" spans="1:22" s="28" customFormat="1" ht="15.45" x14ac:dyDescent="0.4">
      <c r="A8" s="19" t="s">
        <v>592</v>
      </c>
      <c r="B8" s="21">
        <v>45870</v>
      </c>
      <c r="C8" s="22" t="s">
        <v>2858</v>
      </c>
      <c r="D8" s="23" t="s">
        <v>2859</v>
      </c>
      <c r="E8" s="21">
        <v>45868</v>
      </c>
      <c r="F8" s="23" t="s">
        <v>585</v>
      </c>
      <c r="G8" s="23" t="s">
        <v>586</v>
      </c>
      <c r="H8" s="23" t="s">
        <v>23</v>
      </c>
      <c r="I8" s="23" t="s">
        <v>886</v>
      </c>
      <c r="J8" s="139" t="s">
        <v>3258</v>
      </c>
      <c r="K8" s="23" t="s">
        <v>1</v>
      </c>
      <c r="L8" s="123">
        <f t="shared" ref="L8:L33" si="1">IF(LEFT(C8,2)="RP",U8*-1,U8)</f>
        <v>400</v>
      </c>
      <c r="M8" s="24">
        <v>54071</v>
      </c>
      <c r="N8" s="123">
        <v>16385</v>
      </c>
      <c r="O8" s="138">
        <v>21628400</v>
      </c>
      <c r="P8" s="138">
        <f t="shared" ref="P8:P39" si="2">O8</f>
        <v>21628400</v>
      </c>
      <c r="Q8" s="141">
        <v>2379124</v>
      </c>
      <c r="R8" s="138"/>
      <c r="S8" s="138">
        <v>0</v>
      </c>
      <c r="T8" s="138">
        <f>P8+Q8-S8</f>
        <v>24007524</v>
      </c>
      <c r="U8" s="29">
        <v>400</v>
      </c>
      <c r="V8" s="28" t="e">
        <v>#VALUE!</v>
      </c>
    </row>
    <row r="9" spans="1:22" s="28" customFormat="1" ht="15.45" x14ac:dyDescent="0.4">
      <c r="A9" s="19" t="s">
        <v>112</v>
      </c>
      <c r="B9" s="21">
        <v>45870</v>
      </c>
      <c r="C9" s="22" t="s">
        <v>2860</v>
      </c>
      <c r="D9" s="23" t="s">
        <v>2861</v>
      </c>
      <c r="E9" s="21">
        <v>45863</v>
      </c>
      <c r="F9" s="23" t="s">
        <v>50</v>
      </c>
      <c r="G9" s="23" t="s">
        <v>35</v>
      </c>
      <c r="H9" s="23" t="s">
        <v>23</v>
      </c>
      <c r="I9" s="23" t="s">
        <v>885</v>
      </c>
      <c r="J9" s="139" t="s">
        <v>3253</v>
      </c>
      <c r="K9" s="23" t="s">
        <v>1</v>
      </c>
      <c r="L9" s="123">
        <f t="shared" si="1"/>
        <v>120</v>
      </c>
      <c r="M9" s="24">
        <v>21203</v>
      </c>
      <c r="N9" s="123">
        <v>16310</v>
      </c>
      <c r="O9" s="138">
        <v>2544360</v>
      </c>
      <c r="P9" s="138">
        <f t="shared" si="2"/>
        <v>2544360</v>
      </c>
      <c r="Q9" s="141">
        <v>279879.59999999998</v>
      </c>
      <c r="R9" s="138"/>
      <c r="S9" s="138">
        <v>0</v>
      </c>
      <c r="T9" s="138">
        <f>P9+Q9-S9</f>
        <v>2824239.6</v>
      </c>
      <c r="U9" s="29">
        <v>120</v>
      </c>
      <c r="V9" s="28" t="e">
        <v>#VALUE!</v>
      </c>
    </row>
    <row r="10" spans="1:22" s="28" customFormat="1" ht="15.45" x14ac:dyDescent="0.4">
      <c r="A10" s="19" t="s">
        <v>98</v>
      </c>
      <c r="B10" s="21">
        <v>45870</v>
      </c>
      <c r="C10" s="22" t="s">
        <v>2862</v>
      </c>
      <c r="D10" s="23" t="s">
        <v>2863</v>
      </c>
      <c r="E10" s="21">
        <v>45868</v>
      </c>
      <c r="F10" s="23" t="s">
        <v>84</v>
      </c>
      <c r="G10" s="23" t="s">
        <v>89</v>
      </c>
      <c r="H10" s="23" t="s">
        <v>25</v>
      </c>
      <c r="I10" s="23" t="s">
        <v>79</v>
      </c>
      <c r="J10" s="139" t="s">
        <v>3286</v>
      </c>
      <c r="K10" s="23" t="s">
        <v>1</v>
      </c>
      <c r="L10" s="123">
        <f t="shared" si="1"/>
        <v>30680</v>
      </c>
      <c r="M10" s="24">
        <v>1525</v>
      </c>
      <c r="N10" s="123">
        <v>0</v>
      </c>
      <c r="O10" s="138">
        <v>46787000</v>
      </c>
      <c r="P10" s="138">
        <f t="shared" si="2"/>
        <v>46787000</v>
      </c>
      <c r="Q10" s="138">
        <v>5146570</v>
      </c>
      <c r="R10" s="138">
        <f>P10*1.5%</f>
        <v>701805</v>
      </c>
      <c r="S10" s="138">
        <v>0</v>
      </c>
      <c r="T10" s="138">
        <f>P10+Q10-S10-R10</f>
        <v>51231765</v>
      </c>
      <c r="U10" s="29">
        <v>30680</v>
      </c>
    </row>
    <row r="11" spans="1:22" s="28" customFormat="1" ht="15.45" x14ac:dyDescent="0.4">
      <c r="A11" s="20" t="s">
        <v>2783</v>
      </c>
      <c r="B11" s="21">
        <v>45870</v>
      </c>
      <c r="C11" s="22" t="s">
        <v>2864</v>
      </c>
      <c r="D11" s="23" t="s">
        <v>2865</v>
      </c>
      <c r="E11" s="21">
        <v>45868</v>
      </c>
      <c r="F11" s="23" t="s">
        <v>2781</v>
      </c>
      <c r="G11" s="23" t="s">
        <v>175</v>
      </c>
      <c r="H11" s="23" t="s">
        <v>25</v>
      </c>
      <c r="I11" s="23" t="s">
        <v>79</v>
      </c>
      <c r="J11" s="139" t="s">
        <v>2936</v>
      </c>
      <c r="K11" s="23" t="s">
        <v>1</v>
      </c>
      <c r="L11" s="123">
        <f t="shared" si="1"/>
        <v>28180</v>
      </c>
      <c r="M11" s="24">
        <v>1150</v>
      </c>
      <c r="N11" s="123">
        <v>0</v>
      </c>
      <c r="O11" s="138">
        <v>32407000</v>
      </c>
      <c r="P11" s="138">
        <f t="shared" si="2"/>
        <v>32407000</v>
      </c>
      <c r="Q11" s="141">
        <v>3564770</v>
      </c>
      <c r="R11" s="138">
        <f>P11*1.5%</f>
        <v>486105</v>
      </c>
      <c r="S11" s="138">
        <v>0</v>
      </c>
      <c r="T11" s="138">
        <f>P11+Q11-S11-R11</f>
        <v>35485665</v>
      </c>
      <c r="U11" s="29">
        <v>28180</v>
      </c>
    </row>
    <row r="12" spans="1:22" s="28" customFormat="1" ht="15.45" x14ac:dyDescent="0.4">
      <c r="A12" s="19" t="s">
        <v>113</v>
      </c>
      <c r="B12" s="21">
        <v>45870</v>
      </c>
      <c r="C12" s="22" t="s">
        <v>2866</v>
      </c>
      <c r="D12" s="23" t="s">
        <v>2867</v>
      </c>
      <c r="E12" s="21">
        <v>45870</v>
      </c>
      <c r="F12" s="23" t="s">
        <v>42</v>
      </c>
      <c r="G12" s="23" t="s">
        <v>2868</v>
      </c>
      <c r="H12" s="23" t="s">
        <v>24</v>
      </c>
      <c r="I12" s="23" t="s">
        <v>61</v>
      </c>
      <c r="J12" s="23"/>
      <c r="K12" s="23" t="s">
        <v>2702</v>
      </c>
      <c r="L12" s="123">
        <f t="shared" si="1"/>
        <v>5</v>
      </c>
      <c r="M12" s="24">
        <v>17500</v>
      </c>
      <c r="N12" s="123">
        <v>0</v>
      </c>
      <c r="O12" s="138">
        <v>87500</v>
      </c>
      <c r="P12" s="138">
        <f t="shared" si="2"/>
        <v>87500</v>
      </c>
      <c r="Q12" s="138">
        <v>0</v>
      </c>
      <c r="R12" s="138"/>
      <c r="S12" s="138">
        <v>0</v>
      </c>
      <c r="T12" s="138">
        <f t="shared" ref="T12:T33" si="3">P12+Q12-S12</f>
        <v>87500</v>
      </c>
      <c r="U12" s="29">
        <v>5</v>
      </c>
    </row>
    <row r="13" spans="1:22" s="28" customFormat="1" ht="15.45" x14ac:dyDescent="0.4">
      <c r="A13" s="19" t="s">
        <v>132</v>
      </c>
      <c r="B13" s="21">
        <v>45870</v>
      </c>
      <c r="C13" s="22" t="s">
        <v>2869</v>
      </c>
      <c r="D13" s="23" t="s">
        <v>2870</v>
      </c>
      <c r="E13" s="21">
        <v>45870</v>
      </c>
      <c r="F13" s="23" t="s">
        <v>129</v>
      </c>
      <c r="G13" s="23" t="s">
        <v>679</v>
      </c>
      <c r="H13" s="23" t="s">
        <v>24</v>
      </c>
      <c r="I13" s="23" t="s">
        <v>61</v>
      </c>
      <c r="J13" s="23"/>
      <c r="K13" s="23" t="s">
        <v>6</v>
      </c>
      <c r="L13" s="123">
        <f t="shared" si="1"/>
        <v>10</v>
      </c>
      <c r="M13" s="24">
        <v>8000</v>
      </c>
      <c r="N13" s="123">
        <v>0</v>
      </c>
      <c r="O13" s="138">
        <v>80000</v>
      </c>
      <c r="P13" s="138">
        <f t="shared" si="2"/>
        <v>80000</v>
      </c>
      <c r="Q13" s="138">
        <v>0</v>
      </c>
      <c r="R13" s="138"/>
      <c r="S13" s="138">
        <v>0</v>
      </c>
      <c r="T13" s="138">
        <f t="shared" si="3"/>
        <v>80000</v>
      </c>
      <c r="U13" s="29">
        <v>10</v>
      </c>
    </row>
    <row r="14" spans="1:22" s="28" customFormat="1" ht="15.45" x14ac:dyDescent="0.4">
      <c r="A14" s="19" t="s">
        <v>132</v>
      </c>
      <c r="B14" s="21">
        <v>45870</v>
      </c>
      <c r="C14" s="22" t="s">
        <v>2869</v>
      </c>
      <c r="D14" s="23" t="s">
        <v>2870</v>
      </c>
      <c r="E14" s="21">
        <v>45870</v>
      </c>
      <c r="F14" s="23" t="s">
        <v>129</v>
      </c>
      <c r="G14" s="23" t="s">
        <v>1756</v>
      </c>
      <c r="H14" s="23" t="s">
        <v>24</v>
      </c>
      <c r="I14" s="23" t="s">
        <v>61</v>
      </c>
      <c r="J14" s="23"/>
      <c r="K14" s="23" t="s">
        <v>6</v>
      </c>
      <c r="L14" s="123">
        <f t="shared" si="1"/>
        <v>100</v>
      </c>
      <c r="M14" s="24">
        <v>6200</v>
      </c>
      <c r="N14" s="123">
        <v>0</v>
      </c>
      <c r="O14" s="138">
        <v>620000</v>
      </c>
      <c r="P14" s="138">
        <f t="shared" si="2"/>
        <v>620000</v>
      </c>
      <c r="Q14" s="138">
        <v>0</v>
      </c>
      <c r="R14" s="138"/>
      <c r="S14" s="138">
        <v>0</v>
      </c>
      <c r="T14" s="138">
        <f t="shared" si="3"/>
        <v>620000</v>
      </c>
      <c r="U14" s="29">
        <v>100</v>
      </c>
    </row>
    <row r="15" spans="1:22" s="28" customFormat="1" ht="15.45" x14ac:dyDescent="0.4">
      <c r="A15" s="19" t="s">
        <v>132</v>
      </c>
      <c r="B15" s="21">
        <v>45870</v>
      </c>
      <c r="C15" s="22" t="s">
        <v>2869</v>
      </c>
      <c r="D15" s="23" t="s">
        <v>2870</v>
      </c>
      <c r="E15" s="21">
        <v>45870</v>
      </c>
      <c r="F15" s="23" t="s">
        <v>129</v>
      </c>
      <c r="G15" s="23" t="s">
        <v>2871</v>
      </c>
      <c r="H15" s="23" t="s">
        <v>24</v>
      </c>
      <c r="I15" s="23" t="s">
        <v>61</v>
      </c>
      <c r="J15" s="23"/>
      <c r="K15" s="23" t="s">
        <v>6</v>
      </c>
      <c r="L15" s="123">
        <f t="shared" si="1"/>
        <v>50</v>
      </c>
      <c r="M15" s="24">
        <v>1500</v>
      </c>
      <c r="N15" s="123">
        <v>0</v>
      </c>
      <c r="O15" s="138">
        <v>75000</v>
      </c>
      <c r="P15" s="138">
        <f t="shared" si="2"/>
        <v>75000</v>
      </c>
      <c r="Q15" s="138">
        <v>0</v>
      </c>
      <c r="R15" s="138"/>
      <c r="S15" s="138">
        <v>0</v>
      </c>
      <c r="T15" s="138">
        <f t="shared" si="3"/>
        <v>75000</v>
      </c>
      <c r="U15" s="29">
        <v>50</v>
      </c>
    </row>
    <row r="16" spans="1:22" s="28" customFormat="1" ht="15.45" x14ac:dyDescent="0.4">
      <c r="A16" s="19" t="s">
        <v>132</v>
      </c>
      <c r="B16" s="21">
        <v>45870</v>
      </c>
      <c r="C16" s="22" t="s">
        <v>2869</v>
      </c>
      <c r="D16" s="23" t="s">
        <v>2870</v>
      </c>
      <c r="E16" s="21">
        <v>45870</v>
      </c>
      <c r="F16" s="23" t="s">
        <v>129</v>
      </c>
      <c r="G16" s="23" t="s">
        <v>2627</v>
      </c>
      <c r="H16" s="23" t="s">
        <v>24</v>
      </c>
      <c r="I16" s="23" t="s">
        <v>61</v>
      </c>
      <c r="J16" s="23"/>
      <c r="K16" s="23" t="s">
        <v>10</v>
      </c>
      <c r="L16" s="123">
        <f t="shared" si="1"/>
        <v>1</v>
      </c>
      <c r="M16" s="24">
        <v>37000</v>
      </c>
      <c r="N16" s="123">
        <v>0</v>
      </c>
      <c r="O16" s="138">
        <v>37000</v>
      </c>
      <c r="P16" s="138">
        <f t="shared" si="2"/>
        <v>37000</v>
      </c>
      <c r="Q16" s="138">
        <v>0</v>
      </c>
      <c r="R16" s="138"/>
      <c r="S16" s="138">
        <v>0</v>
      </c>
      <c r="T16" s="138">
        <f t="shared" si="3"/>
        <v>37000</v>
      </c>
      <c r="U16" s="29">
        <v>1</v>
      </c>
    </row>
    <row r="17" spans="1:22" s="28" customFormat="1" ht="15.45" x14ac:dyDescent="0.4">
      <c r="A17" s="19" t="s">
        <v>132</v>
      </c>
      <c r="B17" s="21">
        <v>45870</v>
      </c>
      <c r="C17" s="22" t="s">
        <v>2869</v>
      </c>
      <c r="D17" s="23" t="s">
        <v>2870</v>
      </c>
      <c r="E17" s="21">
        <v>45870</v>
      </c>
      <c r="F17" s="23" t="s">
        <v>129</v>
      </c>
      <c r="G17" s="23" t="s">
        <v>2872</v>
      </c>
      <c r="H17" s="23" t="s">
        <v>24</v>
      </c>
      <c r="I17" s="23" t="s">
        <v>61</v>
      </c>
      <c r="J17" s="23"/>
      <c r="K17" s="23" t="s">
        <v>6</v>
      </c>
      <c r="L17" s="123">
        <f t="shared" si="1"/>
        <v>50</v>
      </c>
      <c r="M17" s="24">
        <v>80</v>
      </c>
      <c r="N17" s="123">
        <v>0</v>
      </c>
      <c r="O17" s="138">
        <v>4000</v>
      </c>
      <c r="P17" s="138">
        <f t="shared" si="2"/>
        <v>4000</v>
      </c>
      <c r="Q17" s="138">
        <v>0</v>
      </c>
      <c r="R17" s="138"/>
      <c r="S17" s="138">
        <v>0</v>
      </c>
      <c r="T17" s="138">
        <f t="shared" si="3"/>
        <v>4000</v>
      </c>
      <c r="U17" s="29">
        <v>50</v>
      </c>
    </row>
    <row r="18" spans="1:22" s="28" customFormat="1" ht="15.45" x14ac:dyDescent="0.4">
      <c r="A18" s="19" t="s">
        <v>132</v>
      </c>
      <c r="B18" s="21">
        <v>45870</v>
      </c>
      <c r="C18" s="22" t="s">
        <v>2869</v>
      </c>
      <c r="D18" s="23" t="s">
        <v>2870</v>
      </c>
      <c r="E18" s="21">
        <v>45870</v>
      </c>
      <c r="F18" s="23" t="s">
        <v>129</v>
      </c>
      <c r="G18" s="23" t="s">
        <v>2629</v>
      </c>
      <c r="H18" s="23" t="s">
        <v>24</v>
      </c>
      <c r="I18" s="23" t="s">
        <v>61</v>
      </c>
      <c r="J18" s="23"/>
      <c r="K18" s="23" t="s">
        <v>6</v>
      </c>
      <c r="L18" s="123">
        <f t="shared" si="1"/>
        <v>3</v>
      </c>
      <c r="M18" s="24">
        <v>15000</v>
      </c>
      <c r="N18" s="123">
        <v>0</v>
      </c>
      <c r="O18" s="138">
        <v>45000</v>
      </c>
      <c r="P18" s="138">
        <f t="shared" si="2"/>
        <v>45000</v>
      </c>
      <c r="Q18" s="138">
        <v>0</v>
      </c>
      <c r="R18" s="138"/>
      <c r="S18" s="138">
        <v>0</v>
      </c>
      <c r="T18" s="138">
        <f t="shared" si="3"/>
        <v>45000</v>
      </c>
      <c r="U18" s="29">
        <v>3</v>
      </c>
    </row>
    <row r="19" spans="1:22" s="28" customFormat="1" ht="15.45" x14ac:dyDescent="0.4">
      <c r="A19" s="19" t="s">
        <v>132</v>
      </c>
      <c r="B19" s="21">
        <v>45870</v>
      </c>
      <c r="C19" s="22" t="s">
        <v>2869</v>
      </c>
      <c r="D19" s="23" t="s">
        <v>2870</v>
      </c>
      <c r="E19" s="21">
        <v>45870</v>
      </c>
      <c r="F19" s="23" t="s">
        <v>129</v>
      </c>
      <c r="G19" s="23" t="s">
        <v>90</v>
      </c>
      <c r="H19" s="23" t="s">
        <v>24</v>
      </c>
      <c r="I19" s="23" t="s">
        <v>61</v>
      </c>
      <c r="J19" s="23"/>
      <c r="K19" s="23" t="s">
        <v>6</v>
      </c>
      <c r="L19" s="123">
        <f t="shared" si="1"/>
        <v>60</v>
      </c>
      <c r="M19" s="24">
        <v>3250</v>
      </c>
      <c r="N19" s="123">
        <v>0</v>
      </c>
      <c r="O19" s="138">
        <v>195000</v>
      </c>
      <c r="P19" s="138">
        <f t="shared" si="2"/>
        <v>195000</v>
      </c>
      <c r="Q19" s="138">
        <v>0</v>
      </c>
      <c r="R19" s="138"/>
      <c r="S19" s="138">
        <v>0</v>
      </c>
      <c r="T19" s="138">
        <f t="shared" si="3"/>
        <v>195000</v>
      </c>
      <c r="U19" s="29">
        <v>60</v>
      </c>
    </row>
    <row r="20" spans="1:22" s="28" customFormat="1" ht="15.45" x14ac:dyDescent="0.4">
      <c r="A20" s="19" t="s">
        <v>117</v>
      </c>
      <c r="B20" s="21">
        <v>45870</v>
      </c>
      <c r="C20" s="22" t="s">
        <v>2873</v>
      </c>
      <c r="D20" s="23" t="s">
        <v>2874</v>
      </c>
      <c r="E20" s="21">
        <v>45870</v>
      </c>
      <c r="F20" s="23" t="s">
        <v>68</v>
      </c>
      <c r="G20" s="23" t="s">
        <v>637</v>
      </c>
      <c r="H20" s="23" t="s">
        <v>24</v>
      </c>
      <c r="I20" s="23" t="s">
        <v>61</v>
      </c>
      <c r="J20" s="139" t="s">
        <v>3092</v>
      </c>
      <c r="K20" s="23" t="s">
        <v>3</v>
      </c>
      <c r="L20" s="123">
        <f t="shared" si="1"/>
        <v>5</v>
      </c>
      <c r="M20" s="24">
        <v>30180.2</v>
      </c>
      <c r="N20" s="123">
        <v>0</v>
      </c>
      <c r="O20" s="138">
        <v>150901</v>
      </c>
      <c r="P20" s="138">
        <f t="shared" si="2"/>
        <v>150901</v>
      </c>
      <c r="Q20" s="141">
        <v>16599.11</v>
      </c>
      <c r="R20" s="138"/>
      <c r="S20" s="138">
        <v>0</v>
      </c>
      <c r="T20" s="138">
        <f t="shared" si="3"/>
        <v>167500.10999999999</v>
      </c>
      <c r="U20" s="29">
        <v>5</v>
      </c>
    </row>
    <row r="21" spans="1:22" s="28" customFormat="1" ht="15.45" x14ac:dyDescent="0.4">
      <c r="A21" s="19" t="s">
        <v>150</v>
      </c>
      <c r="B21" s="21">
        <v>45870</v>
      </c>
      <c r="C21" s="22" t="s">
        <v>2875</v>
      </c>
      <c r="D21" s="23" t="s">
        <v>2876</v>
      </c>
      <c r="E21" s="21">
        <v>45870</v>
      </c>
      <c r="F21" s="23" t="s">
        <v>147</v>
      </c>
      <c r="G21" s="23" t="s">
        <v>2877</v>
      </c>
      <c r="H21" s="23" t="s">
        <v>24</v>
      </c>
      <c r="I21" s="23" t="s">
        <v>61</v>
      </c>
      <c r="J21" s="23"/>
      <c r="K21" s="23" t="s">
        <v>2155</v>
      </c>
      <c r="L21" s="123">
        <f t="shared" si="1"/>
        <v>2</v>
      </c>
      <c r="M21" s="24">
        <v>275000</v>
      </c>
      <c r="N21" s="123">
        <v>0</v>
      </c>
      <c r="O21" s="138">
        <v>550000</v>
      </c>
      <c r="P21" s="138">
        <f t="shared" si="2"/>
        <v>550000</v>
      </c>
      <c r="Q21" s="138">
        <v>0</v>
      </c>
      <c r="R21" s="138"/>
      <c r="S21" s="138">
        <v>0</v>
      </c>
      <c r="T21" s="138">
        <f t="shared" si="3"/>
        <v>550000</v>
      </c>
      <c r="U21" s="29">
        <v>2</v>
      </c>
    </row>
    <row r="22" spans="1:22" s="28" customFormat="1" ht="15.45" x14ac:dyDescent="0.4">
      <c r="A22" s="19" t="s">
        <v>150</v>
      </c>
      <c r="B22" s="21">
        <v>45870</v>
      </c>
      <c r="C22" s="22" t="s">
        <v>2875</v>
      </c>
      <c r="D22" s="23" t="s">
        <v>2876</v>
      </c>
      <c r="E22" s="21">
        <v>45870</v>
      </c>
      <c r="F22" s="23" t="s">
        <v>147</v>
      </c>
      <c r="G22" s="23" t="s">
        <v>2878</v>
      </c>
      <c r="H22" s="23" t="s">
        <v>24</v>
      </c>
      <c r="I22" s="23" t="s">
        <v>61</v>
      </c>
      <c r="J22" s="23"/>
      <c r="K22" s="23" t="s">
        <v>145</v>
      </c>
      <c r="L22" s="123">
        <f t="shared" si="1"/>
        <v>10</v>
      </c>
      <c r="M22" s="24">
        <v>15000</v>
      </c>
      <c r="N22" s="123">
        <v>0</v>
      </c>
      <c r="O22" s="138">
        <v>150000</v>
      </c>
      <c r="P22" s="138">
        <f t="shared" si="2"/>
        <v>150000</v>
      </c>
      <c r="Q22" s="138">
        <v>0</v>
      </c>
      <c r="R22" s="138"/>
      <c r="S22" s="138">
        <v>0</v>
      </c>
      <c r="T22" s="138">
        <f t="shared" si="3"/>
        <v>150000</v>
      </c>
      <c r="U22" s="29">
        <v>10</v>
      </c>
    </row>
    <row r="23" spans="1:22" s="28" customFormat="1" ht="15.45" x14ac:dyDescent="0.4">
      <c r="A23" s="19" t="s">
        <v>150</v>
      </c>
      <c r="B23" s="21">
        <v>45870</v>
      </c>
      <c r="C23" s="22" t="s">
        <v>2879</v>
      </c>
      <c r="D23" s="23" t="s">
        <v>2880</v>
      </c>
      <c r="E23" s="21">
        <v>45870</v>
      </c>
      <c r="F23" s="23" t="s">
        <v>147</v>
      </c>
      <c r="G23" s="23" t="s">
        <v>2154</v>
      </c>
      <c r="H23" s="23" t="s">
        <v>24</v>
      </c>
      <c r="I23" s="23" t="s">
        <v>61</v>
      </c>
      <c r="J23" s="23"/>
      <c r="K23" s="23" t="s">
        <v>2155</v>
      </c>
      <c r="L23" s="123">
        <f t="shared" si="1"/>
        <v>1</v>
      </c>
      <c r="M23" s="24">
        <v>330000</v>
      </c>
      <c r="N23" s="123">
        <v>0</v>
      </c>
      <c r="O23" s="138">
        <v>330000</v>
      </c>
      <c r="P23" s="138">
        <f t="shared" si="2"/>
        <v>330000</v>
      </c>
      <c r="Q23" s="138">
        <v>0</v>
      </c>
      <c r="R23" s="138"/>
      <c r="S23" s="138">
        <v>0</v>
      </c>
      <c r="T23" s="138">
        <f t="shared" si="3"/>
        <v>330000</v>
      </c>
      <c r="U23" s="29">
        <v>1</v>
      </c>
    </row>
    <row r="24" spans="1:22" s="28" customFormat="1" ht="15.45" x14ac:dyDescent="0.4">
      <c r="A24" s="19" t="s">
        <v>117</v>
      </c>
      <c r="B24" s="21">
        <v>45870</v>
      </c>
      <c r="C24" s="22" t="s">
        <v>2881</v>
      </c>
      <c r="D24" s="23" t="s">
        <v>2882</v>
      </c>
      <c r="E24" s="21">
        <v>45870</v>
      </c>
      <c r="F24" s="23" t="s">
        <v>68</v>
      </c>
      <c r="G24" s="23" t="s">
        <v>2883</v>
      </c>
      <c r="H24" s="23" t="s">
        <v>24</v>
      </c>
      <c r="I24" s="23" t="s">
        <v>61</v>
      </c>
      <c r="J24" s="139" t="s">
        <v>3093</v>
      </c>
      <c r="K24" s="23" t="s">
        <v>135</v>
      </c>
      <c r="L24" s="24">
        <f t="shared" si="1"/>
        <v>2.5</v>
      </c>
      <c r="M24" s="24">
        <v>477477.5</v>
      </c>
      <c r="N24" s="123">
        <v>0</v>
      </c>
      <c r="O24" s="138">
        <v>1193693.75</v>
      </c>
      <c r="P24" s="138">
        <f t="shared" si="2"/>
        <v>1193693.75</v>
      </c>
      <c r="Q24" s="141">
        <v>131306.3125</v>
      </c>
      <c r="R24" s="138"/>
      <c r="S24" s="138">
        <v>0</v>
      </c>
      <c r="T24" s="138">
        <f t="shared" si="3"/>
        <v>1325000.0625</v>
      </c>
      <c r="U24" s="29">
        <v>2.5</v>
      </c>
    </row>
    <row r="25" spans="1:22" s="28" customFormat="1" ht="15.45" x14ac:dyDescent="0.4">
      <c r="A25" s="19" t="s">
        <v>117</v>
      </c>
      <c r="B25" s="21">
        <v>45870</v>
      </c>
      <c r="C25" s="22" t="s">
        <v>2881</v>
      </c>
      <c r="D25" s="23" t="s">
        <v>2882</v>
      </c>
      <c r="E25" s="21">
        <v>45870</v>
      </c>
      <c r="F25" s="23" t="s">
        <v>68</v>
      </c>
      <c r="G25" s="23" t="s">
        <v>2884</v>
      </c>
      <c r="H25" s="23" t="s">
        <v>24</v>
      </c>
      <c r="I25" s="23" t="s">
        <v>61</v>
      </c>
      <c r="J25" s="139" t="s">
        <v>3093</v>
      </c>
      <c r="K25" s="23" t="s">
        <v>1</v>
      </c>
      <c r="L25" s="123">
        <f t="shared" si="1"/>
        <v>1</v>
      </c>
      <c r="M25" s="24">
        <v>12613</v>
      </c>
      <c r="N25" s="123">
        <v>0</v>
      </c>
      <c r="O25" s="138">
        <v>12613</v>
      </c>
      <c r="P25" s="138">
        <f t="shared" si="2"/>
        <v>12613</v>
      </c>
      <c r="Q25" s="141">
        <v>1387.43</v>
      </c>
      <c r="R25" s="138"/>
      <c r="S25" s="138">
        <v>0</v>
      </c>
      <c r="T25" s="138">
        <f t="shared" si="3"/>
        <v>14000.43</v>
      </c>
      <c r="U25" s="29">
        <v>1</v>
      </c>
    </row>
    <row r="26" spans="1:22" s="28" customFormat="1" ht="15.45" x14ac:dyDescent="0.4">
      <c r="A26" s="19" t="s">
        <v>117</v>
      </c>
      <c r="B26" s="21">
        <v>45870</v>
      </c>
      <c r="C26" s="22" t="s">
        <v>2881</v>
      </c>
      <c r="D26" s="23" t="s">
        <v>2882</v>
      </c>
      <c r="E26" s="21">
        <v>45870</v>
      </c>
      <c r="F26" s="23" t="s">
        <v>68</v>
      </c>
      <c r="G26" s="23" t="s">
        <v>2885</v>
      </c>
      <c r="H26" s="23" t="s">
        <v>24</v>
      </c>
      <c r="I26" s="23" t="s">
        <v>61</v>
      </c>
      <c r="J26" s="139" t="s">
        <v>3093</v>
      </c>
      <c r="K26" s="23" t="s">
        <v>1181</v>
      </c>
      <c r="L26" s="123">
        <f t="shared" si="1"/>
        <v>4</v>
      </c>
      <c r="M26" s="24">
        <v>54054.1</v>
      </c>
      <c r="N26" s="123">
        <v>0</v>
      </c>
      <c r="O26" s="138">
        <v>216216.4</v>
      </c>
      <c r="P26" s="138">
        <f t="shared" si="2"/>
        <v>216216.4</v>
      </c>
      <c r="Q26" s="141">
        <v>23783.804</v>
      </c>
      <c r="R26" s="138"/>
      <c r="S26" s="138">
        <v>0</v>
      </c>
      <c r="T26" s="138">
        <f t="shared" si="3"/>
        <v>240000.204</v>
      </c>
      <c r="U26" s="29">
        <v>4</v>
      </c>
    </row>
    <row r="27" spans="1:22" s="28" customFormat="1" ht="15.45" x14ac:dyDescent="0.4">
      <c r="A27" s="19" t="s">
        <v>117</v>
      </c>
      <c r="B27" s="21">
        <v>45870</v>
      </c>
      <c r="C27" s="22" t="s">
        <v>2881</v>
      </c>
      <c r="D27" s="23" t="s">
        <v>2882</v>
      </c>
      <c r="E27" s="21">
        <v>45870</v>
      </c>
      <c r="F27" s="23" t="s">
        <v>68</v>
      </c>
      <c r="G27" s="23" t="s">
        <v>1344</v>
      </c>
      <c r="H27" s="23" t="s">
        <v>24</v>
      </c>
      <c r="I27" s="23" t="s">
        <v>61</v>
      </c>
      <c r="J27" s="139" t="s">
        <v>3093</v>
      </c>
      <c r="K27" s="23" t="s">
        <v>1</v>
      </c>
      <c r="L27" s="123">
        <f t="shared" si="1"/>
        <v>2</v>
      </c>
      <c r="M27" s="24">
        <v>12162.2</v>
      </c>
      <c r="N27" s="123">
        <v>0</v>
      </c>
      <c r="O27" s="138">
        <v>24324.400000000001</v>
      </c>
      <c r="P27" s="138">
        <f t="shared" si="2"/>
        <v>24324.400000000001</v>
      </c>
      <c r="Q27" s="141">
        <v>2675.6840000000002</v>
      </c>
      <c r="R27" s="138"/>
      <c r="S27" s="138">
        <v>0</v>
      </c>
      <c r="T27" s="138">
        <f t="shared" si="3"/>
        <v>27000.084000000003</v>
      </c>
      <c r="U27" s="29">
        <v>2</v>
      </c>
    </row>
    <row r="28" spans="1:22" s="28" customFormat="1" ht="15.45" x14ac:dyDescent="0.4">
      <c r="A28" s="19" t="s">
        <v>117</v>
      </c>
      <c r="B28" s="21">
        <v>45870</v>
      </c>
      <c r="C28" s="22" t="s">
        <v>2881</v>
      </c>
      <c r="D28" s="23" t="s">
        <v>2882</v>
      </c>
      <c r="E28" s="21">
        <v>45870</v>
      </c>
      <c r="F28" s="23" t="s">
        <v>68</v>
      </c>
      <c r="G28" s="23" t="s">
        <v>1196</v>
      </c>
      <c r="H28" s="23" t="s">
        <v>24</v>
      </c>
      <c r="I28" s="23" t="s">
        <v>61</v>
      </c>
      <c r="J28" s="139" t="s">
        <v>3093</v>
      </c>
      <c r="K28" s="23" t="s">
        <v>1181</v>
      </c>
      <c r="L28" s="123">
        <f t="shared" si="1"/>
        <v>5</v>
      </c>
      <c r="M28" s="24">
        <v>66216.2</v>
      </c>
      <c r="N28" s="123">
        <v>0</v>
      </c>
      <c r="O28" s="138">
        <v>331081</v>
      </c>
      <c r="P28" s="138">
        <f t="shared" si="2"/>
        <v>331081</v>
      </c>
      <c r="Q28" s="141">
        <v>36418.910000000003</v>
      </c>
      <c r="R28" s="138"/>
      <c r="S28" s="138">
        <v>0</v>
      </c>
      <c r="T28" s="138">
        <f t="shared" si="3"/>
        <v>367499.91000000003</v>
      </c>
      <c r="U28" s="29">
        <v>5</v>
      </c>
    </row>
    <row r="29" spans="1:22" s="28" customFormat="1" ht="15.45" x14ac:dyDescent="0.4">
      <c r="A29" s="19" t="s">
        <v>99</v>
      </c>
      <c r="B29" s="21">
        <v>45873</v>
      </c>
      <c r="C29" s="22" t="s">
        <v>2886</v>
      </c>
      <c r="D29" s="23" t="s">
        <v>2887</v>
      </c>
      <c r="E29" s="21">
        <v>45870</v>
      </c>
      <c r="F29" s="23" t="s">
        <v>64</v>
      </c>
      <c r="G29" s="23" t="s">
        <v>43</v>
      </c>
      <c r="H29" s="23" t="s">
        <v>23</v>
      </c>
      <c r="I29" s="23" t="s">
        <v>887</v>
      </c>
      <c r="J29" s="139" t="s">
        <v>2951</v>
      </c>
      <c r="K29" s="23" t="s">
        <v>1</v>
      </c>
      <c r="L29" s="123">
        <f t="shared" si="1"/>
        <v>1</v>
      </c>
      <c r="M29" s="24">
        <v>1550000</v>
      </c>
      <c r="N29" s="123">
        <v>0</v>
      </c>
      <c r="O29" s="138">
        <v>1550000</v>
      </c>
      <c r="P29" s="138">
        <f t="shared" si="2"/>
        <v>1550000</v>
      </c>
      <c r="Q29" s="141">
        <v>170500</v>
      </c>
      <c r="R29" s="138"/>
      <c r="S29" s="138">
        <v>0</v>
      </c>
      <c r="T29" s="138">
        <f t="shared" si="3"/>
        <v>1720500</v>
      </c>
      <c r="U29" s="29">
        <v>1</v>
      </c>
      <c r="V29" s="28" t="e">
        <v>#VALUE!</v>
      </c>
    </row>
    <row r="30" spans="1:22" s="28" customFormat="1" ht="15.45" x14ac:dyDescent="0.4">
      <c r="A30" s="19" t="s">
        <v>99</v>
      </c>
      <c r="B30" s="21">
        <v>45873</v>
      </c>
      <c r="C30" s="22" t="s">
        <v>2886</v>
      </c>
      <c r="D30" s="23" t="s">
        <v>2887</v>
      </c>
      <c r="E30" s="21">
        <v>45870</v>
      </c>
      <c r="F30" s="23" t="s">
        <v>64</v>
      </c>
      <c r="G30" s="23" t="s">
        <v>126</v>
      </c>
      <c r="H30" s="23" t="s">
        <v>23</v>
      </c>
      <c r="I30" s="23" t="s">
        <v>887</v>
      </c>
      <c r="J30" s="139" t="s">
        <v>2951</v>
      </c>
      <c r="K30" s="23" t="s">
        <v>0</v>
      </c>
      <c r="L30" s="123">
        <f t="shared" si="1"/>
        <v>300</v>
      </c>
      <c r="M30" s="24">
        <v>13180</v>
      </c>
      <c r="N30" s="123">
        <v>0</v>
      </c>
      <c r="O30" s="138">
        <v>3954000</v>
      </c>
      <c r="P30" s="138">
        <f t="shared" si="2"/>
        <v>3954000</v>
      </c>
      <c r="Q30" s="141">
        <v>434940</v>
      </c>
      <c r="R30" s="138"/>
      <c r="S30" s="138">
        <v>0</v>
      </c>
      <c r="T30" s="138">
        <f t="shared" si="3"/>
        <v>4388940</v>
      </c>
      <c r="U30" s="29">
        <v>300</v>
      </c>
      <c r="V30" s="28" t="e">
        <v>#VALUE!</v>
      </c>
    </row>
    <row r="31" spans="1:22" s="28" customFormat="1" ht="15.45" x14ac:dyDescent="0.4">
      <c r="A31" s="19" t="s">
        <v>105</v>
      </c>
      <c r="B31" s="21">
        <v>45873</v>
      </c>
      <c r="C31" s="22" t="s">
        <v>2888</v>
      </c>
      <c r="D31" s="23" t="s">
        <v>2671</v>
      </c>
      <c r="E31" s="21">
        <v>45840</v>
      </c>
      <c r="F31" s="23" t="s">
        <v>85</v>
      </c>
      <c r="G31" s="23" t="s">
        <v>660</v>
      </c>
      <c r="H31" s="23" t="s">
        <v>23</v>
      </c>
      <c r="I31" s="23" t="s">
        <v>890</v>
      </c>
      <c r="J31" s="139" t="s">
        <v>3081</v>
      </c>
      <c r="K31" s="23" t="s">
        <v>1</v>
      </c>
      <c r="L31" s="123">
        <f t="shared" si="1"/>
        <v>1740</v>
      </c>
      <c r="M31" s="24">
        <v>23509</v>
      </c>
      <c r="N31" s="123">
        <v>16213</v>
      </c>
      <c r="O31" s="138">
        <v>40905660</v>
      </c>
      <c r="P31" s="138">
        <f t="shared" si="2"/>
        <v>40905660</v>
      </c>
      <c r="Q31" s="141">
        <v>4499622.5999999996</v>
      </c>
      <c r="R31" s="138"/>
      <c r="S31" s="138">
        <v>0</v>
      </c>
      <c r="T31" s="138">
        <f t="shared" si="3"/>
        <v>45405282.600000001</v>
      </c>
      <c r="U31" s="29">
        <v>1740</v>
      </c>
      <c r="V31" s="28" t="e">
        <v>#VALUE!</v>
      </c>
    </row>
    <row r="32" spans="1:22" s="28" customFormat="1" ht="15.45" x14ac:dyDescent="0.4">
      <c r="A32" s="19" t="s">
        <v>863</v>
      </c>
      <c r="B32" s="21">
        <v>45873</v>
      </c>
      <c r="C32" s="22" t="s">
        <v>2889</v>
      </c>
      <c r="D32" s="23" t="s">
        <v>2890</v>
      </c>
      <c r="E32" s="21">
        <v>45868</v>
      </c>
      <c r="F32" s="23" t="s">
        <v>834</v>
      </c>
      <c r="G32" s="23" t="s">
        <v>835</v>
      </c>
      <c r="H32" s="23" t="s">
        <v>24</v>
      </c>
      <c r="I32" s="23" t="s">
        <v>61</v>
      </c>
      <c r="J32" s="139" t="s">
        <v>2952</v>
      </c>
      <c r="K32" s="23" t="s">
        <v>4</v>
      </c>
      <c r="L32" s="123">
        <f t="shared" si="1"/>
        <v>40</v>
      </c>
      <c r="M32" s="24">
        <v>80000</v>
      </c>
      <c r="N32" s="123">
        <v>0</v>
      </c>
      <c r="O32" s="138">
        <v>3200000</v>
      </c>
      <c r="P32" s="138">
        <f t="shared" si="2"/>
        <v>3200000</v>
      </c>
      <c r="Q32" s="141">
        <v>352000</v>
      </c>
      <c r="R32" s="138"/>
      <c r="S32" s="138">
        <v>0</v>
      </c>
      <c r="T32" s="138">
        <f t="shared" si="3"/>
        <v>3552000</v>
      </c>
      <c r="U32" s="29">
        <v>40</v>
      </c>
    </row>
    <row r="33" spans="1:22" s="28" customFormat="1" ht="15.45" x14ac:dyDescent="0.4">
      <c r="A33" s="19" t="s">
        <v>104</v>
      </c>
      <c r="B33" s="21">
        <v>45873</v>
      </c>
      <c r="C33" s="22" t="s">
        <v>2891</v>
      </c>
      <c r="D33" s="23" t="s">
        <v>2711</v>
      </c>
      <c r="E33" s="21">
        <v>45828</v>
      </c>
      <c r="F33" s="23" t="s">
        <v>73</v>
      </c>
      <c r="G33" s="23" t="s">
        <v>2712</v>
      </c>
      <c r="H33" s="23" t="s">
        <v>24</v>
      </c>
      <c r="I33" s="23" t="s">
        <v>61</v>
      </c>
      <c r="J33" s="139" t="s">
        <v>3028</v>
      </c>
      <c r="K33" s="23" t="s">
        <v>6</v>
      </c>
      <c r="L33" s="123">
        <f t="shared" si="1"/>
        <v>1</v>
      </c>
      <c r="M33" s="24">
        <v>895000</v>
      </c>
      <c r="N33" s="123">
        <v>0</v>
      </c>
      <c r="O33" s="138">
        <v>895000</v>
      </c>
      <c r="P33" s="138">
        <f t="shared" si="2"/>
        <v>895000</v>
      </c>
      <c r="Q33" s="141">
        <v>98450</v>
      </c>
      <c r="R33" s="138"/>
      <c r="S33" s="138">
        <v>0</v>
      </c>
      <c r="T33" s="138">
        <f t="shared" si="3"/>
        <v>993450</v>
      </c>
      <c r="U33" s="29">
        <v>1</v>
      </c>
    </row>
    <row r="34" spans="1:22" s="28" customFormat="1" ht="15.45" x14ac:dyDescent="0.4">
      <c r="A34" s="19" t="s">
        <v>118</v>
      </c>
      <c r="B34" s="21">
        <v>45875</v>
      </c>
      <c r="C34" s="22" t="s">
        <v>2896</v>
      </c>
      <c r="D34" s="23"/>
      <c r="E34" s="21"/>
      <c r="F34" s="23" t="s">
        <v>217</v>
      </c>
      <c r="G34" s="23" t="s">
        <v>2897</v>
      </c>
      <c r="H34" s="23" t="s">
        <v>119</v>
      </c>
      <c r="I34" s="23" t="s">
        <v>120</v>
      </c>
      <c r="J34" s="23"/>
      <c r="K34" s="23" t="s">
        <v>135</v>
      </c>
      <c r="L34" s="123">
        <v>5723</v>
      </c>
      <c r="M34" s="24">
        <v>8500</v>
      </c>
      <c r="N34" s="123"/>
      <c r="O34" s="138">
        <f>L34*M34</f>
        <v>48645500</v>
      </c>
      <c r="P34" s="138">
        <f t="shared" si="2"/>
        <v>48645500</v>
      </c>
      <c r="Q34" s="138">
        <v>0</v>
      </c>
      <c r="R34" s="138"/>
      <c r="S34" s="138"/>
      <c r="T34" s="138">
        <f>P34</f>
        <v>48645500</v>
      </c>
      <c r="U34" s="29"/>
    </row>
    <row r="35" spans="1:22" s="28" customFormat="1" ht="15.45" x14ac:dyDescent="0.4">
      <c r="A35" s="19" t="s">
        <v>1945</v>
      </c>
      <c r="B35" s="21">
        <v>45873</v>
      </c>
      <c r="C35" s="22" t="s">
        <v>2898</v>
      </c>
      <c r="D35" s="23" t="s">
        <v>2899</v>
      </c>
      <c r="E35" s="21">
        <v>45870</v>
      </c>
      <c r="F35" s="23" t="s">
        <v>1934</v>
      </c>
      <c r="G35" s="23" t="s">
        <v>2900</v>
      </c>
      <c r="H35" s="23" t="s">
        <v>24</v>
      </c>
      <c r="I35" s="23" t="s">
        <v>61</v>
      </c>
      <c r="J35" s="139" t="s">
        <v>3026</v>
      </c>
      <c r="K35" s="23" t="s">
        <v>5</v>
      </c>
      <c r="L35" s="123">
        <f t="shared" ref="L35:L80" si="4">IF(LEFT(C35,2)="RP",U35*-1,U35)</f>
        <v>100</v>
      </c>
      <c r="M35" s="24">
        <v>18000</v>
      </c>
      <c r="N35" s="123">
        <v>0</v>
      </c>
      <c r="O35" s="138">
        <v>1800000</v>
      </c>
      <c r="P35" s="138">
        <f t="shared" si="2"/>
        <v>1800000</v>
      </c>
      <c r="Q35" s="141">
        <v>198000</v>
      </c>
      <c r="R35" s="138"/>
      <c r="S35" s="138">
        <v>0</v>
      </c>
      <c r="T35" s="138">
        <f t="shared" ref="T35:T40" si="5">P35+Q35-S35</f>
        <v>1998000</v>
      </c>
      <c r="U35" s="29">
        <v>100</v>
      </c>
    </row>
    <row r="36" spans="1:22" s="28" customFormat="1" ht="15.45" x14ac:dyDescent="0.4">
      <c r="A36" s="19" t="s">
        <v>108</v>
      </c>
      <c r="B36" s="21">
        <v>45873</v>
      </c>
      <c r="C36" s="22" t="s">
        <v>2901</v>
      </c>
      <c r="D36" s="23" t="s">
        <v>2902</v>
      </c>
      <c r="E36" s="21">
        <v>45870</v>
      </c>
      <c r="F36" s="23" t="s">
        <v>51</v>
      </c>
      <c r="G36" s="23" t="s">
        <v>2903</v>
      </c>
      <c r="H36" s="23" t="s">
        <v>24</v>
      </c>
      <c r="I36" s="23" t="s">
        <v>61</v>
      </c>
      <c r="J36" s="139" t="s">
        <v>2944</v>
      </c>
      <c r="K36" s="23" t="s">
        <v>140</v>
      </c>
      <c r="L36" s="123">
        <f t="shared" si="4"/>
        <v>2</v>
      </c>
      <c r="M36" s="24">
        <v>150000</v>
      </c>
      <c r="N36" s="123">
        <v>0</v>
      </c>
      <c r="O36" s="138">
        <v>300000</v>
      </c>
      <c r="P36" s="138">
        <f t="shared" si="2"/>
        <v>300000</v>
      </c>
      <c r="Q36" s="141">
        <v>33000</v>
      </c>
      <c r="R36" s="138"/>
      <c r="S36" s="138">
        <v>0</v>
      </c>
      <c r="T36" s="138">
        <f t="shared" si="5"/>
        <v>333000</v>
      </c>
      <c r="U36" s="29">
        <v>2</v>
      </c>
    </row>
    <row r="37" spans="1:22" s="28" customFormat="1" ht="15.45" x14ac:dyDescent="0.4">
      <c r="A37" s="19" t="s">
        <v>200</v>
      </c>
      <c r="B37" s="21">
        <v>45874</v>
      </c>
      <c r="C37" s="22" t="s">
        <v>2904</v>
      </c>
      <c r="D37" s="23" t="s">
        <v>2905</v>
      </c>
      <c r="E37" s="21">
        <v>45873</v>
      </c>
      <c r="F37" s="23" t="s">
        <v>194</v>
      </c>
      <c r="G37" s="23" t="s">
        <v>195</v>
      </c>
      <c r="H37" s="23" t="s">
        <v>23</v>
      </c>
      <c r="I37" s="23" t="s">
        <v>888</v>
      </c>
      <c r="J37" s="23"/>
      <c r="K37" s="23" t="s">
        <v>1</v>
      </c>
      <c r="L37" s="123">
        <f t="shared" si="4"/>
        <v>300</v>
      </c>
      <c r="M37" s="24">
        <v>17000</v>
      </c>
      <c r="N37" s="123">
        <v>0</v>
      </c>
      <c r="O37" s="138">
        <v>5100000</v>
      </c>
      <c r="P37" s="138">
        <f t="shared" si="2"/>
        <v>5100000</v>
      </c>
      <c r="Q37" s="138">
        <v>561000</v>
      </c>
      <c r="R37" s="138"/>
      <c r="S37" s="138">
        <v>0</v>
      </c>
      <c r="T37" s="138">
        <f t="shared" si="5"/>
        <v>5661000</v>
      </c>
      <c r="U37" s="29">
        <v>300</v>
      </c>
      <c r="V37" s="28" t="e">
        <v>#VALUE!</v>
      </c>
    </row>
    <row r="38" spans="1:22" s="28" customFormat="1" ht="15.45" x14ac:dyDescent="0.4">
      <c r="A38" s="19" t="s">
        <v>592</v>
      </c>
      <c r="B38" s="21">
        <v>45875</v>
      </c>
      <c r="C38" s="22" t="s">
        <v>2906</v>
      </c>
      <c r="D38" s="23" t="s">
        <v>2907</v>
      </c>
      <c r="E38" s="21">
        <v>45873</v>
      </c>
      <c r="F38" s="23" t="s">
        <v>585</v>
      </c>
      <c r="G38" s="23" t="s">
        <v>786</v>
      </c>
      <c r="H38" s="23" t="s">
        <v>23</v>
      </c>
      <c r="I38" s="23" t="s">
        <v>886</v>
      </c>
      <c r="J38" s="139" t="s">
        <v>3257</v>
      </c>
      <c r="K38" s="23" t="s">
        <v>1</v>
      </c>
      <c r="L38" s="123">
        <f t="shared" si="4"/>
        <v>400</v>
      </c>
      <c r="M38" s="24">
        <v>60680</v>
      </c>
      <c r="N38" s="123">
        <v>16482</v>
      </c>
      <c r="O38" s="138">
        <v>24272000</v>
      </c>
      <c r="P38" s="138">
        <f t="shared" si="2"/>
        <v>24272000</v>
      </c>
      <c r="Q38" s="141">
        <v>2669920</v>
      </c>
      <c r="R38" s="138"/>
      <c r="S38" s="138">
        <v>0</v>
      </c>
      <c r="T38" s="138">
        <f t="shared" si="5"/>
        <v>26941920</v>
      </c>
      <c r="U38" s="29">
        <v>400</v>
      </c>
      <c r="V38" s="28" t="e">
        <v>#VALUE!</v>
      </c>
    </row>
    <row r="39" spans="1:22" s="28" customFormat="1" ht="15.45" x14ac:dyDescent="0.4">
      <c r="A39" s="19" t="s">
        <v>114</v>
      </c>
      <c r="B39" s="21">
        <v>45875</v>
      </c>
      <c r="C39" s="22" t="s">
        <v>2908</v>
      </c>
      <c r="D39" s="23" t="s">
        <v>2909</v>
      </c>
      <c r="E39" s="21">
        <v>45870</v>
      </c>
      <c r="F39" s="23" t="s">
        <v>71</v>
      </c>
      <c r="G39" s="23" t="s">
        <v>76</v>
      </c>
      <c r="H39" s="23" t="s">
        <v>23</v>
      </c>
      <c r="I39" s="23" t="s">
        <v>978</v>
      </c>
      <c r="J39" s="139" t="s">
        <v>3245</v>
      </c>
      <c r="K39" s="23" t="s">
        <v>1</v>
      </c>
      <c r="L39" s="123">
        <f t="shared" si="4"/>
        <v>1000</v>
      </c>
      <c r="M39" s="24">
        <v>28844</v>
      </c>
      <c r="N39" s="123">
        <v>16482</v>
      </c>
      <c r="O39" s="138">
        <v>28844000</v>
      </c>
      <c r="P39" s="138">
        <f t="shared" si="2"/>
        <v>28844000</v>
      </c>
      <c r="Q39" s="141">
        <v>3172840</v>
      </c>
      <c r="R39" s="138"/>
      <c r="S39" s="138">
        <v>0</v>
      </c>
      <c r="T39" s="138">
        <f t="shared" si="5"/>
        <v>32016840</v>
      </c>
      <c r="U39" s="29">
        <v>1000</v>
      </c>
      <c r="V39" s="28" t="e">
        <v>#VALUE!</v>
      </c>
    </row>
    <row r="40" spans="1:22" s="28" customFormat="1" ht="15.45" x14ac:dyDescent="0.4">
      <c r="A40" s="19" t="s">
        <v>693</v>
      </c>
      <c r="B40" s="21">
        <v>45875</v>
      </c>
      <c r="C40" s="22" t="s">
        <v>2910</v>
      </c>
      <c r="D40" s="23" t="s">
        <v>2911</v>
      </c>
      <c r="E40" s="21">
        <v>45873</v>
      </c>
      <c r="F40" s="23" t="s">
        <v>667</v>
      </c>
      <c r="G40" s="23" t="s">
        <v>2912</v>
      </c>
      <c r="H40" s="23" t="s">
        <v>24</v>
      </c>
      <c r="I40" s="23" t="s">
        <v>61</v>
      </c>
      <c r="J40" s="23"/>
      <c r="K40" s="23" t="s">
        <v>10</v>
      </c>
      <c r="L40" s="123">
        <f t="shared" si="4"/>
        <v>10</v>
      </c>
      <c r="M40" s="24">
        <v>50000</v>
      </c>
      <c r="N40" s="123">
        <v>0</v>
      </c>
      <c r="O40" s="138">
        <v>500000</v>
      </c>
      <c r="P40" s="138">
        <f t="shared" ref="P40:P71" si="6">O40</f>
        <v>500000</v>
      </c>
      <c r="Q40" s="138">
        <v>0</v>
      </c>
      <c r="R40" s="138"/>
      <c r="S40" s="138">
        <v>0</v>
      </c>
      <c r="T40" s="138">
        <f t="shared" si="5"/>
        <v>500000</v>
      </c>
      <c r="U40" s="29">
        <v>10</v>
      </c>
    </row>
    <row r="41" spans="1:22" s="28" customFormat="1" ht="15.45" x14ac:dyDescent="0.4">
      <c r="A41" s="19" t="s">
        <v>115</v>
      </c>
      <c r="B41" s="21">
        <v>45874</v>
      </c>
      <c r="C41" s="22" t="s">
        <v>2913</v>
      </c>
      <c r="D41" s="23" t="s">
        <v>2914</v>
      </c>
      <c r="E41" s="21">
        <v>45868</v>
      </c>
      <c r="F41" s="23" t="s">
        <v>81</v>
      </c>
      <c r="G41" s="23" t="s">
        <v>89</v>
      </c>
      <c r="H41" s="23" t="s">
        <v>25</v>
      </c>
      <c r="I41" s="23" t="s">
        <v>79</v>
      </c>
      <c r="J41" s="139" t="s">
        <v>3283</v>
      </c>
      <c r="K41" s="23" t="s">
        <v>1</v>
      </c>
      <c r="L41" s="123">
        <f t="shared" si="4"/>
        <v>32770</v>
      </c>
      <c r="M41" s="24">
        <v>1525</v>
      </c>
      <c r="N41" s="123">
        <v>0</v>
      </c>
      <c r="O41" s="138">
        <v>49974250</v>
      </c>
      <c r="P41" s="138">
        <f t="shared" si="6"/>
        <v>49974250</v>
      </c>
      <c r="Q41" s="141">
        <v>5497167.5</v>
      </c>
      <c r="R41" s="138">
        <f>P41*1.5%</f>
        <v>749613.75</v>
      </c>
      <c r="S41" s="138">
        <v>0</v>
      </c>
      <c r="T41" s="138">
        <f>P41+Q41-S41-R41</f>
        <v>54721803.75</v>
      </c>
      <c r="U41" s="29">
        <v>32770</v>
      </c>
    </row>
    <row r="42" spans="1:22" s="28" customFormat="1" ht="15.45" x14ac:dyDescent="0.4">
      <c r="A42" s="20" t="s">
        <v>2783</v>
      </c>
      <c r="B42" s="21">
        <v>45874</v>
      </c>
      <c r="C42" s="22" t="s">
        <v>2915</v>
      </c>
      <c r="D42" s="23" t="s">
        <v>2865</v>
      </c>
      <c r="E42" s="21">
        <v>45868</v>
      </c>
      <c r="F42" s="23" t="s">
        <v>2781</v>
      </c>
      <c r="G42" s="23" t="s">
        <v>175</v>
      </c>
      <c r="H42" s="23" t="s">
        <v>25</v>
      </c>
      <c r="I42" s="23" t="s">
        <v>79</v>
      </c>
      <c r="J42" s="139" t="s">
        <v>3271</v>
      </c>
      <c r="K42" s="23" t="s">
        <v>1</v>
      </c>
      <c r="L42" s="123">
        <f t="shared" si="4"/>
        <v>28470</v>
      </c>
      <c r="M42" s="24">
        <v>1150</v>
      </c>
      <c r="N42" s="123">
        <v>0</v>
      </c>
      <c r="O42" s="138">
        <v>32740500</v>
      </c>
      <c r="P42" s="138">
        <f t="shared" si="6"/>
        <v>32740500</v>
      </c>
      <c r="Q42" s="141">
        <v>3601455</v>
      </c>
      <c r="R42" s="138">
        <f>P42*1.5%</f>
        <v>491107.5</v>
      </c>
      <c r="S42" s="138">
        <v>0</v>
      </c>
      <c r="T42" s="138">
        <f>P42+Q42-S42-R42</f>
        <v>35850847.5</v>
      </c>
      <c r="U42" s="29">
        <v>28470</v>
      </c>
    </row>
    <row r="43" spans="1:22" s="28" customFormat="1" ht="15.45" x14ac:dyDescent="0.4">
      <c r="A43" s="19" t="s">
        <v>218</v>
      </c>
      <c r="B43" s="21">
        <v>45876</v>
      </c>
      <c r="C43" s="22" t="s">
        <v>2916</v>
      </c>
      <c r="D43" s="23" t="s">
        <v>2917</v>
      </c>
      <c r="E43" s="21">
        <v>45873</v>
      </c>
      <c r="F43" s="23" t="s">
        <v>44</v>
      </c>
      <c r="G43" s="23" t="s">
        <v>1922</v>
      </c>
      <c r="H43" s="23" t="s">
        <v>23</v>
      </c>
      <c r="I43" s="23" t="s">
        <v>885</v>
      </c>
      <c r="J43" s="139" t="s">
        <v>2945</v>
      </c>
      <c r="K43" s="23" t="s">
        <v>1</v>
      </c>
      <c r="L43" s="123">
        <f t="shared" si="4"/>
        <v>250</v>
      </c>
      <c r="M43" s="24">
        <v>25384</v>
      </c>
      <c r="N43" s="123">
        <v>16377</v>
      </c>
      <c r="O43" s="138">
        <v>6346000</v>
      </c>
      <c r="P43" s="138">
        <f t="shared" si="6"/>
        <v>6346000</v>
      </c>
      <c r="Q43" s="141">
        <v>698060</v>
      </c>
      <c r="R43" s="138"/>
      <c r="S43" s="138">
        <v>0</v>
      </c>
      <c r="T43" s="138">
        <f>P43+Q43-S43</f>
        <v>7044060</v>
      </c>
      <c r="U43" s="29">
        <v>250</v>
      </c>
      <c r="V43" s="28" t="e">
        <v>#VALUE!</v>
      </c>
    </row>
    <row r="44" spans="1:22" s="28" customFormat="1" ht="15.45" x14ac:dyDescent="0.4">
      <c r="A44" s="19" t="s">
        <v>98</v>
      </c>
      <c r="B44" s="21">
        <v>45876</v>
      </c>
      <c r="C44" s="22" t="s">
        <v>2918</v>
      </c>
      <c r="D44" s="23" t="s">
        <v>2863</v>
      </c>
      <c r="E44" s="21">
        <v>45868</v>
      </c>
      <c r="F44" s="23" t="s">
        <v>84</v>
      </c>
      <c r="G44" s="23" t="s">
        <v>89</v>
      </c>
      <c r="H44" s="23" t="s">
        <v>25</v>
      </c>
      <c r="I44" s="23" t="s">
        <v>79</v>
      </c>
      <c r="J44" s="139" t="s">
        <v>3286</v>
      </c>
      <c r="K44" s="23" t="s">
        <v>1</v>
      </c>
      <c r="L44" s="123">
        <f t="shared" si="4"/>
        <v>33260</v>
      </c>
      <c r="M44" s="24">
        <v>1525</v>
      </c>
      <c r="N44" s="123">
        <v>0</v>
      </c>
      <c r="O44" s="138">
        <v>50721500</v>
      </c>
      <c r="P44" s="138">
        <f t="shared" si="6"/>
        <v>50721500</v>
      </c>
      <c r="Q44" s="138">
        <v>5579365</v>
      </c>
      <c r="R44" s="138">
        <f>P44*1.5%</f>
        <v>760822.5</v>
      </c>
      <c r="S44" s="138">
        <v>0</v>
      </c>
      <c r="T44" s="138">
        <f>P44+Q44-S44-R44</f>
        <v>55540042.5</v>
      </c>
      <c r="U44" s="29">
        <v>33260</v>
      </c>
    </row>
    <row r="45" spans="1:22" s="28" customFormat="1" ht="15.45" x14ac:dyDescent="0.4">
      <c r="A45" s="19" t="s">
        <v>209</v>
      </c>
      <c r="B45" s="21">
        <v>45877</v>
      </c>
      <c r="C45" s="22" t="s">
        <v>2919</v>
      </c>
      <c r="D45" s="23" t="s">
        <v>2920</v>
      </c>
      <c r="E45" s="21">
        <v>45863</v>
      </c>
      <c r="F45" s="23" t="s">
        <v>208</v>
      </c>
      <c r="G45" s="23" t="s">
        <v>1753</v>
      </c>
      <c r="H45" s="23" t="s">
        <v>24</v>
      </c>
      <c r="I45" s="23" t="s">
        <v>61</v>
      </c>
      <c r="J45" s="23"/>
      <c r="K45" s="23" t="s">
        <v>6</v>
      </c>
      <c r="L45" s="123">
        <f t="shared" si="4"/>
        <v>20</v>
      </c>
      <c r="M45" s="24">
        <v>120000</v>
      </c>
      <c r="N45" s="123">
        <v>0</v>
      </c>
      <c r="O45" s="138">
        <v>2400000</v>
      </c>
      <c r="P45" s="138">
        <f t="shared" si="6"/>
        <v>2400000</v>
      </c>
      <c r="Q45" s="138">
        <v>0</v>
      </c>
      <c r="R45" s="138"/>
      <c r="S45" s="138">
        <v>0</v>
      </c>
      <c r="T45" s="138">
        <f>P45+Q45-S45</f>
        <v>2400000</v>
      </c>
      <c r="U45" s="29">
        <v>20</v>
      </c>
    </row>
    <row r="46" spans="1:22" s="28" customFormat="1" ht="15.45" x14ac:dyDescent="0.4">
      <c r="A46" s="20" t="s">
        <v>2783</v>
      </c>
      <c r="B46" s="21">
        <v>45877</v>
      </c>
      <c r="C46" s="22" t="s">
        <v>2921</v>
      </c>
      <c r="D46" s="23" t="s">
        <v>2922</v>
      </c>
      <c r="E46" s="21">
        <v>45877</v>
      </c>
      <c r="F46" s="23" t="s">
        <v>2781</v>
      </c>
      <c r="G46" s="23" t="s">
        <v>175</v>
      </c>
      <c r="H46" s="23" t="s">
        <v>25</v>
      </c>
      <c r="I46" s="23" t="s">
        <v>79</v>
      </c>
      <c r="J46" s="139" t="s">
        <v>3272</v>
      </c>
      <c r="K46" s="23" t="s">
        <v>1</v>
      </c>
      <c r="L46" s="123">
        <f t="shared" si="4"/>
        <v>27670</v>
      </c>
      <c r="M46" s="24">
        <v>1150</v>
      </c>
      <c r="N46" s="123">
        <v>0</v>
      </c>
      <c r="O46" s="138">
        <v>31820500</v>
      </c>
      <c r="P46" s="138">
        <f t="shared" si="6"/>
        <v>31820500</v>
      </c>
      <c r="Q46" s="141">
        <v>3500255</v>
      </c>
      <c r="R46" s="138">
        <f>P46*1.5%</f>
        <v>477307.5</v>
      </c>
      <c r="S46" s="138">
        <v>0</v>
      </c>
      <c r="T46" s="138">
        <f>P46+Q46-S46-R46</f>
        <v>34843447.5</v>
      </c>
      <c r="U46" s="29">
        <v>27670</v>
      </c>
    </row>
    <row r="47" spans="1:22" s="28" customFormat="1" ht="15.45" x14ac:dyDescent="0.4">
      <c r="A47" s="19" t="s">
        <v>225</v>
      </c>
      <c r="B47" s="21">
        <v>45878</v>
      </c>
      <c r="C47" s="22" t="s">
        <v>2923</v>
      </c>
      <c r="D47" s="23" t="s">
        <v>2924</v>
      </c>
      <c r="E47" s="21">
        <v>45877</v>
      </c>
      <c r="F47" s="23" t="s">
        <v>221</v>
      </c>
      <c r="G47" s="23" t="s">
        <v>222</v>
      </c>
      <c r="H47" s="23" t="s">
        <v>23</v>
      </c>
      <c r="I47" s="23" t="s">
        <v>885</v>
      </c>
      <c r="J47" s="139" t="s">
        <v>3025</v>
      </c>
      <c r="K47" s="23" t="s">
        <v>1</v>
      </c>
      <c r="L47" s="123">
        <f t="shared" si="4"/>
        <v>200</v>
      </c>
      <c r="M47" s="24">
        <v>9119.6</v>
      </c>
      <c r="N47" s="123">
        <v>16285</v>
      </c>
      <c r="O47" s="138">
        <v>1823920</v>
      </c>
      <c r="P47" s="138">
        <f t="shared" si="6"/>
        <v>1823920</v>
      </c>
      <c r="Q47" s="141">
        <v>200631.2</v>
      </c>
      <c r="R47" s="138"/>
      <c r="S47" s="138">
        <v>0</v>
      </c>
      <c r="T47" s="138">
        <f t="shared" ref="T47:T55" si="7">P47+Q47-S47</f>
        <v>2024551.2</v>
      </c>
      <c r="U47" s="29">
        <v>200</v>
      </c>
      <c r="V47" s="28" t="e">
        <v>#VALUE!</v>
      </c>
    </row>
    <row r="48" spans="1:22" s="28" customFormat="1" ht="15.45" x14ac:dyDescent="0.4">
      <c r="A48" s="19" t="s">
        <v>132</v>
      </c>
      <c r="B48" s="21">
        <v>45877</v>
      </c>
      <c r="C48" s="22" t="s">
        <v>2925</v>
      </c>
      <c r="D48" s="23" t="s">
        <v>2926</v>
      </c>
      <c r="E48" s="21">
        <v>45877</v>
      </c>
      <c r="F48" s="23" t="s">
        <v>129</v>
      </c>
      <c r="G48" s="23" t="s">
        <v>2927</v>
      </c>
      <c r="H48" s="23" t="s">
        <v>24</v>
      </c>
      <c r="I48" s="23" t="s">
        <v>61</v>
      </c>
      <c r="J48" s="23"/>
      <c r="K48" s="23" t="s">
        <v>140</v>
      </c>
      <c r="L48" s="123">
        <f t="shared" si="4"/>
        <v>5</v>
      </c>
      <c r="M48" s="24">
        <v>15000</v>
      </c>
      <c r="N48" s="123">
        <v>0</v>
      </c>
      <c r="O48" s="138">
        <v>75000</v>
      </c>
      <c r="P48" s="138">
        <f t="shared" si="6"/>
        <v>75000</v>
      </c>
      <c r="Q48" s="138">
        <v>0</v>
      </c>
      <c r="R48" s="138"/>
      <c r="S48" s="138">
        <v>0</v>
      </c>
      <c r="T48" s="138">
        <f t="shared" si="7"/>
        <v>75000</v>
      </c>
      <c r="U48" s="29">
        <v>5</v>
      </c>
    </row>
    <row r="49" spans="1:22" s="28" customFormat="1" ht="15.45" x14ac:dyDescent="0.4">
      <c r="A49" s="19" t="s">
        <v>1331</v>
      </c>
      <c r="B49" s="21">
        <v>45878</v>
      </c>
      <c r="C49" s="22" t="s">
        <v>2928</v>
      </c>
      <c r="D49" s="23" t="s">
        <v>2929</v>
      </c>
      <c r="E49" s="21">
        <v>45877</v>
      </c>
      <c r="F49" s="23" t="s">
        <v>1317</v>
      </c>
      <c r="G49" s="23" t="s">
        <v>1318</v>
      </c>
      <c r="H49" s="23" t="s">
        <v>23</v>
      </c>
      <c r="I49" s="23" t="s">
        <v>888</v>
      </c>
      <c r="J49" s="139" t="s">
        <v>3084</v>
      </c>
      <c r="K49" s="23" t="s">
        <v>1</v>
      </c>
      <c r="L49" s="123">
        <f t="shared" si="4"/>
        <v>50</v>
      </c>
      <c r="M49" s="24">
        <v>113995</v>
      </c>
      <c r="N49" s="123">
        <v>16285</v>
      </c>
      <c r="O49" s="138">
        <v>5699750</v>
      </c>
      <c r="P49" s="138">
        <f t="shared" si="6"/>
        <v>5699750</v>
      </c>
      <c r="Q49" s="141">
        <v>626972.5</v>
      </c>
      <c r="R49" s="138"/>
      <c r="S49" s="138">
        <v>0</v>
      </c>
      <c r="T49" s="138">
        <f t="shared" si="7"/>
        <v>6326722.5</v>
      </c>
      <c r="U49" s="29">
        <v>50</v>
      </c>
      <c r="V49" s="28" t="e">
        <v>#VALUE!</v>
      </c>
    </row>
    <row r="50" spans="1:22" s="28" customFormat="1" ht="15.45" x14ac:dyDescent="0.4">
      <c r="A50" s="19" t="s">
        <v>97</v>
      </c>
      <c r="B50" s="21">
        <v>45880</v>
      </c>
      <c r="C50" s="22" t="s">
        <v>2956</v>
      </c>
      <c r="D50" s="23" t="s">
        <v>2957</v>
      </c>
      <c r="E50" s="21">
        <v>45877</v>
      </c>
      <c r="F50" s="23" t="s">
        <v>63</v>
      </c>
      <c r="G50" s="23" t="s">
        <v>2958</v>
      </c>
      <c r="H50" s="23" t="s">
        <v>24</v>
      </c>
      <c r="I50" s="23" t="s">
        <v>888</v>
      </c>
      <c r="J50" s="139" t="s">
        <v>3023</v>
      </c>
      <c r="K50" s="23" t="s">
        <v>5</v>
      </c>
      <c r="L50" s="123">
        <f t="shared" si="4"/>
        <v>100</v>
      </c>
      <c r="M50" s="24">
        <v>24000</v>
      </c>
      <c r="N50" s="123">
        <v>0</v>
      </c>
      <c r="O50" s="138">
        <v>2400000</v>
      </c>
      <c r="P50" s="138">
        <f t="shared" si="6"/>
        <v>2400000</v>
      </c>
      <c r="Q50" s="141">
        <v>264000</v>
      </c>
      <c r="R50" s="138"/>
      <c r="S50" s="138">
        <v>0</v>
      </c>
      <c r="T50" s="138">
        <f t="shared" si="7"/>
        <v>2664000</v>
      </c>
      <c r="U50" s="29">
        <v>100</v>
      </c>
    </row>
    <row r="51" spans="1:22" s="28" customFormat="1" ht="15.45" x14ac:dyDescent="0.4">
      <c r="A51" s="19" t="s">
        <v>1331</v>
      </c>
      <c r="B51" s="21">
        <v>45880</v>
      </c>
      <c r="C51" s="22" t="s">
        <v>2959</v>
      </c>
      <c r="D51" s="23" t="s">
        <v>2929</v>
      </c>
      <c r="E51" s="21">
        <v>45877</v>
      </c>
      <c r="F51" s="23" t="s">
        <v>1317</v>
      </c>
      <c r="G51" s="23" t="s">
        <v>1318</v>
      </c>
      <c r="H51" s="23" t="s">
        <v>23</v>
      </c>
      <c r="I51" s="23" t="s">
        <v>888</v>
      </c>
      <c r="J51" s="139" t="s">
        <v>3085</v>
      </c>
      <c r="K51" s="23" t="s">
        <v>1</v>
      </c>
      <c r="L51" s="123">
        <f t="shared" si="4"/>
        <v>50</v>
      </c>
      <c r="M51" s="24">
        <v>113995</v>
      </c>
      <c r="N51" s="123">
        <v>16285</v>
      </c>
      <c r="O51" s="138">
        <v>5699750</v>
      </c>
      <c r="P51" s="138">
        <f t="shared" si="6"/>
        <v>5699750</v>
      </c>
      <c r="Q51" s="141">
        <v>626972.5</v>
      </c>
      <c r="R51" s="138"/>
      <c r="S51" s="138">
        <v>0</v>
      </c>
      <c r="T51" s="138">
        <f t="shared" si="7"/>
        <v>6326722.5</v>
      </c>
      <c r="U51" s="29">
        <v>50</v>
      </c>
      <c r="V51" s="28" t="e">
        <v>#VALUE!</v>
      </c>
    </row>
    <row r="52" spans="1:22" s="28" customFormat="1" ht="15.45" x14ac:dyDescent="0.4">
      <c r="A52" s="19" t="s">
        <v>111</v>
      </c>
      <c r="B52" s="21">
        <v>45880</v>
      </c>
      <c r="C52" s="22" t="s">
        <v>2960</v>
      </c>
      <c r="D52" s="23" t="s">
        <v>2961</v>
      </c>
      <c r="E52" s="21">
        <v>45880</v>
      </c>
      <c r="F52" s="23" t="s">
        <v>55</v>
      </c>
      <c r="G52" s="23" t="s">
        <v>2962</v>
      </c>
      <c r="H52" s="23" t="s">
        <v>24</v>
      </c>
      <c r="I52" s="23" t="s">
        <v>61</v>
      </c>
      <c r="J52" s="23"/>
      <c r="K52" s="23" t="s">
        <v>6</v>
      </c>
      <c r="L52" s="123">
        <f t="shared" si="4"/>
        <v>2</v>
      </c>
      <c r="M52" s="24">
        <v>1500000</v>
      </c>
      <c r="N52" s="123">
        <v>0</v>
      </c>
      <c r="O52" s="138">
        <v>3000000</v>
      </c>
      <c r="P52" s="138">
        <f t="shared" si="6"/>
        <v>3000000</v>
      </c>
      <c r="Q52" s="138">
        <v>0</v>
      </c>
      <c r="R52" s="138"/>
      <c r="S52" s="138">
        <v>0</v>
      </c>
      <c r="T52" s="138">
        <f t="shared" si="7"/>
        <v>3000000</v>
      </c>
      <c r="U52" s="29">
        <v>2</v>
      </c>
    </row>
    <row r="53" spans="1:22" s="28" customFormat="1" ht="15.45" x14ac:dyDescent="0.4">
      <c r="A53" s="19" t="s">
        <v>111</v>
      </c>
      <c r="B53" s="21">
        <v>45880</v>
      </c>
      <c r="C53" s="22" t="s">
        <v>2960</v>
      </c>
      <c r="D53" s="23" t="s">
        <v>2961</v>
      </c>
      <c r="E53" s="21">
        <v>45880</v>
      </c>
      <c r="F53" s="23" t="s">
        <v>55</v>
      </c>
      <c r="G53" s="23" t="s">
        <v>197</v>
      </c>
      <c r="H53" s="23" t="s">
        <v>24</v>
      </c>
      <c r="I53" s="23" t="s">
        <v>61</v>
      </c>
      <c r="J53" s="23"/>
      <c r="K53" s="23" t="s">
        <v>6</v>
      </c>
      <c r="L53" s="123">
        <f t="shared" si="4"/>
        <v>100</v>
      </c>
      <c r="M53" s="24">
        <v>2500</v>
      </c>
      <c r="N53" s="123">
        <v>0</v>
      </c>
      <c r="O53" s="138">
        <v>250000</v>
      </c>
      <c r="P53" s="138">
        <f t="shared" si="6"/>
        <v>250000</v>
      </c>
      <c r="Q53" s="138">
        <v>0</v>
      </c>
      <c r="R53" s="138"/>
      <c r="S53" s="138">
        <v>0</v>
      </c>
      <c r="T53" s="138">
        <f t="shared" si="7"/>
        <v>250000</v>
      </c>
      <c r="U53" s="29">
        <v>100</v>
      </c>
    </row>
    <row r="54" spans="1:22" s="28" customFormat="1" ht="15.45" x14ac:dyDescent="0.4">
      <c r="A54" s="19" t="s">
        <v>111</v>
      </c>
      <c r="B54" s="21">
        <v>45880</v>
      </c>
      <c r="C54" s="22" t="s">
        <v>2963</v>
      </c>
      <c r="D54" s="23" t="s">
        <v>2964</v>
      </c>
      <c r="E54" s="21">
        <v>45880</v>
      </c>
      <c r="F54" s="23" t="s">
        <v>55</v>
      </c>
      <c r="G54" s="23" t="s">
        <v>87</v>
      </c>
      <c r="H54" s="23" t="s">
        <v>26</v>
      </c>
      <c r="I54" s="23" t="s">
        <v>80</v>
      </c>
      <c r="J54" s="23"/>
      <c r="K54" s="23" t="s">
        <v>10</v>
      </c>
      <c r="L54" s="123">
        <f t="shared" si="4"/>
        <v>48</v>
      </c>
      <c r="M54" s="24">
        <v>12500</v>
      </c>
      <c r="N54" s="123">
        <v>0</v>
      </c>
      <c r="O54" s="138">
        <v>600000</v>
      </c>
      <c r="P54" s="138">
        <f t="shared" si="6"/>
        <v>600000</v>
      </c>
      <c r="Q54" s="138">
        <v>0</v>
      </c>
      <c r="R54" s="138"/>
      <c r="S54" s="138">
        <v>0</v>
      </c>
      <c r="T54" s="138">
        <f t="shared" si="7"/>
        <v>600000</v>
      </c>
      <c r="U54" s="29">
        <v>48</v>
      </c>
    </row>
    <row r="55" spans="1:22" s="28" customFormat="1" ht="15.45" x14ac:dyDescent="0.4">
      <c r="A55" s="19" t="s">
        <v>218</v>
      </c>
      <c r="B55" s="21">
        <v>45880</v>
      </c>
      <c r="C55" s="22" t="s">
        <v>2965</v>
      </c>
      <c r="D55" s="23" t="s">
        <v>2966</v>
      </c>
      <c r="E55" s="21">
        <v>45877</v>
      </c>
      <c r="F55" s="23" t="s">
        <v>44</v>
      </c>
      <c r="G55" s="23" t="s">
        <v>1922</v>
      </c>
      <c r="H55" s="23" t="s">
        <v>23</v>
      </c>
      <c r="I55" s="23" t="s">
        <v>885</v>
      </c>
      <c r="J55" s="139" t="s">
        <v>3022</v>
      </c>
      <c r="K55" s="23" t="s">
        <v>1</v>
      </c>
      <c r="L55" s="123">
        <f t="shared" si="4"/>
        <v>250</v>
      </c>
      <c r="M55" s="24">
        <v>25242</v>
      </c>
      <c r="N55" s="123">
        <v>16285</v>
      </c>
      <c r="O55" s="138">
        <v>6310500</v>
      </c>
      <c r="P55" s="138">
        <f t="shared" si="6"/>
        <v>6310500</v>
      </c>
      <c r="Q55" s="141">
        <v>694155</v>
      </c>
      <c r="R55" s="138"/>
      <c r="S55" s="138">
        <v>0</v>
      </c>
      <c r="T55" s="138">
        <f t="shared" si="7"/>
        <v>7004655</v>
      </c>
      <c r="U55" s="29">
        <v>250</v>
      </c>
      <c r="V55" s="28" t="e">
        <v>#VALUE!</v>
      </c>
    </row>
    <row r="56" spans="1:22" s="28" customFormat="1" ht="15.45" x14ac:dyDescent="0.4">
      <c r="A56" s="19" t="s">
        <v>115</v>
      </c>
      <c r="B56" s="21">
        <v>45880</v>
      </c>
      <c r="C56" s="22" t="s">
        <v>2967</v>
      </c>
      <c r="D56" s="23" t="s">
        <v>2914</v>
      </c>
      <c r="E56" s="21">
        <v>45868</v>
      </c>
      <c r="F56" s="23" t="s">
        <v>81</v>
      </c>
      <c r="G56" s="23" t="s">
        <v>89</v>
      </c>
      <c r="H56" s="23" t="s">
        <v>25</v>
      </c>
      <c r="I56" s="23" t="s">
        <v>79</v>
      </c>
      <c r="J56" s="139" t="s">
        <v>3284</v>
      </c>
      <c r="K56" s="23" t="s">
        <v>1</v>
      </c>
      <c r="L56" s="123">
        <f t="shared" si="4"/>
        <v>31510</v>
      </c>
      <c r="M56" s="24">
        <v>1525</v>
      </c>
      <c r="N56" s="123">
        <v>0</v>
      </c>
      <c r="O56" s="138">
        <v>48052750</v>
      </c>
      <c r="P56" s="138">
        <f t="shared" si="6"/>
        <v>48052750</v>
      </c>
      <c r="Q56" s="141">
        <v>5285802.5</v>
      </c>
      <c r="R56" s="138">
        <f>P56*1.5%</f>
        <v>720791.25</v>
      </c>
      <c r="S56" s="138">
        <v>0</v>
      </c>
      <c r="T56" s="138">
        <f>P56+Q56-S56-R56</f>
        <v>52617761.25</v>
      </c>
      <c r="U56" s="29">
        <v>31510</v>
      </c>
    </row>
    <row r="57" spans="1:22" s="28" customFormat="1" ht="15.45" x14ac:dyDescent="0.4">
      <c r="A57" s="20" t="s">
        <v>2783</v>
      </c>
      <c r="B57" s="21">
        <v>45880</v>
      </c>
      <c r="C57" s="22" t="s">
        <v>2968</v>
      </c>
      <c r="D57" s="23" t="s">
        <v>2969</v>
      </c>
      <c r="E57" s="21">
        <v>45880</v>
      </c>
      <c r="F57" s="23" t="s">
        <v>2781</v>
      </c>
      <c r="G57" s="23" t="s">
        <v>175</v>
      </c>
      <c r="H57" s="23" t="s">
        <v>25</v>
      </c>
      <c r="I57" s="23" t="s">
        <v>79</v>
      </c>
      <c r="J57" s="139" t="s">
        <v>3273</v>
      </c>
      <c r="K57" s="23" t="s">
        <v>1</v>
      </c>
      <c r="L57" s="123">
        <f t="shared" si="4"/>
        <v>27370</v>
      </c>
      <c r="M57" s="24">
        <v>1150</v>
      </c>
      <c r="N57" s="123">
        <v>0</v>
      </c>
      <c r="O57" s="138">
        <v>31475500</v>
      </c>
      <c r="P57" s="138">
        <f t="shared" si="6"/>
        <v>31475500</v>
      </c>
      <c r="Q57" s="141">
        <v>3462305</v>
      </c>
      <c r="R57" s="138">
        <f>P57*1.5%</f>
        <v>472132.5</v>
      </c>
      <c r="S57" s="138">
        <v>0</v>
      </c>
      <c r="T57" s="138">
        <f>P57+Q57-S57-R57</f>
        <v>34465672.5</v>
      </c>
      <c r="U57" s="29">
        <v>27370</v>
      </c>
    </row>
    <row r="58" spans="1:22" s="28" customFormat="1" ht="15.45" x14ac:dyDescent="0.4">
      <c r="A58" s="19" t="s">
        <v>108</v>
      </c>
      <c r="B58" s="21">
        <v>45881</v>
      </c>
      <c r="C58" s="22" t="s">
        <v>2970</v>
      </c>
      <c r="D58" s="23" t="s">
        <v>2971</v>
      </c>
      <c r="E58" s="21">
        <v>45877</v>
      </c>
      <c r="F58" s="23" t="s">
        <v>51</v>
      </c>
      <c r="G58" s="23" t="s">
        <v>2972</v>
      </c>
      <c r="H58" s="23" t="s">
        <v>24</v>
      </c>
      <c r="I58" s="23" t="s">
        <v>61</v>
      </c>
      <c r="J58" s="139" t="s">
        <v>3024</v>
      </c>
      <c r="K58" s="23" t="s">
        <v>10</v>
      </c>
      <c r="L58" s="123">
        <f t="shared" si="4"/>
        <v>10</v>
      </c>
      <c r="M58" s="24">
        <v>25000</v>
      </c>
      <c r="N58" s="123">
        <v>0</v>
      </c>
      <c r="O58" s="138">
        <v>250000</v>
      </c>
      <c r="P58" s="138">
        <f t="shared" si="6"/>
        <v>250000</v>
      </c>
      <c r="Q58" s="141">
        <v>27500</v>
      </c>
      <c r="R58" s="138"/>
      <c r="S58" s="138">
        <v>0</v>
      </c>
      <c r="T58" s="138">
        <f t="shared" ref="T58:T74" si="8">P58+Q58-S58</f>
        <v>277500</v>
      </c>
      <c r="U58" s="29">
        <v>10</v>
      </c>
    </row>
    <row r="59" spans="1:22" s="28" customFormat="1" ht="15.45" x14ac:dyDescent="0.4">
      <c r="A59" s="19" t="s">
        <v>593</v>
      </c>
      <c r="B59" s="21">
        <v>45882</v>
      </c>
      <c r="C59" s="22" t="s">
        <v>2973</v>
      </c>
      <c r="D59" s="23" t="s">
        <v>2974</v>
      </c>
      <c r="E59" s="21">
        <v>45877</v>
      </c>
      <c r="F59" s="23" t="s">
        <v>566</v>
      </c>
      <c r="G59" s="23" t="s">
        <v>567</v>
      </c>
      <c r="H59" s="23" t="s">
        <v>23</v>
      </c>
      <c r="I59" s="23" t="s">
        <v>885</v>
      </c>
      <c r="J59" s="139" t="s">
        <v>3269</v>
      </c>
      <c r="K59" s="23" t="s">
        <v>1</v>
      </c>
      <c r="L59" s="123">
        <f t="shared" si="4"/>
        <v>60</v>
      </c>
      <c r="M59" s="24">
        <v>68397</v>
      </c>
      <c r="N59" s="123">
        <v>16285</v>
      </c>
      <c r="O59" s="138">
        <v>4103820</v>
      </c>
      <c r="P59" s="138">
        <f t="shared" si="6"/>
        <v>4103820</v>
      </c>
      <c r="Q59" s="141">
        <v>451420.2</v>
      </c>
      <c r="R59" s="138"/>
      <c r="S59" s="138">
        <v>0</v>
      </c>
      <c r="T59" s="138">
        <f t="shared" si="8"/>
        <v>4555240.2</v>
      </c>
      <c r="U59" s="29">
        <v>60</v>
      </c>
      <c r="V59" s="28" t="e">
        <v>#VALUE!</v>
      </c>
    </row>
    <row r="60" spans="1:22" s="28" customFormat="1" ht="15.45" x14ac:dyDescent="0.4">
      <c r="A60" s="19" t="s">
        <v>114</v>
      </c>
      <c r="B60" s="21">
        <v>45882</v>
      </c>
      <c r="C60" s="22" t="s">
        <v>2975</v>
      </c>
      <c r="D60" s="23" t="s">
        <v>2909</v>
      </c>
      <c r="E60" s="21">
        <v>45870</v>
      </c>
      <c r="F60" s="23" t="s">
        <v>71</v>
      </c>
      <c r="G60" s="23" t="s">
        <v>76</v>
      </c>
      <c r="H60" s="23" t="s">
        <v>23</v>
      </c>
      <c r="I60" s="23" t="s">
        <v>978</v>
      </c>
      <c r="J60" s="139" t="s">
        <v>3246</v>
      </c>
      <c r="K60" s="23" t="s">
        <v>1</v>
      </c>
      <c r="L60" s="123">
        <f t="shared" si="4"/>
        <v>1000</v>
      </c>
      <c r="M60" s="24">
        <v>28844</v>
      </c>
      <c r="N60" s="123">
        <v>16482</v>
      </c>
      <c r="O60" s="138">
        <v>28844000</v>
      </c>
      <c r="P60" s="138">
        <f t="shared" si="6"/>
        <v>28844000</v>
      </c>
      <c r="Q60" s="141">
        <v>3172840</v>
      </c>
      <c r="R60" s="138"/>
      <c r="S60" s="138">
        <v>0</v>
      </c>
      <c r="T60" s="138">
        <f t="shared" si="8"/>
        <v>32016840</v>
      </c>
      <c r="U60" s="29">
        <v>1000</v>
      </c>
      <c r="V60" s="28" t="e">
        <v>#VALUE!</v>
      </c>
    </row>
    <row r="61" spans="1:22" s="28" customFormat="1" ht="15.45" x14ac:dyDescent="0.4">
      <c r="A61" s="19" t="s">
        <v>109</v>
      </c>
      <c r="B61" s="21">
        <v>45882</v>
      </c>
      <c r="C61" s="22" t="s">
        <v>2976</v>
      </c>
      <c r="D61" s="23" t="s">
        <v>2977</v>
      </c>
      <c r="E61" s="21">
        <v>45882</v>
      </c>
      <c r="F61" s="23" t="s">
        <v>54</v>
      </c>
      <c r="G61" s="23" t="s">
        <v>722</v>
      </c>
      <c r="H61" s="23" t="s">
        <v>24</v>
      </c>
      <c r="I61" s="23" t="s">
        <v>61</v>
      </c>
      <c r="J61" s="139" t="s">
        <v>3021</v>
      </c>
      <c r="K61" s="23" t="s">
        <v>15</v>
      </c>
      <c r="L61" s="123">
        <f t="shared" si="4"/>
        <v>96</v>
      </c>
      <c r="M61" s="24">
        <v>5909</v>
      </c>
      <c r="N61" s="123">
        <v>0</v>
      </c>
      <c r="O61" s="138">
        <v>567264</v>
      </c>
      <c r="P61" s="138">
        <f t="shared" si="6"/>
        <v>567264</v>
      </c>
      <c r="Q61" s="141">
        <v>62399.040000000001</v>
      </c>
      <c r="R61" s="138"/>
      <c r="S61" s="138">
        <v>0</v>
      </c>
      <c r="T61" s="138">
        <f t="shared" si="8"/>
        <v>629663.04</v>
      </c>
      <c r="U61" s="29">
        <v>96</v>
      </c>
    </row>
    <row r="62" spans="1:22" s="28" customFormat="1" ht="15.45" x14ac:dyDescent="0.4">
      <c r="A62" s="19" t="s">
        <v>133</v>
      </c>
      <c r="B62" s="21">
        <v>45882</v>
      </c>
      <c r="C62" s="22" t="s">
        <v>2978</v>
      </c>
      <c r="D62" s="23" t="s">
        <v>2979</v>
      </c>
      <c r="E62" s="21">
        <v>45882</v>
      </c>
      <c r="F62" s="23" t="s">
        <v>121</v>
      </c>
      <c r="G62" s="23" t="s">
        <v>122</v>
      </c>
      <c r="H62" s="23" t="s">
        <v>24</v>
      </c>
      <c r="I62" s="23" t="s">
        <v>61</v>
      </c>
      <c r="J62" s="23"/>
      <c r="K62" s="23" t="s">
        <v>123</v>
      </c>
      <c r="L62" s="123">
        <f t="shared" si="4"/>
        <v>12</v>
      </c>
      <c r="M62" s="24">
        <v>19584</v>
      </c>
      <c r="N62" s="123">
        <v>0</v>
      </c>
      <c r="O62" s="138">
        <v>235008</v>
      </c>
      <c r="P62" s="138">
        <f t="shared" si="6"/>
        <v>235008</v>
      </c>
      <c r="Q62" s="138">
        <v>0</v>
      </c>
      <c r="R62" s="138"/>
      <c r="S62" s="138">
        <v>0</v>
      </c>
      <c r="T62" s="138">
        <f t="shared" si="8"/>
        <v>235008</v>
      </c>
      <c r="U62" s="29">
        <v>12</v>
      </c>
    </row>
    <row r="63" spans="1:22" s="28" customFormat="1" ht="15.45" x14ac:dyDescent="0.4">
      <c r="A63" s="19" t="s">
        <v>113</v>
      </c>
      <c r="B63" s="21">
        <v>45883</v>
      </c>
      <c r="C63" s="22" t="s">
        <v>2995</v>
      </c>
      <c r="D63" s="23" t="s">
        <v>2996</v>
      </c>
      <c r="E63" s="21">
        <v>45883</v>
      </c>
      <c r="F63" s="23" t="s">
        <v>42</v>
      </c>
      <c r="G63" s="23" t="s">
        <v>2997</v>
      </c>
      <c r="H63" s="23" t="s">
        <v>24</v>
      </c>
      <c r="I63" s="23" t="s">
        <v>61</v>
      </c>
      <c r="J63" s="23"/>
      <c r="K63" s="23" t="s">
        <v>6</v>
      </c>
      <c r="L63" s="123">
        <f t="shared" si="4"/>
        <v>2</v>
      </c>
      <c r="M63" s="24">
        <v>55000</v>
      </c>
      <c r="N63" s="123">
        <v>0</v>
      </c>
      <c r="O63" s="138">
        <v>110000</v>
      </c>
      <c r="P63" s="138">
        <f t="shared" si="6"/>
        <v>110000</v>
      </c>
      <c r="Q63" s="138">
        <v>0</v>
      </c>
      <c r="R63" s="138"/>
      <c r="S63" s="138">
        <v>0</v>
      </c>
      <c r="T63" s="138">
        <f t="shared" si="8"/>
        <v>110000</v>
      </c>
      <c r="U63" s="29">
        <v>2</v>
      </c>
    </row>
    <row r="64" spans="1:22" s="28" customFormat="1" ht="15.45" x14ac:dyDescent="0.4">
      <c r="A64" s="19" t="s">
        <v>113</v>
      </c>
      <c r="B64" s="21">
        <v>45883</v>
      </c>
      <c r="C64" s="22" t="s">
        <v>2995</v>
      </c>
      <c r="D64" s="23" t="s">
        <v>2996</v>
      </c>
      <c r="E64" s="21">
        <v>45883</v>
      </c>
      <c r="F64" s="23" t="s">
        <v>42</v>
      </c>
      <c r="G64" s="23" t="s">
        <v>681</v>
      </c>
      <c r="H64" s="23" t="s">
        <v>24</v>
      </c>
      <c r="I64" s="23" t="s">
        <v>61</v>
      </c>
      <c r="J64" s="23"/>
      <c r="K64" s="23" t="s">
        <v>6</v>
      </c>
      <c r="L64" s="123">
        <f t="shared" si="4"/>
        <v>3</v>
      </c>
      <c r="M64" s="24">
        <v>55000</v>
      </c>
      <c r="N64" s="123">
        <v>0</v>
      </c>
      <c r="O64" s="138">
        <v>165000</v>
      </c>
      <c r="P64" s="138">
        <f t="shared" si="6"/>
        <v>165000</v>
      </c>
      <c r="Q64" s="138">
        <v>0</v>
      </c>
      <c r="R64" s="138"/>
      <c r="S64" s="138">
        <v>0</v>
      </c>
      <c r="T64" s="138">
        <f t="shared" si="8"/>
        <v>165000</v>
      </c>
      <c r="U64" s="29">
        <v>3</v>
      </c>
    </row>
    <row r="65" spans="1:21" s="28" customFormat="1" ht="15.45" x14ac:dyDescent="0.4">
      <c r="A65" s="19" t="s">
        <v>113</v>
      </c>
      <c r="B65" s="21">
        <v>45883</v>
      </c>
      <c r="C65" s="22" t="s">
        <v>2995</v>
      </c>
      <c r="D65" s="23" t="s">
        <v>2996</v>
      </c>
      <c r="E65" s="21">
        <v>45883</v>
      </c>
      <c r="F65" s="23" t="s">
        <v>42</v>
      </c>
      <c r="G65" s="23" t="s">
        <v>626</v>
      </c>
      <c r="H65" s="23" t="s">
        <v>24</v>
      </c>
      <c r="I65" s="23" t="s">
        <v>61</v>
      </c>
      <c r="J65" s="23"/>
      <c r="K65" s="23" t="s">
        <v>8</v>
      </c>
      <c r="L65" s="123">
        <f t="shared" si="4"/>
        <v>10</v>
      </c>
      <c r="M65" s="24">
        <v>65000</v>
      </c>
      <c r="N65" s="123">
        <v>0</v>
      </c>
      <c r="O65" s="138">
        <v>650000</v>
      </c>
      <c r="P65" s="138">
        <f t="shared" si="6"/>
        <v>650000</v>
      </c>
      <c r="Q65" s="138">
        <v>0</v>
      </c>
      <c r="R65" s="138"/>
      <c r="S65" s="138">
        <v>0</v>
      </c>
      <c r="T65" s="138">
        <f t="shared" si="8"/>
        <v>650000</v>
      </c>
      <c r="U65" s="29">
        <v>10</v>
      </c>
    </row>
    <row r="66" spans="1:21" s="28" customFormat="1" ht="15.45" x14ac:dyDescent="0.4">
      <c r="A66" s="19" t="s">
        <v>132</v>
      </c>
      <c r="B66" s="21">
        <v>45883</v>
      </c>
      <c r="C66" s="22" t="s">
        <v>2998</v>
      </c>
      <c r="D66" s="23" t="s">
        <v>2999</v>
      </c>
      <c r="E66" s="21">
        <v>45883</v>
      </c>
      <c r="F66" s="23" t="s">
        <v>129</v>
      </c>
      <c r="G66" s="23" t="s">
        <v>2626</v>
      </c>
      <c r="H66" s="23" t="s">
        <v>24</v>
      </c>
      <c r="I66" s="23" t="s">
        <v>61</v>
      </c>
      <c r="J66" s="23"/>
      <c r="K66" s="23" t="s">
        <v>6</v>
      </c>
      <c r="L66" s="123">
        <f t="shared" si="4"/>
        <v>3</v>
      </c>
      <c r="M66" s="24">
        <v>13000</v>
      </c>
      <c r="N66" s="123">
        <v>0</v>
      </c>
      <c r="O66" s="138">
        <v>39000</v>
      </c>
      <c r="P66" s="138">
        <f t="shared" si="6"/>
        <v>39000</v>
      </c>
      <c r="Q66" s="138">
        <v>0</v>
      </c>
      <c r="R66" s="138"/>
      <c r="S66" s="138">
        <v>0</v>
      </c>
      <c r="T66" s="138">
        <f t="shared" si="8"/>
        <v>39000</v>
      </c>
      <c r="U66" s="29">
        <v>3</v>
      </c>
    </row>
    <row r="67" spans="1:21" s="28" customFormat="1" ht="15.45" x14ac:dyDescent="0.4">
      <c r="A67" s="19" t="s">
        <v>132</v>
      </c>
      <c r="B67" s="21">
        <v>45883</v>
      </c>
      <c r="C67" s="22" t="s">
        <v>2998</v>
      </c>
      <c r="D67" s="23" t="s">
        <v>2999</v>
      </c>
      <c r="E67" s="21">
        <v>45883</v>
      </c>
      <c r="F67" s="23" t="s">
        <v>129</v>
      </c>
      <c r="G67" s="23" t="s">
        <v>633</v>
      </c>
      <c r="H67" s="23" t="s">
        <v>24</v>
      </c>
      <c r="I67" s="23" t="s">
        <v>61</v>
      </c>
      <c r="J67" s="23"/>
      <c r="K67" s="23" t="s">
        <v>6</v>
      </c>
      <c r="L67" s="123">
        <f t="shared" si="4"/>
        <v>100</v>
      </c>
      <c r="M67" s="24">
        <v>335</v>
      </c>
      <c r="N67" s="123">
        <v>0</v>
      </c>
      <c r="O67" s="138">
        <v>33500</v>
      </c>
      <c r="P67" s="138">
        <f t="shared" si="6"/>
        <v>33500</v>
      </c>
      <c r="Q67" s="138">
        <v>0</v>
      </c>
      <c r="R67" s="138"/>
      <c r="S67" s="138">
        <v>0</v>
      </c>
      <c r="T67" s="138">
        <f t="shared" si="8"/>
        <v>33500</v>
      </c>
      <c r="U67" s="29">
        <v>100</v>
      </c>
    </row>
    <row r="68" spans="1:21" s="28" customFormat="1" ht="15.45" x14ac:dyDescent="0.4">
      <c r="A68" s="19" t="s">
        <v>132</v>
      </c>
      <c r="B68" s="21">
        <v>45883</v>
      </c>
      <c r="C68" s="22" t="s">
        <v>2998</v>
      </c>
      <c r="D68" s="23" t="s">
        <v>2999</v>
      </c>
      <c r="E68" s="21">
        <v>45883</v>
      </c>
      <c r="F68" s="23" t="s">
        <v>129</v>
      </c>
      <c r="G68" s="23" t="s">
        <v>1400</v>
      </c>
      <c r="H68" s="23" t="s">
        <v>24</v>
      </c>
      <c r="I68" s="23" t="s">
        <v>61</v>
      </c>
      <c r="J68" s="23"/>
      <c r="K68" s="23" t="s">
        <v>10</v>
      </c>
      <c r="L68" s="123">
        <f t="shared" si="4"/>
        <v>5</v>
      </c>
      <c r="M68" s="24">
        <v>8500</v>
      </c>
      <c r="N68" s="123">
        <v>0</v>
      </c>
      <c r="O68" s="138">
        <v>42500</v>
      </c>
      <c r="P68" s="138">
        <f t="shared" si="6"/>
        <v>42500</v>
      </c>
      <c r="Q68" s="138">
        <v>0</v>
      </c>
      <c r="R68" s="138"/>
      <c r="S68" s="138">
        <v>0</v>
      </c>
      <c r="T68" s="138">
        <f t="shared" si="8"/>
        <v>42500</v>
      </c>
      <c r="U68" s="29">
        <v>5</v>
      </c>
    </row>
    <row r="69" spans="1:21" s="28" customFormat="1" ht="15.45" x14ac:dyDescent="0.4">
      <c r="A69" s="19" t="s">
        <v>132</v>
      </c>
      <c r="B69" s="21">
        <v>45883</v>
      </c>
      <c r="C69" s="22" t="s">
        <v>2998</v>
      </c>
      <c r="D69" s="23" t="s">
        <v>2999</v>
      </c>
      <c r="E69" s="21">
        <v>45883</v>
      </c>
      <c r="F69" s="23" t="s">
        <v>129</v>
      </c>
      <c r="G69" s="23" t="s">
        <v>3000</v>
      </c>
      <c r="H69" s="23" t="s">
        <v>24</v>
      </c>
      <c r="I69" s="23" t="s">
        <v>61</v>
      </c>
      <c r="J69" s="23"/>
      <c r="K69" s="23" t="s">
        <v>6</v>
      </c>
      <c r="L69" s="123">
        <f t="shared" si="4"/>
        <v>60</v>
      </c>
      <c r="M69" s="24">
        <v>2600</v>
      </c>
      <c r="N69" s="123">
        <v>0</v>
      </c>
      <c r="O69" s="138">
        <v>156000</v>
      </c>
      <c r="P69" s="138">
        <f t="shared" si="6"/>
        <v>156000</v>
      </c>
      <c r="Q69" s="138">
        <v>0</v>
      </c>
      <c r="R69" s="138"/>
      <c r="S69" s="138">
        <v>0</v>
      </c>
      <c r="T69" s="138">
        <f t="shared" si="8"/>
        <v>156000</v>
      </c>
      <c r="U69" s="29">
        <v>60</v>
      </c>
    </row>
    <row r="70" spans="1:21" s="28" customFormat="1" ht="15.45" x14ac:dyDescent="0.4">
      <c r="A70" s="19" t="s">
        <v>132</v>
      </c>
      <c r="B70" s="21">
        <v>45883</v>
      </c>
      <c r="C70" s="22" t="s">
        <v>2998</v>
      </c>
      <c r="D70" s="23" t="s">
        <v>2999</v>
      </c>
      <c r="E70" s="21">
        <v>45883</v>
      </c>
      <c r="F70" s="23" t="s">
        <v>129</v>
      </c>
      <c r="G70" s="23" t="s">
        <v>1012</v>
      </c>
      <c r="H70" s="23" t="s">
        <v>24</v>
      </c>
      <c r="I70" s="23" t="s">
        <v>61</v>
      </c>
      <c r="J70" s="23"/>
      <c r="K70" s="23" t="s">
        <v>941</v>
      </c>
      <c r="L70" s="123">
        <f t="shared" si="4"/>
        <v>1</v>
      </c>
      <c r="M70" s="24">
        <v>198000</v>
      </c>
      <c r="N70" s="123">
        <v>0</v>
      </c>
      <c r="O70" s="138">
        <v>198000</v>
      </c>
      <c r="P70" s="138">
        <f t="shared" si="6"/>
        <v>198000</v>
      </c>
      <c r="Q70" s="138">
        <v>0</v>
      </c>
      <c r="R70" s="138"/>
      <c r="S70" s="138">
        <v>0</v>
      </c>
      <c r="T70" s="138">
        <f t="shared" si="8"/>
        <v>198000</v>
      </c>
      <c r="U70" s="29">
        <v>1</v>
      </c>
    </row>
    <row r="71" spans="1:21" s="28" customFormat="1" ht="15.45" x14ac:dyDescent="0.4">
      <c r="A71" s="19" t="s">
        <v>132</v>
      </c>
      <c r="B71" s="21">
        <v>45883</v>
      </c>
      <c r="C71" s="22" t="s">
        <v>2998</v>
      </c>
      <c r="D71" s="23" t="s">
        <v>2999</v>
      </c>
      <c r="E71" s="21">
        <v>45883</v>
      </c>
      <c r="F71" s="23" t="s">
        <v>129</v>
      </c>
      <c r="G71" s="23" t="s">
        <v>1399</v>
      </c>
      <c r="H71" s="23" t="s">
        <v>24</v>
      </c>
      <c r="I71" s="23" t="s">
        <v>61</v>
      </c>
      <c r="J71" s="23"/>
      <c r="K71" s="23" t="s">
        <v>6</v>
      </c>
      <c r="L71" s="123">
        <f t="shared" si="4"/>
        <v>5</v>
      </c>
      <c r="M71" s="24">
        <v>4500</v>
      </c>
      <c r="N71" s="123">
        <v>0</v>
      </c>
      <c r="O71" s="138">
        <v>22500</v>
      </c>
      <c r="P71" s="138">
        <f t="shared" si="6"/>
        <v>22500</v>
      </c>
      <c r="Q71" s="138">
        <v>0</v>
      </c>
      <c r="R71" s="138"/>
      <c r="S71" s="138">
        <v>0</v>
      </c>
      <c r="T71" s="138">
        <f t="shared" si="8"/>
        <v>22500</v>
      </c>
      <c r="U71" s="29">
        <v>5</v>
      </c>
    </row>
    <row r="72" spans="1:21" s="28" customFormat="1" ht="15.45" x14ac:dyDescent="0.4">
      <c r="A72" s="19" t="s">
        <v>132</v>
      </c>
      <c r="B72" s="21">
        <v>45883</v>
      </c>
      <c r="C72" s="22" t="s">
        <v>2998</v>
      </c>
      <c r="D72" s="23" t="s">
        <v>2999</v>
      </c>
      <c r="E72" s="21">
        <v>45883</v>
      </c>
      <c r="F72" s="23" t="s">
        <v>129</v>
      </c>
      <c r="G72" s="23" t="s">
        <v>3001</v>
      </c>
      <c r="H72" s="23" t="s">
        <v>24</v>
      </c>
      <c r="I72" s="23" t="s">
        <v>61</v>
      </c>
      <c r="J72" s="23"/>
      <c r="K72" s="23" t="s">
        <v>6</v>
      </c>
      <c r="L72" s="123">
        <f t="shared" si="4"/>
        <v>2</v>
      </c>
      <c r="M72" s="24">
        <v>20000</v>
      </c>
      <c r="N72" s="123">
        <v>0</v>
      </c>
      <c r="O72" s="138">
        <v>40000</v>
      </c>
      <c r="P72" s="138">
        <f t="shared" ref="P72:P103" si="9">O72</f>
        <v>40000</v>
      </c>
      <c r="Q72" s="138">
        <v>0</v>
      </c>
      <c r="R72" s="138"/>
      <c r="S72" s="138">
        <v>0</v>
      </c>
      <c r="T72" s="138">
        <f t="shared" si="8"/>
        <v>40000</v>
      </c>
      <c r="U72" s="29">
        <v>2</v>
      </c>
    </row>
    <row r="73" spans="1:21" s="28" customFormat="1" ht="15.45" x14ac:dyDescent="0.4">
      <c r="A73" s="19" t="s">
        <v>111</v>
      </c>
      <c r="B73" s="21">
        <v>45883</v>
      </c>
      <c r="C73" s="22" t="s">
        <v>3002</v>
      </c>
      <c r="D73" s="23" t="s">
        <v>3003</v>
      </c>
      <c r="E73" s="21">
        <v>45883</v>
      </c>
      <c r="F73" s="23" t="s">
        <v>55</v>
      </c>
      <c r="G73" s="23" t="s">
        <v>1556</v>
      </c>
      <c r="H73" s="23" t="s">
        <v>24</v>
      </c>
      <c r="I73" s="23" t="s">
        <v>61</v>
      </c>
      <c r="J73" s="23"/>
      <c r="K73" s="23" t="s">
        <v>15</v>
      </c>
      <c r="L73" s="123">
        <f t="shared" si="4"/>
        <v>1</v>
      </c>
      <c r="M73" s="24">
        <v>150000</v>
      </c>
      <c r="N73" s="123">
        <v>0</v>
      </c>
      <c r="O73" s="138">
        <v>150000</v>
      </c>
      <c r="P73" s="138">
        <f t="shared" si="9"/>
        <v>150000</v>
      </c>
      <c r="Q73" s="138">
        <v>0</v>
      </c>
      <c r="R73" s="138"/>
      <c r="S73" s="138">
        <v>0</v>
      </c>
      <c r="T73" s="138">
        <f t="shared" si="8"/>
        <v>150000</v>
      </c>
      <c r="U73" s="29">
        <v>1</v>
      </c>
    </row>
    <row r="74" spans="1:21" s="28" customFormat="1" ht="15.45" x14ac:dyDescent="0.4">
      <c r="A74" s="19" t="s">
        <v>817</v>
      </c>
      <c r="B74" s="21">
        <v>45883</v>
      </c>
      <c r="C74" s="22" t="s">
        <v>3004</v>
      </c>
      <c r="D74" s="23" t="s">
        <v>3005</v>
      </c>
      <c r="E74" s="21">
        <v>45883</v>
      </c>
      <c r="F74" s="23" t="s">
        <v>808</v>
      </c>
      <c r="G74" s="23" t="s">
        <v>3006</v>
      </c>
      <c r="H74" s="23" t="s">
        <v>26</v>
      </c>
      <c r="I74" s="23" t="s">
        <v>80</v>
      </c>
      <c r="J74" s="23"/>
      <c r="K74" s="23" t="s">
        <v>16</v>
      </c>
      <c r="L74" s="123">
        <f t="shared" si="4"/>
        <v>1</v>
      </c>
      <c r="M74" s="24">
        <v>2525000</v>
      </c>
      <c r="N74" s="123">
        <v>0</v>
      </c>
      <c r="O74" s="138">
        <v>2525000</v>
      </c>
      <c r="P74" s="138">
        <f t="shared" si="9"/>
        <v>2525000</v>
      </c>
      <c r="Q74" s="138">
        <v>0</v>
      </c>
      <c r="R74" s="138"/>
      <c r="S74" s="138">
        <v>0</v>
      </c>
      <c r="T74" s="138">
        <f t="shared" si="8"/>
        <v>2525000</v>
      </c>
      <c r="U74" s="29">
        <v>1</v>
      </c>
    </row>
    <row r="75" spans="1:21" s="28" customFormat="1" ht="15.45" x14ac:dyDescent="0.4">
      <c r="A75" s="19" t="s">
        <v>98</v>
      </c>
      <c r="B75" s="21">
        <v>45883</v>
      </c>
      <c r="C75" s="22" t="s">
        <v>3007</v>
      </c>
      <c r="D75" s="23" t="s">
        <v>2863</v>
      </c>
      <c r="E75" s="21">
        <v>45868</v>
      </c>
      <c r="F75" s="23" t="s">
        <v>84</v>
      </c>
      <c r="G75" s="23" t="s">
        <v>89</v>
      </c>
      <c r="H75" s="23" t="s">
        <v>25</v>
      </c>
      <c r="I75" s="23" t="s">
        <v>79</v>
      </c>
      <c r="J75" s="139" t="s">
        <v>3286</v>
      </c>
      <c r="K75" s="23" t="s">
        <v>1</v>
      </c>
      <c r="L75" s="123">
        <f t="shared" si="4"/>
        <v>32880</v>
      </c>
      <c r="M75" s="24">
        <v>1525</v>
      </c>
      <c r="N75" s="123">
        <v>0</v>
      </c>
      <c r="O75" s="138">
        <v>50142000</v>
      </c>
      <c r="P75" s="138">
        <f t="shared" si="9"/>
        <v>50142000</v>
      </c>
      <c r="Q75" s="138">
        <v>5515620</v>
      </c>
      <c r="R75" s="138">
        <f>P75*1.5%</f>
        <v>752130</v>
      </c>
      <c r="S75" s="138">
        <v>0</v>
      </c>
      <c r="T75" s="138">
        <f>P75+Q75-S75-R75</f>
        <v>54905490</v>
      </c>
      <c r="U75" s="29">
        <v>32880</v>
      </c>
    </row>
    <row r="76" spans="1:21" s="28" customFormat="1" ht="15.45" x14ac:dyDescent="0.4">
      <c r="A76" s="19" t="s">
        <v>236</v>
      </c>
      <c r="B76" s="21">
        <v>45883</v>
      </c>
      <c r="C76" s="22" t="s">
        <v>3008</v>
      </c>
      <c r="D76" s="23" t="s">
        <v>3009</v>
      </c>
      <c r="E76" s="21">
        <v>45877</v>
      </c>
      <c r="F76" s="23" t="s">
        <v>235</v>
      </c>
      <c r="G76" s="23" t="s">
        <v>155</v>
      </c>
      <c r="H76" s="23" t="s">
        <v>24</v>
      </c>
      <c r="I76" s="23" t="s">
        <v>61</v>
      </c>
      <c r="J76" s="23"/>
      <c r="K76" s="23" t="s">
        <v>156</v>
      </c>
      <c r="L76" s="123">
        <f t="shared" si="4"/>
        <v>5</v>
      </c>
      <c r="M76" s="24">
        <v>730000</v>
      </c>
      <c r="N76" s="123">
        <v>0</v>
      </c>
      <c r="O76" s="138">
        <v>3650000</v>
      </c>
      <c r="P76" s="138">
        <f t="shared" si="9"/>
        <v>3650000</v>
      </c>
      <c r="Q76" s="138">
        <v>0</v>
      </c>
      <c r="R76" s="138"/>
      <c r="S76" s="138">
        <v>0</v>
      </c>
      <c r="T76" s="138">
        <f>P76+Q76-S76</f>
        <v>3650000</v>
      </c>
      <c r="U76" s="29">
        <v>5</v>
      </c>
    </row>
    <row r="77" spans="1:21" s="28" customFormat="1" ht="15.45" x14ac:dyDescent="0.4">
      <c r="A77" s="19" t="s">
        <v>133</v>
      </c>
      <c r="B77" s="21">
        <v>45883</v>
      </c>
      <c r="C77" s="22" t="s">
        <v>3010</v>
      </c>
      <c r="D77" s="23" t="s">
        <v>2979</v>
      </c>
      <c r="E77" s="21">
        <v>45882</v>
      </c>
      <c r="F77" s="23" t="s">
        <v>121</v>
      </c>
      <c r="G77" s="23" t="s">
        <v>122</v>
      </c>
      <c r="H77" s="23" t="s">
        <v>24</v>
      </c>
      <c r="I77" s="23" t="s">
        <v>61</v>
      </c>
      <c r="J77" s="23"/>
      <c r="K77" s="23" t="s">
        <v>123</v>
      </c>
      <c r="L77" s="123">
        <f t="shared" si="4"/>
        <v>60</v>
      </c>
      <c r="M77" s="24">
        <v>19584</v>
      </c>
      <c r="N77" s="123">
        <v>0</v>
      </c>
      <c r="O77" s="138">
        <v>1175040</v>
      </c>
      <c r="P77" s="138">
        <f t="shared" si="9"/>
        <v>1175040</v>
      </c>
      <c r="Q77" s="138">
        <v>0</v>
      </c>
      <c r="R77" s="138"/>
      <c r="S77" s="138">
        <v>0</v>
      </c>
      <c r="T77" s="138">
        <f>P77+Q77-S77</f>
        <v>1175040</v>
      </c>
      <c r="U77" s="29">
        <v>60</v>
      </c>
    </row>
    <row r="78" spans="1:21" s="28" customFormat="1" ht="15.45" x14ac:dyDescent="0.4">
      <c r="A78" s="20" t="s">
        <v>2783</v>
      </c>
      <c r="B78" s="21">
        <v>45883</v>
      </c>
      <c r="C78" s="22" t="s">
        <v>3011</v>
      </c>
      <c r="D78" s="23" t="s">
        <v>2969</v>
      </c>
      <c r="E78" s="21">
        <v>45880</v>
      </c>
      <c r="F78" s="23" t="s">
        <v>2781</v>
      </c>
      <c r="G78" s="23" t="s">
        <v>175</v>
      </c>
      <c r="H78" s="23" t="s">
        <v>25</v>
      </c>
      <c r="I78" s="23" t="s">
        <v>79</v>
      </c>
      <c r="J78" s="139" t="s">
        <v>3274</v>
      </c>
      <c r="K78" s="23" t="s">
        <v>1</v>
      </c>
      <c r="L78" s="123">
        <f t="shared" si="4"/>
        <v>27390</v>
      </c>
      <c r="M78" s="24">
        <v>1150</v>
      </c>
      <c r="N78" s="123">
        <v>0</v>
      </c>
      <c r="O78" s="138">
        <v>31498500</v>
      </c>
      <c r="P78" s="138">
        <f t="shared" si="9"/>
        <v>31498500</v>
      </c>
      <c r="Q78" s="141">
        <v>3464835</v>
      </c>
      <c r="R78" s="138">
        <f>P78*1.5%</f>
        <v>472477.5</v>
      </c>
      <c r="S78" s="138">
        <v>0</v>
      </c>
      <c r="T78" s="138">
        <f>P78+Q78-S78-R78</f>
        <v>34490857.5</v>
      </c>
      <c r="U78" s="29">
        <v>27390</v>
      </c>
    </row>
    <row r="79" spans="1:21" s="28" customFormat="1" ht="15.45" x14ac:dyDescent="0.4">
      <c r="A79" s="19" t="s">
        <v>1113</v>
      </c>
      <c r="B79" s="21">
        <v>45884</v>
      </c>
      <c r="C79" s="22" t="s">
        <v>3012</v>
      </c>
      <c r="D79" s="23" t="s">
        <v>3013</v>
      </c>
      <c r="E79" s="21">
        <v>45883</v>
      </c>
      <c r="F79" s="23" t="s">
        <v>1059</v>
      </c>
      <c r="G79" s="23" t="s">
        <v>3014</v>
      </c>
      <c r="H79" s="23" t="s">
        <v>24</v>
      </c>
      <c r="I79" s="23" t="s">
        <v>61</v>
      </c>
      <c r="J79" s="23"/>
      <c r="K79" s="23" t="s">
        <v>6</v>
      </c>
      <c r="L79" s="123">
        <f t="shared" si="4"/>
        <v>2</v>
      </c>
      <c r="M79" s="24">
        <v>550000</v>
      </c>
      <c r="N79" s="123">
        <v>0</v>
      </c>
      <c r="O79" s="138">
        <v>1100000</v>
      </c>
      <c r="P79" s="138">
        <f t="shared" si="9"/>
        <v>1100000</v>
      </c>
      <c r="Q79" s="141">
        <v>121000</v>
      </c>
      <c r="R79" s="138"/>
      <c r="S79" s="138">
        <v>0</v>
      </c>
      <c r="T79" s="138">
        <f>P79+Q79-S79</f>
        <v>1221000</v>
      </c>
      <c r="U79" s="29">
        <v>2</v>
      </c>
    </row>
    <row r="80" spans="1:21" s="28" customFormat="1" ht="15.45" x14ac:dyDescent="0.4">
      <c r="A80" s="19" t="s">
        <v>97</v>
      </c>
      <c r="B80" s="21">
        <v>45884</v>
      </c>
      <c r="C80" s="22" t="s">
        <v>3015</v>
      </c>
      <c r="D80" s="23" t="s">
        <v>3016</v>
      </c>
      <c r="E80" s="21">
        <v>45883</v>
      </c>
      <c r="F80" s="23" t="s">
        <v>63</v>
      </c>
      <c r="G80" s="23" t="s">
        <v>52</v>
      </c>
      <c r="H80" s="23" t="s">
        <v>24</v>
      </c>
      <c r="I80" s="23" t="s">
        <v>61</v>
      </c>
      <c r="J80" s="139" t="s">
        <v>3029</v>
      </c>
      <c r="K80" s="23" t="s">
        <v>12</v>
      </c>
      <c r="L80" s="123">
        <f t="shared" si="4"/>
        <v>2</v>
      </c>
      <c r="M80" s="24">
        <v>2825000</v>
      </c>
      <c r="N80" s="123">
        <v>0</v>
      </c>
      <c r="O80" s="138">
        <v>5650000</v>
      </c>
      <c r="P80" s="138">
        <f t="shared" si="9"/>
        <v>5650000</v>
      </c>
      <c r="Q80" s="141">
        <v>621500</v>
      </c>
      <c r="R80" s="138"/>
      <c r="S80" s="138">
        <v>0</v>
      </c>
      <c r="T80" s="138">
        <f>P80+Q80-S80</f>
        <v>6271500</v>
      </c>
      <c r="U80" s="29">
        <v>2</v>
      </c>
    </row>
    <row r="81" spans="1:22" s="28" customFormat="1" ht="15.45" x14ac:dyDescent="0.4">
      <c r="A81" s="19" t="s">
        <v>2456</v>
      </c>
      <c r="B81" s="21">
        <v>45884</v>
      </c>
      <c r="C81" s="27" t="s">
        <v>3017</v>
      </c>
      <c r="D81" s="23"/>
      <c r="E81" s="21"/>
      <c r="F81" s="23" t="s">
        <v>2449</v>
      </c>
      <c r="G81" s="23" t="s">
        <v>3019</v>
      </c>
      <c r="H81" s="23" t="s">
        <v>169</v>
      </c>
      <c r="I81" s="23" t="s">
        <v>192</v>
      </c>
      <c r="J81" s="139" t="s">
        <v>3027</v>
      </c>
      <c r="K81" s="23" t="s">
        <v>0</v>
      </c>
      <c r="L81" s="123">
        <v>477.56</v>
      </c>
      <c r="M81" s="24">
        <v>2500</v>
      </c>
      <c r="N81" s="123">
        <v>0</v>
      </c>
      <c r="O81" s="138">
        <f>L81*M81</f>
        <v>1193900</v>
      </c>
      <c r="P81" s="138">
        <f t="shared" si="9"/>
        <v>1193900</v>
      </c>
      <c r="Q81" s="141">
        <f>P81*0.11</f>
        <v>131329</v>
      </c>
      <c r="R81" s="138">
        <f>P81*2%</f>
        <v>23878</v>
      </c>
      <c r="S81" s="138">
        <v>0</v>
      </c>
      <c r="T81" s="138">
        <f>P81+Q81-S81-R81</f>
        <v>1301351</v>
      </c>
      <c r="U81" s="29"/>
    </row>
    <row r="82" spans="1:22" s="28" customFormat="1" ht="15.45" x14ac:dyDescent="0.4">
      <c r="A82" s="19" t="s">
        <v>2456</v>
      </c>
      <c r="B82" s="21">
        <v>45884</v>
      </c>
      <c r="C82" s="27" t="s">
        <v>3018</v>
      </c>
      <c r="D82" s="23"/>
      <c r="E82" s="21"/>
      <c r="F82" s="23" t="s">
        <v>2449</v>
      </c>
      <c r="G82" s="23" t="s">
        <v>3020</v>
      </c>
      <c r="H82" s="23" t="s">
        <v>169</v>
      </c>
      <c r="I82" s="23" t="s">
        <v>192</v>
      </c>
      <c r="J82" s="139" t="s">
        <v>3027</v>
      </c>
      <c r="K82" s="23" t="s">
        <v>0</v>
      </c>
      <c r="L82" s="123">
        <v>2000</v>
      </c>
      <c r="M82" s="24">
        <v>3000</v>
      </c>
      <c r="N82" s="123">
        <v>0</v>
      </c>
      <c r="O82" s="138">
        <f>L82*M82</f>
        <v>6000000</v>
      </c>
      <c r="P82" s="138">
        <f t="shared" si="9"/>
        <v>6000000</v>
      </c>
      <c r="Q82" s="141">
        <f>P82*0.11</f>
        <v>660000</v>
      </c>
      <c r="R82" s="138">
        <f>P82*2%</f>
        <v>120000</v>
      </c>
      <c r="S82" s="138">
        <v>0</v>
      </c>
      <c r="T82" s="138">
        <f>P82+Q82-S82-R82</f>
        <v>6540000</v>
      </c>
      <c r="U82" s="29"/>
    </row>
    <row r="83" spans="1:22" s="28" customFormat="1" ht="15.45" x14ac:dyDescent="0.4">
      <c r="A83" s="19" t="s">
        <v>2456</v>
      </c>
      <c r="B83" s="21">
        <v>45884</v>
      </c>
      <c r="C83" s="27"/>
      <c r="D83" s="23"/>
      <c r="E83" s="21"/>
      <c r="F83" s="23" t="s">
        <v>2449</v>
      </c>
      <c r="G83" s="23" t="s">
        <v>2459</v>
      </c>
      <c r="H83" s="23" t="s">
        <v>169</v>
      </c>
      <c r="I83" s="23" t="s">
        <v>192</v>
      </c>
      <c r="J83" s="139"/>
      <c r="K83" s="23"/>
      <c r="L83" s="123">
        <v>1</v>
      </c>
      <c r="M83" s="24">
        <v>500000</v>
      </c>
      <c r="N83" s="123">
        <v>0</v>
      </c>
      <c r="O83" s="138">
        <f>L83*M83</f>
        <v>500000</v>
      </c>
      <c r="P83" s="138">
        <f t="shared" si="9"/>
        <v>500000</v>
      </c>
      <c r="Q83" s="138"/>
      <c r="R83" s="138"/>
      <c r="S83" s="138">
        <v>0</v>
      </c>
      <c r="T83" s="138">
        <f>P83+Q83-S83-R83</f>
        <v>500000</v>
      </c>
      <c r="U83" s="29"/>
    </row>
    <row r="84" spans="1:22" s="28" customFormat="1" ht="15.45" x14ac:dyDescent="0.4">
      <c r="A84" s="19" t="s">
        <v>106</v>
      </c>
      <c r="B84" s="21">
        <v>45887</v>
      </c>
      <c r="C84" s="22" t="s">
        <v>3030</v>
      </c>
      <c r="D84" s="23" t="s">
        <v>3031</v>
      </c>
      <c r="E84" s="21">
        <v>45883</v>
      </c>
      <c r="F84" s="23" t="s">
        <v>66</v>
      </c>
      <c r="G84" s="23" t="s">
        <v>19</v>
      </c>
      <c r="H84" s="23" t="s">
        <v>23</v>
      </c>
      <c r="I84" s="23" t="s">
        <v>888</v>
      </c>
      <c r="J84" s="23"/>
      <c r="K84" s="23" t="s">
        <v>4</v>
      </c>
      <c r="L84" s="123">
        <f t="shared" ref="L84:L108" si="10">IF(LEFT(C84,2)="RP",U84*-1,U84)</f>
        <v>200</v>
      </c>
      <c r="M84" s="24">
        <v>18500</v>
      </c>
      <c r="N84" s="123">
        <v>0</v>
      </c>
      <c r="O84" s="25">
        <v>3700000</v>
      </c>
      <c r="P84" s="25">
        <f t="shared" si="9"/>
        <v>3700000</v>
      </c>
      <c r="Q84" s="25">
        <v>407000</v>
      </c>
      <c r="R84" s="25"/>
      <c r="S84" s="25">
        <v>0</v>
      </c>
      <c r="T84" s="25">
        <f>P84+Q84-S84</f>
        <v>4107000</v>
      </c>
      <c r="U84" s="29">
        <v>200</v>
      </c>
      <c r="V84" s="28" t="e">
        <v>#VALUE!</v>
      </c>
    </row>
    <row r="85" spans="1:22" s="28" customFormat="1" ht="15.45" x14ac:dyDescent="0.4">
      <c r="A85" s="19" t="s">
        <v>106</v>
      </c>
      <c r="B85" s="21">
        <v>45887</v>
      </c>
      <c r="C85" s="22" t="s">
        <v>3032</v>
      </c>
      <c r="D85" s="23" t="s">
        <v>3033</v>
      </c>
      <c r="E85" s="21">
        <v>45883</v>
      </c>
      <c r="F85" s="23" t="s">
        <v>66</v>
      </c>
      <c r="G85" s="23" t="s">
        <v>53</v>
      </c>
      <c r="H85" s="23" t="s">
        <v>23</v>
      </c>
      <c r="I85" s="23" t="s">
        <v>978</v>
      </c>
      <c r="J85" s="23"/>
      <c r="K85" s="23" t="s">
        <v>1</v>
      </c>
      <c r="L85" s="123">
        <f t="shared" si="10"/>
        <v>500</v>
      </c>
      <c r="M85" s="24">
        <v>11050</v>
      </c>
      <c r="N85" s="123">
        <v>0</v>
      </c>
      <c r="O85" s="25">
        <v>5525000</v>
      </c>
      <c r="P85" s="25">
        <f t="shared" si="9"/>
        <v>5525000</v>
      </c>
      <c r="Q85" s="25">
        <v>607750</v>
      </c>
      <c r="R85" s="25"/>
      <c r="S85" s="25">
        <v>0</v>
      </c>
      <c r="T85" s="25">
        <f>P85+Q85-S85</f>
        <v>6132750</v>
      </c>
      <c r="U85" s="29">
        <v>500</v>
      </c>
      <c r="V85" s="28" t="e">
        <v>#VALUE!</v>
      </c>
    </row>
    <row r="86" spans="1:22" s="28" customFormat="1" ht="15.45" x14ac:dyDescent="0.4">
      <c r="A86" s="20" t="s">
        <v>2783</v>
      </c>
      <c r="B86" s="21">
        <v>45887</v>
      </c>
      <c r="C86" s="22" t="s">
        <v>3034</v>
      </c>
      <c r="D86" s="23" t="s">
        <v>2969</v>
      </c>
      <c r="E86" s="21">
        <v>45880</v>
      </c>
      <c r="F86" s="23" t="s">
        <v>2781</v>
      </c>
      <c r="G86" s="23" t="s">
        <v>175</v>
      </c>
      <c r="H86" s="23" t="s">
        <v>25</v>
      </c>
      <c r="I86" s="23" t="s">
        <v>79</v>
      </c>
      <c r="J86" s="139" t="s">
        <v>3277</v>
      </c>
      <c r="K86" s="23" t="s">
        <v>1</v>
      </c>
      <c r="L86" s="123">
        <f t="shared" si="10"/>
        <v>27620</v>
      </c>
      <c r="M86" s="24">
        <v>1150</v>
      </c>
      <c r="N86" s="123">
        <v>0</v>
      </c>
      <c r="O86" s="138">
        <v>31763000</v>
      </c>
      <c r="P86" s="138">
        <f t="shared" si="9"/>
        <v>31763000</v>
      </c>
      <c r="Q86" s="141">
        <v>3493930</v>
      </c>
      <c r="R86" s="138">
        <f>P86*1.5%</f>
        <v>476445</v>
      </c>
      <c r="S86" s="138">
        <v>0</v>
      </c>
      <c r="T86" s="138">
        <f>P86+Q86-S86-R86</f>
        <v>34780485</v>
      </c>
      <c r="U86" s="29">
        <v>27620</v>
      </c>
    </row>
    <row r="87" spans="1:22" s="28" customFormat="1" ht="15.45" x14ac:dyDescent="0.4">
      <c r="A87" s="19" t="s">
        <v>115</v>
      </c>
      <c r="B87" s="21">
        <v>45887</v>
      </c>
      <c r="C87" s="22" t="s">
        <v>3035</v>
      </c>
      <c r="D87" s="23" t="s">
        <v>2914</v>
      </c>
      <c r="E87" s="21">
        <v>45868</v>
      </c>
      <c r="F87" s="23" t="s">
        <v>81</v>
      </c>
      <c r="G87" s="23" t="s">
        <v>89</v>
      </c>
      <c r="H87" s="23" t="s">
        <v>25</v>
      </c>
      <c r="I87" s="23" t="s">
        <v>79</v>
      </c>
      <c r="J87" s="139" t="s">
        <v>3285</v>
      </c>
      <c r="K87" s="23" t="s">
        <v>1</v>
      </c>
      <c r="L87" s="123">
        <f t="shared" si="10"/>
        <v>29680</v>
      </c>
      <c r="M87" s="24">
        <v>1525</v>
      </c>
      <c r="N87" s="123">
        <v>0</v>
      </c>
      <c r="O87" s="138">
        <v>45262000</v>
      </c>
      <c r="P87" s="138">
        <f t="shared" si="9"/>
        <v>45262000</v>
      </c>
      <c r="Q87" s="141">
        <v>4978820</v>
      </c>
      <c r="R87" s="138">
        <f>P87*1.5%</f>
        <v>678930</v>
      </c>
      <c r="S87" s="138">
        <v>0</v>
      </c>
      <c r="T87" s="138">
        <f>P87+Q87-S87-R87</f>
        <v>49561890</v>
      </c>
      <c r="U87" s="29">
        <v>29680</v>
      </c>
    </row>
    <row r="88" spans="1:22" s="28" customFormat="1" ht="15.45" x14ac:dyDescent="0.4">
      <c r="A88" s="19" t="s">
        <v>111</v>
      </c>
      <c r="B88" s="21">
        <v>45887</v>
      </c>
      <c r="C88" s="22" t="s">
        <v>3036</v>
      </c>
      <c r="D88" s="23" t="s">
        <v>3037</v>
      </c>
      <c r="E88" s="21">
        <v>45887</v>
      </c>
      <c r="F88" s="23" t="s">
        <v>55</v>
      </c>
      <c r="G88" s="23" t="s">
        <v>3038</v>
      </c>
      <c r="H88" s="23" t="s">
        <v>24</v>
      </c>
      <c r="I88" s="23" t="s">
        <v>61</v>
      </c>
      <c r="J88" s="23"/>
      <c r="K88" s="23" t="s">
        <v>6</v>
      </c>
      <c r="L88" s="123">
        <f t="shared" si="10"/>
        <v>3</v>
      </c>
      <c r="M88" s="24">
        <v>150000</v>
      </c>
      <c r="N88" s="123">
        <v>0</v>
      </c>
      <c r="O88" s="138">
        <v>450000</v>
      </c>
      <c r="P88" s="138">
        <f t="shared" si="9"/>
        <v>450000</v>
      </c>
      <c r="Q88" s="138">
        <v>0</v>
      </c>
      <c r="R88" s="25"/>
      <c r="S88" s="25">
        <v>0</v>
      </c>
      <c r="T88" s="25">
        <f t="shared" ref="T88:T97" si="11">P88+Q88-S88</f>
        <v>450000</v>
      </c>
      <c r="U88" s="29">
        <v>3</v>
      </c>
    </row>
    <row r="89" spans="1:22" s="28" customFormat="1" ht="15.45" x14ac:dyDescent="0.4">
      <c r="A89" s="20" t="s">
        <v>2044</v>
      </c>
      <c r="B89" s="21">
        <v>45888</v>
      </c>
      <c r="C89" s="22" t="s">
        <v>3039</v>
      </c>
      <c r="D89" s="23" t="s">
        <v>3040</v>
      </c>
      <c r="E89" s="21">
        <v>45887</v>
      </c>
      <c r="F89" s="23" t="s">
        <v>2006</v>
      </c>
      <c r="G89" s="23" t="s">
        <v>2007</v>
      </c>
      <c r="H89" s="23" t="s">
        <v>23</v>
      </c>
      <c r="I89" s="23" t="s">
        <v>890</v>
      </c>
      <c r="J89" s="23"/>
      <c r="K89" s="23" t="s">
        <v>1</v>
      </c>
      <c r="L89" s="123">
        <f t="shared" si="10"/>
        <v>200</v>
      </c>
      <c r="M89" s="24">
        <v>17787</v>
      </c>
      <c r="N89" s="123">
        <v>16170</v>
      </c>
      <c r="O89" s="138">
        <v>3557400</v>
      </c>
      <c r="P89" s="138">
        <f t="shared" si="9"/>
        <v>3557400</v>
      </c>
      <c r="Q89" s="141">
        <v>391314</v>
      </c>
      <c r="R89" s="25"/>
      <c r="S89" s="25">
        <v>0</v>
      </c>
      <c r="T89" s="25">
        <f t="shared" si="11"/>
        <v>3948714</v>
      </c>
      <c r="U89" s="29">
        <v>200</v>
      </c>
      <c r="V89" s="28" t="e">
        <v>#VALUE!</v>
      </c>
    </row>
    <row r="90" spans="1:22" s="28" customFormat="1" ht="15.45" x14ac:dyDescent="0.4">
      <c r="A90" s="19" t="s">
        <v>99</v>
      </c>
      <c r="B90" s="21">
        <v>45888</v>
      </c>
      <c r="C90" s="22" t="s">
        <v>3041</v>
      </c>
      <c r="D90" s="23" t="s">
        <v>3042</v>
      </c>
      <c r="E90" s="21">
        <v>45883</v>
      </c>
      <c r="F90" s="23" t="s">
        <v>64</v>
      </c>
      <c r="G90" s="23" t="s">
        <v>238</v>
      </c>
      <c r="H90" s="23" t="s">
        <v>23</v>
      </c>
      <c r="I90" s="23" t="s">
        <v>887</v>
      </c>
      <c r="J90" s="139" t="s">
        <v>3083</v>
      </c>
      <c r="K90" s="23" t="s">
        <v>1</v>
      </c>
      <c r="L90" s="123">
        <f t="shared" si="10"/>
        <v>300</v>
      </c>
      <c r="M90" s="24">
        <v>33000</v>
      </c>
      <c r="N90" s="123">
        <v>0</v>
      </c>
      <c r="O90" s="138">
        <v>9900000</v>
      </c>
      <c r="P90" s="138">
        <f t="shared" si="9"/>
        <v>9900000</v>
      </c>
      <c r="Q90" s="141">
        <v>1089000</v>
      </c>
      <c r="R90" s="25"/>
      <c r="S90" s="25">
        <v>0</v>
      </c>
      <c r="T90" s="25">
        <f t="shared" si="11"/>
        <v>10989000</v>
      </c>
      <c r="U90" s="29">
        <v>300</v>
      </c>
      <c r="V90" s="28" t="e">
        <v>#VALUE!</v>
      </c>
    </row>
    <row r="91" spans="1:22" s="28" customFormat="1" ht="15.45" x14ac:dyDescent="0.4">
      <c r="A91" s="19" t="s">
        <v>99</v>
      </c>
      <c r="B91" s="21">
        <v>45888</v>
      </c>
      <c r="C91" s="22" t="s">
        <v>3041</v>
      </c>
      <c r="D91" s="23" t="s">
        <v>3042</v>
      </c>
      <c r="E91" s="21">
        <v>45883</v>
      </c>
      <c r="F91" s="23" t="s">
        <v>64</v>
      </c>
      <c r="G91" s="23" t="s">
        <v>237</v>
      </c>
      <c r="H91" s="23" t="s">
        <v>23</v>
      </c>
      <c r="I91" s="23" t="s">
        <v>887</v>
      </c>
      <c r="J91" s="139" t="s">
        <v>3083</v>
      </c>
      <c r="K91" s="23" t="s">
        <v>1</v>
      </c>
      <c r="L91" s="123">
        <f t="shared" si="10"/>
        <v>300</v>
      </c>
      <c r="M91" s="24">
        <v>47500</v>
      </c>
      <c r="N91" s="123">
        <v>0</v>
      </c>
      <c r="O91" s="138">
        <v>14250000</v>
      </c>
      <c r="P91" s="138">
        <f t="shared" si="9"/>
        <v>14250000</v>
      </c>
      <c r="Q91" s="141">
        <v>1567500</v>
      </c>
      <c r="R91" s="25"/>
      <c r="S91" s="25">
        <v>0</v>
      </c>
      <c r="T91" s="25">
        <f t="shared" si="11"/>
        <v>15817500</v>
      </c>
      <c r="U91" s="29">
        <v>300</v>
      </c>
      <c r="V91" s="28" t="e">
        <v>#VALUE!</v>
      </c>
    </row>
    <row r="92" spans="1:22" s="28" customFormat="1" ht="15.45" x14ac:dyDescent="0.4">
      <c r="A92" s="19" t="s">
        <v>200</v>
      </c>
      <c r="B92" s="21">
        <v>45888</v>
      </c>
      <c r="C92" s="22" t="s">
        <v>3043</v>
      </c>
      <c r="D92" s="23" t="s">
        <v>3044</v>
      </c>
      <c r="E92" s="21">
        <v>45887</v>
      </c>
      <c r="F92" s="23" t="s">
        <v>194</v>
      </c>
      <c r="G92" s="23" t="s">
        <v>195</v>
      </c>
      <c r="H92" s="23" t="s">
        <v>23</v>
      </c>
      <c r="I92" s="23" t="s">
        <v>888</v>
      </c>
      <c r="J92" s="23"/>
      <c r="K92" s="23" t="s">
        <v>1</v>
      </c>
      <c r="L92" s="123">
        <f t="shared" si="10"/>
        <v>300</v>
      </c>
      <c r="M92" s="24">
        <v>17000</v>
      </c>
      <c r="N92" s="123">
        <v>0</v>
      </c>
      <c r="O92" s="138">
        <v>5100000</v>
      </c>
      <c r="P92" s="138">
        <f t="shared" si="9"/>
        <v>5100000</v>
      </c>
      <c r="Q92" s="138">
        <v>561000</v>
      </c>
      <c r="R92" s="25"/>
      <c r="S92" s="25">
        <v>0</v>
      </c>
      <c r="T92" s="114">
        <f t="shared" si="11"/>
        <v>5661000</v>
      </c>
      <c r="U92" s="29">
        <v>300</v>
      </c>
      <c r="V92" s="28" t="e">
        <v>#VALUE!</v>
      </c>
    </row>
    <row r="93" spans="1:22" s="28" customFormat="1" ht="15.45" x14ac:dyDescent="0.4">
      <c r="A93" s="19" t="s">
        <v>103</v>
      </c>
      <c r="B93" s="21">
        <v>45889</v>
      </c>
      <c r="C93" s="22" t="s">
        <v>3045</v>
      </c>
      <c r="D93" s="23" t="s">
        <v>3046</v>
      </c>
      <c r="E93" s="21">
        <v>45883</v>
      </c>
      <c r="F93" s="23" t="s">
        <v>70</v>
      </c>
      <c r="G93" s="23" t="s">
        <v>46</v>
      </c>
      <c r="H93" s="23" t="s">
        <v>23</v>
      </c>
      <c r="I93" s="23" t="s">
        <v>889</v>
      </c>
      <c r="J93" s="139" t="s">
        <v>3091</v>
      </c>
      <c r="K93" s="23" t="s">
        <v>1</v>
      </c>
      <c r="L93" s="123">
        <f t="shared" si="10"/>
        <v>240</v>
      </c>
      <c r="M93" s="24">
        <v>24000</v>
      </c>
      <c r="N93" s="123">
        <v>0</v>
      </c>
      <c r="O93" s="138">
        <v>5760000</v>
      </c>
      <c r="P93" s="138">
        <f t="shared" si="9"/>
        <v>5760000</v>
      </c>
      <c r="Q93" s="141">
        <v>633600</v>
      </c>
      <c r="R93" s="25"/>
      <c r="S93" s="25">
        <v>0</v>
      </c>
      <c r="T93" s="25">
        <f t="shared" si="11"/>
        <v>6393600</v>
      </c>
      <c r="U93" s="29">
        <v>240</v>
      </c>
      <c r="V93" s="28" t="e">
        <v>#VALUE!</v>
      </c>
    </row>
    <row r="94" spans="1:22" s="28" customFormat="1" ht="15.45" x14ac:dyDescent="0.4">
      <c r="A94" s="19" t="s">
        <v>103</v>
      </c>
      <c r="B94" s="21">
        <v>45889</v>
      </c>
      <c r="C94" s="22" t="s">
        <v>3045</v>
      </c>
      <c r="D94" s="23" t="s">
        <v>3046</v>
      </c>
      <c r="E94" s="21">
        <v>45883</v>
      </c>
      <c r="F94" s="23" t="s">
        <v>70</v>
      </c>
      <c r="G94" s="23" t="s">
        <v>47</v>
      </c>
      <c r="H94" s="23" t="s">
        <v>23</v>
      </c>
      <c r="I94" s="23" t="s">
        <v>889</v>
      </c>
      <c r="J94" s="139" t="s">
        <v>3091</v>
      </c>
      <c r="K94" s="23" t="s">
        <v>1</v>
      </c>
      <c r="L94" s="123">
        <f t="shared" si="10"/>
        <v>240</v>
      </c>
      <c r="M94" s="24">
        <v>23000</v>
      </c>
      <c r="N94" s="123">
        <v>0</v>
      </c>
      <c r="O94" s="138">
        <v>5520000</v>
      </c>
      <c r="P94" s="138">
        <f t="shared" si="9"/>
        <v>5520000</v>
      </c>
      <c r="Q94" s="141">
        <v>607200</v>
      </c>
      <c r="R94" s="25"/>
      <c r="S94" s="25">
        <v>0</v>
      </c>
      <c r="T94" s="25">
        <f t="shared" si="11"/>
        <v>6127200</v>
      </c>
      <c r="U94" s="29">
        <v>240</v>
      </c>
      <c r="V94" s="28" t="e">
        <v>#VALUE!</v>
      </c>
    </row>
    <row r="95" spans="1:22" s="28" customFormat="1" ht="15.45" x14ac:dyDescent="0.4">
      <c r="A95" s="19" t="s">
        <v>2190</v>
      </c>
      <c r="B95" s="21">
        <v>45889</v>
      </c>
      <c r="C95" s="22" t="s">
        <v>3047</v>
      </c>
      <c r="D95" s="23" t="s">
        <v>3048</v>
      </c>
      <c r="E95" s="21">
        <v>45883</v>
      </c>
      <c r="F95" s="23" t="s">
        <v>2128</v>
      </c>
      <c r="G95" s="23" t="s">
        <v>53</v>
      </c>
      <c r="H95" s="23" t="s">
        <v>23</v>
      </c>
      <c r="I95" s="23" t="s">
        <v>978</v>
      </c>
      <c r="J95" s="139" t="s">
        <v>3090</v>
      </c>
      <c r="K95" s="23" t="s">
        <v>1</v>
      </c>
      <c r="L95" s="123">
        <f t="shared" si="10"/>
        <v>1500</v>
      </c>
      <c r="M95" s="24">
        <v>11100</v>
      </c>
      <c r="N95" s="123">
        <v>0</v>
      </c>
      <c r="O95" s="138">
        <v>16650000</v>
      </c>
      <c r="P95" s="138">
        <f t="shared" si="9"/>
        <v>16650000</v>
      </c>
      <c r="Q95" s="141">
        <v>1831500</v>
      </c>
      <c r="R95" s="25"/>
      <c r="S95" s="25">
        <v>0</v>
      </c>
      <c r="T95" s="25">
        <f t="shared" si="11"/>
        <v>18481500</v>
      </c>
      <c r="U95" s="29">
        <v>1500</v>
      </c>
      <c r="V95" s="28" t="e">
        <v>#VALUE!</v>
      </c>
    </row>
    <row r="96" spans="1:22" s="28" customFormat="1" ht="15.45" x14ac:dyDescent="0.4">
      <c r="A96" s="19" t="s">
        <v>112</v>
      </c>
      <c r="B96" s="21">
        <v>45889</v>
      </c>
      <c r="C96" s="22" t="s">
        <v>3049</v>
      </c>
      <c r="D96" s="23" t="s">
        <v>3050</v>
      </c>
      <c r="E96" s="21">
        <v>45883</v>
      </c>
      <c r="F96" s="23" t="s">
        <v>50</v>
      </c>
      <c r="G96" s="23" t="s">
        <v>2222</v>
      </c>
      <c r="H96" s="23" t="s">
        <v>23</v>
      </c>
      <c r="I96" s="23" t="s">
        <v>885</v>
      </c>
      <c r="J96" s="139" t="s">
        <v>3252</v>
      </c>
      <c r="K96" s="23" t="s">
        <v>1</v>
      </c>
      <c r="L96" s="123">
        <f t="shared" si="10"/>
        <v>100</v>
      </c>
      <c r="M96" s="24">
        <v>67683</v>
      </c>
      <c r="N96" s="123">
        <v>16115</v>
      </c>
      <c r="O96" s="138">
        <v>6768300</v>
      </c>
      <c r="P96" s="138">
        <f t="shared" si="9"/>
        <v>6768300</v>
      </c>
      <c r="Q96" s="141">
        <v>744513</v>
      </c>
      <c r="R96" s="25"/>
      <c r="S96" s="25">
        <v>0</v>
      </c>
      <c r="T96" s="25">
        <f t="shared" si="11"/>
        <v>7512813</v>
      </c>
      <c r="U96" s="29">
        <v>100</v>
      </c>
      <c r="V96" s="28" t="e">
        <v>#VALUE!</v>
      </c>
    </row>
    <row r="97" spans="1:22" s="28" customFormat="1" ht="15.45" x14ac:dyDescent="0.4">
      <c r="A97" s="19" t="s">
        <v>105</v>
      </c>
      <c r="B97" s="21">
        <v>45889</v>
      </c>
      <c r="C97" s="22" t="s">
        <v>3051</v>
      </c>
      <c r="D97" s="23" t="s">
        <v>3052</v>
      </c>
      <c r="E97" s="21">
        <v>45854</v>
      </c>
      <c r="F97" s="23" t="s">
        <v>85</v>
      </c>
      <c r="G97" s="23" t="s">
        <v>1586</v>
      </c>
      <c r="H97" s="23" t="s">
        <v>23</v>
      </c>
      <c r="I97" s="23" t="s">
        <v>886</v>
      </c>
      <c r="J97" s="139" t="s">
        <v>3082</v>
      </c>
      <c r="K97" s="23" t="s">
        <v>1</v>
      </c>
      <c r="L97" s="123">
        <f t="shared" si="10"/>
        <v>400</v>
      </c>
      <c r="M97" s="24">
        <v>51276</v>
      </c>
      <c r="N97" s="123">
        <v>16278</v>
      </c>
      <c r="O97" s="138">
        <v>20510400</v>
      </c>
      <c r="P97" s="138">
        <f t="shared" si="9"/>
        <v>20510400</v>
      </c>
      <c r="Q97" s="141">
        <v>2256144</v>
      </c>
      <c r="R97" s="25"/>
      <c r="S97" s="25">
        <v>0</v>
      </c>
      <c r="T97" s="114">
        <f t="shared" si="11"/>
        <v>22766544</v>
      </c>
      <c r="U97" s="29">
        <v>400</v>
      </c>
      <c r="V97" s="28" t="e">
        <v>#VALUE!</v>
      </c>
    </row>
    <row r="98" spans="1:22" s="28" customFormat="1" ht="15.45" x14ac:dyDescent="0.4">
      <c r="A98" s="19" t="s">
        <v>160</v>
      </c>
      <c r="B98" s="21">
        <v>45889</v>
      </c>
      <c r="C98" s="22" t="s">
        <v>3053</v>
      </c>
      <c r="D98" s="23" t="s">
        <v>3054</v>
      </c>
      <c r="E98" s="21">
        <v>45883</v>
      </c>
      <c r="F98" s="23" t="s">
        <v>153</v>
      </c>
      <c r="G98" s="23" t="s">
        <v>3055</v>
      </c>
      <c r="H98" s="23" t="s">
        <v>24</v>
      </c>
      <c r="I98" s="23" t="s">
        <v>61</v>
      </c>
      <c r="J98" s="139" t="s">
        <v>3086</v>
      </c>
      <c r="K98" s="23" t="s">
        <v>1</v>
      </c>
      <c r="L98" s="123">
        <f t="shared" si="10"/>
        <v>20</v>
      </c>
      <c r="M98" s="24">
        <v>315000</v>
      </c>
      <c r="N98" s="123">
        <v>0</v>
      </c>
      <c r="O98" s="138">
        <v>6300000</v>
      </c>
      <c r="P98" s="138">
        <f t="shared" si="9"/>
        <v>6300000</v>
      </c>
      <c r="Q98" s="141">
        <v>693000</v>
      </c>
      <c r="R98" s="25">
        <f>P98*0.3%</f>
        <v>18900</v>
      </c>
      <c r="S98" s="25">
        <v>0</v>
      </c>
      <c r="T98" s="25">
        <f>P98+Q98-S98+R98</f>
        <v>7011900</v>
      </c>
      <c r="U98" s="29">
        <v>20</v>
      </c>
    </row>
    <row r="99" spans="1:22" s="28" customFormat="1" ht="15.45" x14ac:dyDescent="0.4">
      <c r="A99" s="19" t="s">
        <v>100</v>
      </c>
      <c r="B99" s="21">
        <v>45889</v>
      </c>
      <c r="C99" s="22" t="s">
        <v>3056</v>
      </c>
      <c r="D99" s="23" t="s">
        <v>3057</v>
      </c>
      <c r="E99" s="21">
        <v>45890</v>
      </c>
      <c r="F99" s="23" t="s">
        <v>56</v>
      </c>
      <c r="G99" s="23" t="s">
        <v>185</v>
      </c>
      <c r="H99" s="23" t="s">
        <v>27</v>
      </c>
      <c r="I99" s="23" t="s">
        <v>69</v>
      </c>
      <c r="J99" s="23"/>
      <c r="K99" s="23" t="s">
        <v>145</v>
      </c>
      <c r="L99" s="123">
        <f t="shared" si="10"/>
        <v>1000</v>
      </c>
      <c r="M99" s="24">
        <v>750</v>
      </c>
      <c r="N99" s="123">
        <v>0</v>
      </c>
      <c r="O99" s="138">
        <v>750000</v>
      </c>
      <c r="P99" s="138">
        <f t="shared" si="9"/>
        <v>750000</v>
      </c>
      <c r="Q99" s="138">
        <v>0</v>
      </c>
      <c r="R99" s="25"/>
      <c r="S99" s="25">
        <v>0</v>
      </c>
      <c r="T99" s="25">
        <f>P99+Q99-S99</f>
        <v>750000</v>
      </c>
      <c r="U99" s="29">
        <v>1000</v>
      </c>
    </row>
    <row r="100" spans="1:22" s="28" customFormat="1" ht="15.45" x14ac:dyDescent="0.4">
      <c r="A100" s="19" t="s">
        <v>111</v>
      </c>
      <c r="B100" s="21">
        <v>45890</v>
      </c>
      <c r="C100" s="22" t="s">
        <v>3058</v>
      </c>
      <c r="D100" s="23" t="s">
        <v>3059</v>
      </c>
      <c r="E100" s="21">
        <v>45890</v>
      </c>
      <c r="F100" s="23" t="s">
        <v>55</v>
      </c>
      <c r="G100" s="23" t="s">
        <v>1067</v>
      </c>
      <c r="H100" s="23" t="s">
        <v>24</v>
      </c>
      <c r="I100" s="23" t="s">
        <v>61</v>
      </c>
      <c r="J100" s="23"/>
      <c r="K100" s="23" t="s">
        <v>6</v>
      </c>
      <c r="L100" s="123">
        <f t="shared" si="10"/>
        <v>3</v>
      </c>
      <c r="M100" s="24">
        <v>50000</v>
      </c>
      <c r="N100" s="123">
        <v>0</v>
      </c>
      <c r="O100" s="138">
        <v>150000</v>
      </c>
      <c r="P100" s="138">
        <f t="shared" si="9"/>
        <v>150000</v>
      </c>
      <c r="Q100" s="138">
        <v>0</v>
      </c>
      <c r="R100" s="25"/>
      <c r="S100" s="25">
        <v>0</v>
      </c>
      <c r="T100" s="25">
        <f>P100+Q100-S100</f>
        <v>150000</v>
      </c>
      <c r="U100" s="29">
        <v>3</v>
      </c>
    </row>
    <row r="101" spans="1:22" s="28" customFormat="1" ht="15.45" x14ac:dyDescent="0.4">
      <c r="A101" s="19" t="s">
        <v>116</v>
      </c>
      <c r="B101" s="21">
        <v>45890</v>
      </c>
      <c r="C101" s="22" t="s">
        <v>3060</v>
      </c>
      <c r="D101" s="23" t="s">
        <v>3061</v>
      </c>
      <c r="E101" s="21">
        <v>45890</v>
      </c>
      <c r="F101" s="23" t="s">
        <v>40</v>
      </c>
      <c r="G101" s="23" t="s">
        <v>3062</v>
      </c>
      <c r="H101" s="23" t="s">
        <v>24</v>
      </c>
      <c r="I101" s="23" t="s">
        <v>61</v>
      </c>
      <c r="J101" s="23"/>
      <c r="K101" s="23" t="s">
        <v>10</v>
      </c>
      <c r="L101" s="123">
        <f t="shared" si="10"/>
        <v>10</v>
      </c>
      <c r="M101" s="24">
        <v>45000</v>
      </c>
      <c r="N101" s="123">
        <v>0</v>
      </c>
      <c r="O101" s="138">
        <v>450000</v>
      </c>
      <c r="P101" s="138">
        <f t="shared" si="9"/>
        <v>450000</v>
      </c>
      <c r="Q101" s="138">
        <v>0</v>
      </c>
      <c r="R101" s="25"/>
      <c r="S101" s="25">
        <v>0</v>
      </c>
      <c r="T101" s="25">
        <f>P101+Q101-S101</f>
        <v>450000</v>
      </c>
      <c r="U101" s="29">
        <v>10</v>
      </c>
    </row>
    <row r="102" spans="1:22" s="28" customFormat="1" ht="15.45" x14ac:dyDescent="0.4">
      <c r="A102" s="19" t="s">
        <v>149</v>
      </c>
      <c r="B102" s="21">
        <v>45890</v>
      </c>
      <c r="C102" s="22" t="s">
        <v>3063</v>
      </c>
      <c r="D102" s="23" t="s">
        <v>3064</v>
      </c>
      <c r="E102" s="21">
        <v>45883</v>
      </c>
      <c r="F102" s="23" t="s">
        <v>143</v>
      </c>
      <c r="G102" s="23" t="s">
        <v>757</v>
      </c>
      <c r="H102" s="23" t="s">
        <v>24</v>
      </c>
      <c r="I102" s="23" t="s">
        <v>61</v>
      </c>
      <c r="J102" s="139" t="s">
        <v>3268</v>
      </c>
      <c r="K102" s="23" t="s">
        <v>6</v>
      </c>
      <c r="L102" s="123">
        <f t="shared" si="10"/>
        <v>4</v>
      </c>
      <c r="M102" s="24">
        <v>930000</v>
      </c>
      <c r="N102" s="123">
        <v>0</v>
      </c>
      <c r="O102" s="138">
        <v>3720000</v>
      </c>
      <c r="P102" s="138">
        <f t="shared" si="9"/>
        <v>3720000</v>
      </c>
      <c r="Q102" s="141">
        <v>409200</v>
      </c>
      <c r="R102" s="25"/>
      <c r="S102" s="25">
        <v>0</v>
      </c>
      <c r="T102" s="25">
        <f>P102+Q102-S102</f>
        <v>4129200</v>
      </c>
      <c r="U102" s="29">
        <v>4</v>
      </c>
    </row>
    <row r="103" spans="1:22" s="28" customFormat="1" ht="15.45" x14ac:dyDescent="0.4">
      <c r="A103" s="19" t="s">
        <v>149</v>
      </c>
      <c r="B103" s="21">
        <v>45890</v>
      </c>
      <c r="C103" s="22" t="s">
        <v>3063</v>
      </c>
      <c r="D103" s="23" t="s">
        <v>3064</v>
      </c>
      <c r="E103" s="21">
        <v>45883</v>
      </c>
      <c r="F103" s="23" t="s">
        <v>143</v>
      </c>
      <c r="G103" s="23" t="s">
        <v>763</v>
      </c>
      <c r="H103" s="23" t="s">
        <v>24</v>
      </c>
      <c r="I103" s="23" t="s">
        <v>61</v>
      </c>
      <c r="J103" s="139" t="s">
        <v>3268</v>
      </c>
      <c r="K103" s="23" t="s">
        <v>10</v>
      </c>
      <c r="L103" s="123">
        <f t="shared" si="10"/>
        <v>20</v>
      </c>
      <c r="M103" s="24">
        <v>24700</v>
      </c>
      <c r="N103" s="123">
        <v>0</v>
      </c>
      <c r="O103" s="138">
        <v>494000</v>
      </c>
      <c r="P103" s="138">
        <f t="shared" si="9"/>
        <v>494000</v>
      </c>
      <c r="Q103" s="141">
        <v>54340</v>
      </c>
      <c r="R103" s="25"/>
      <c r="S103" s="25">
        <v>0</v>
      </c>
      <c r="T103" s="25">
        <f>P103+Q103-S103</f>
        <v>548340</v>
      </c>
      <c r="U103" s="29">
        <v>20</v>
      </c>
    </row>
    <row r="104" spans="1:22" s="28" customFormat="1" ht="15.45" x14ac:dyDescent="0.4">
      <c r="A104" s="19" t="s">
        <v>98</v>
      </c>
      <c r="B104" s="21">
        <v>45890</v>
      </c>
      <c r="C104" s="22" t="s">
        <v>3065</v>
      </c>
      <c r="D104" s="23" t="s">
        <v>2863</v>
      </c>
      <c r="E104" s="21">
        <v>45868</v>
      </c>
      <c r="F104" s="23" t="s">
        <v>84</v>
      </c>
      <c r="G104" s="23" t="s">
        <v>89</v>
      </c>
      <c r="H104" s="23" t="s">
        <v>25</v>
      </c>
      <c r="I104" s="23" t="s">
        <v>79</v>
      </c>
      <c r="J104" s="139" t="s">
        <v>3286</v>
      </c>
      <c r="K104" s="23" t="s">
        <v>1</v>
      </c>
      <c r="L104" s="123">
        <f t="shared" si="10"/>
        <v>34690</v>
      </c>
      <c r="M104" s="24">
        <v>1525</v>
      </c>
      <c r="N104" s="123">
        <v>0</v>
      </c>
      <c r="O104" s="138">
        <v>52902250</v>
      </c>
      <c r="P104" s="138">
        <f t="shared" ref="P104:P135" si="12">O104</f>
        <v>52902250</v>
      </c>
      <c r="Q104" s="138">
        <v>5819247.5</v>
      </c>
      <c r="R104" s="138">
        <f>P104*1.5%</f>
        <v>793533.75</v>
      </c>
      <c r="S104" s="138">
        <v>0</v>
      </c>
      <c r="T104" s="138">
        <f>P104+Q104-S104-R104</f>
        <v>57927963.75</v>
      </c>
      <c r="U104" s="29">
        <v>34690</v>
      </c>
    </row>
    <row r="105" spans="1:22" s="28" customFormat="1" ht="15.45" x14ac:dyDescent="0.4">
      <c r="A105" s="20" t="s">
        <v>2783</v>
      </c>
      <c r="B105" s="21">
        <v>45890</v>
      </c>
      <c r="C105" s="22" t="s">
        <v>3066</v>
      </c>
      <c r="D105" s="23" t="s">
        <v>2969</v>
      </c>
      <c r="E105" s="21">
        <v>45880</v>
      </c>
      <c r="F105" s="23" t="s">
        <v>2781</v>
      </c>
      <c r="G105" s="23" t="s">
        <v>175</v>
      </c>
      <c r="H105" s="23" t="s">
        <v>25</v>
      </c>
      <c r="I105" s="23" t="s">
        <v>79</v>
      </c>
      <c r="J105" s="139" t="s">
        <v>3276</v>
      </c>
      <c r="K105" s="23" t="s">
        <v>1</v>
      </c>
      <c r="L105" s="123">
        <f t="shared" si="10"/>
        <v>27510</v>
      </c>
      <c r="M105" s="24">
        <v>1150</v>
      </c>
      <c r="N105" s="123">
        <v>0</v>
      </c>
      <c r="O105" s="138">
        <v>31636500</v>
      </c>
      <c r="P105" s="138">
        <f t="shared" si="12"/>
        <v>31636500</v>
      </c>
      <c r="Q105" s="141">
        <v>3480015</v>
      </c>
      <c r="R105" s="138">
        <f>P105*1.5%</f>
        <v>474547.5</v>
      </c>
      <c r="S105" s="138">
        <v>0</v>
      </c>
      <c r="T105" s="138">
        <f>P105+Q105-S105-R105</f>
        <v>34641967.5</v>
      </c>
      <c r="U105" s="29">
        <v>27510</v>
      </c>
    </row>
    <row r="106" spans="1:22" s="28" customFormat="1" ht="15.45" x14ac:dyDescent="0.4">
      <c r="A106" s="19" t="s">
        <v>114</v>
      </c>
      <c r="B106" s="21">
        <v>45891</v>
      </c>
      <c r="C106" s="22" t="s">
        <v>3067</v>
      </c>
      <c r="D106" s="23" t="s">
        <v>2909</v>
      </c>
      <c r="E106" s="21">
        <v>45870</v>
      </c>
      <c r="F106" s="23" t="s">
        <v>71</v>
      </c>
      <c r="G106" s="23" t="s">
        <v>76</v>
      </c>
      <c r="H106" s="23" t="s">
        <v>23</v>
      </c>
      <c r="I106" s="23" t="s">
        <v>978</v>
      </c>
      <c r="J106" s="139" t="s">
        <v>3251</v>
      </c>
      <c r="K106" s="23" t="s">
        <v>1</v>
      </c>
      <c r="L106" s="123">
        <f t="shared" si="10"/>
        <v>1000</v>
      </c>
      <c r="M106" s="24">
        <v>28844</v>
      </c>
      <c r="N106" s="123">
        <v>16482</v>
      </c>
      <c r="O106" s="138">
        <v>28844000</v>
      </c>
      <c r="P106" s="138">
        <f t="shared" si="12"/>
        <v>28844000</v>
      </c>
      <c r="Q106" s="141">
        <v>3172840</v>
      </c>
      <c r="R106" s="138"/>
      <c r="S106" s="138">
        <v>0</v>
      </c>
      <c r="T106" s="138">
        <f>P106+Q106-S106</f>
        <v>32016840</v>
      </c>
      <c r="U106" s="29">
        <v>1000</v>
      </c>
      <c r="V106" s="28" t="e">
        <v>#VALUE!</v>
      </c>
    </row>
    <row r="107" spans="1:22" s="28" customFormat="1" ht="15.45" x14ac:dyDescent="0.4">
      <c r="A107" s="19" t="s">
        <v>218</v>
      </c>
      <c r="B107" s="21">
        <v>45891</v>
      </c>
      <c r="C107" s="22" t="s">
        <v>3068</v>
      </c>
      <c r="D107" s="23" t="s">
        <v>3069</v>
      </c>
      <c r="E107" s="21">
        <v>45856</v>
      </c>
      <c r="F107" s="23" t="s">
        <v>44</v>
      </c>
      <c r="G107" s="23" t="s">
        <v>3070</v>
      </c>
      <c r="H107" s="23" t="s">
        <v>23</v>
      </c>
      <c r="I107" s="23" t="s">
        <v>890</v>
      </c>
      <c r="J107" s="139" t="s">
        <v>3080</v>
      </c>
      <c r="K107" s="23" t="s">
        <v>1</v>
      </c>
      <c r="L107" s="123">
        <f t="shared" si="10"/>
        <v>2040</v>
      </c>
      <c r="M107" s="24">
        <v>22728</v>
      </c>
      <c r="N107" s="123">
        <v>16234</v>
      </c>
      <c r="O107" s="138">
        <v>46365120</v>
      </c>
      <c r="P107" s="138">
        <f t="shared" si="12"/>
        <v>46365120</v>
      </c>
      <c r="Q107" s="141">
        <v>5100163.2</v>
      </c>
      <c r="R107" s="138"/>
      <c r="S107" s="138">
        <v>0</v>
      </c>
      <c r="T107" s="138">
        <f>P107+Q107-S107</f>
        <v>51465283.200000003</v>
      </c>
      <c r="U107" s="29">
        <v>2040</v>
      </c>
      <c r="V107" s="28" t="e">
        <v>#VALUE!</v>
      </c>
    </row>
    <row r="108" spans="1:22" s="28" customFormat="1" ht="15.45" x14ac:dyDescent="0.4">
      <c r="A108" s="19" t="s">
        <v>1246</v>
      </c>
      <c r="B108" s="21">
        <v>45891</v>
      </c>
      <c r="C108" s="22" t="s">
        <v>3071</v>
      </c>
      <c r="D108" s="23" t="s">
        <v>3072</v>
      </c>
      <c r="E108" s="21">
        <v>45890</v>
      </c>
      <c r="F108" s="23" t="s">
        <v>1237</v>
      </c>
      <c r="G108" s="23" t="s">
        <v>1238</v>
      </c>
      <c r="H108" s="23" t="s">
        <v>23</v>
      </c>
      <c r="I108" s="23" t="s">
        <v>3075</v>
      </c>
      <c r="J108" s="23"/>
      <c r="K108" s="23" t="s">
        <v>1</v>
      </c>
      <c r="L108" s="123">
        <f t="shared" si="10"/>
        <v>25</v>
      </c>
      <c r="M108" s="24">
        <v>57500</v>
      </c>
      <c r="N108" s="123">
        <v>0</v>
      </c>
      <c r="O108" s="138">
        <v>1437500</v>
      </c>
      <c r="P108" s="138">
        <f t="shared" si="12"/>
        <v>1437500</v>
      </c>
      <c r="Q108" s="141">
        <v>158125</v>
      </c>
      <c r="R108" s="138"/>
      <c r="S108" s="138">
        <v>0</v>
      </c>
      <c r="T108" s="138">
        <f>P108+Q108-S108</f>
        <v>1595625</v>
      </c>
      <c r="U108" s="29">
        <v>25</v>
      </c>
      <c r="V108" s="28" t="e">
        <v>#VALUE!</v>
      </c>
    </row>
    <row r="109" spans="1:22" s="28" customFormat="1" ht="15.45" x14ac:dyDescent="0.4">
      <c r="A109" s="19" t="s">
        <v>510</v>
      </c>
      <c r="B109" s="21">
        <v>45884</v>
      </c>
      <c r="C109" s="22"/>
      <c r="D109" s="23"/>
      <c r="E109" s="21"/>
      <c r="F109" s="23" t="s">
        <v>511</v>
      </c>
      <c r="G109" s="23" t="s">
        <v>1157</v>
      </c>
      <c r="H109" s="23" t="s">
        <v>513</v>
      </c>
      <c r="I109" s="23" t="s">
        <v>514</v>
      </c>
      <c r="J109" s="139" t="s">
        <v>3073</v>
      </c>
      <c r="K109" s="23" t="s">
        <v>1159</v>
      </c>
      <c r="L109" s="123">
        <v>1</v>
      </c>
      <c r="M109" s="24">
        <v>450000</v>
      </c>
      <c r="N109" s="123">
        <v>0</v>
      </c>
      <c r="O109" s="138">
        <f>L109*M109</f>
        <v>450000</v>
      </c>
      <c r="P109" s="138">
        <f t="shared" si="12"/>
        <v>450000</v>
      </c>
      <c r="Q109" s="141">
        <f>P109*0.11</f>
        <v>49500</v>
      </c>
      <c r="R109" s="138">
        <f>P109*2%</f>
        <v>9000</v>
      </c>
      <c r="S109" s="138"/>
      <c r="T109" s="138">
        <f>P109+Q109-R109</f>
        <v>490500</v>
      </c>
      <c r="U109" s="29"/>
    </row>
    <row r="110" spans="1:22" s="28" customFormat="1" ht="15.45" x14ac:dyDescent="0.4">
      <c r="A110" s="19" t="s">
        <v>159</v>
      </c>
      <c r="B110" s="21">
        <v>45891</v>
      </c>
      <c r="C110" s="22" t="s">
        <v>3076</v>
      </c>
      <c r="D110" s="23" t="s">
        <v>3077</v>
      </c>
      <c r="E110" s="21">
        <v>45891</v>
      </c>
      <c r="F110" s="23" t="s">
        <v>157</v>
      </c>
      <c r="G110" s="23" t="s">
        <v>158</v>
      </c>
      <c r="H110" s="23" t="s">
        <v>23</v>
      </c>
      <c r="I110" s="23" t="s">
        <v>888</v>
      </c>
      <c r="J110" s="23"/>
      <c r="K110" s="23" t="s">
        <v>1</v>
      </c>
      <c r="L110" s="140">
        <f>IF(LEFT(C110,2)="RP",U110*-1,U110)</f>
        <v>50</v>
      </c>
      <c r="M110" s="24">
        <v>75000</v>
      </c>
      <c r="N110" s="123">
        <v>0</v>
      </c>
      <c r="O110" s="138">
        <v>3750000</v>
      </c>
      <c r="P110" s="138">
        <f t="shared" si="12"/>
        <v>3750000</v>
      </c>
      <c r="Q110" s="141">
        <v>412500</v>
      </c>
      <c r="R110" s="138"/>
      <c r="S110" s="138">
        <v>0</v>
      </c>
      <c r="T110" s="138">
        <f>P110+Q110-S110</f>
        <v>4162500</v>
      </c>
      <c r="U110" s="29">
        <v>50</v>
      </c>
      <c r="V110" s="28" t="e">
        <v>#VALUE!</v>
      </c>
    </row>
    <row r="111" spans="1:22" s="28" customFormat="1" ht="15.45" x14ac:dyDescent="0.4">
      <c r="A111" s="19" t="s">
        <v>200</v>
      </c>
      <c r="B111" s="21">
        <v>45891</v>
      </c>
      <c r="C111" s="22" t="s">
        <v>3078</v>
      </c>
      <c r="D111" s="23" t="s">
        <v>3079</v>
      </c>
      <c r="E111" s="21">
        <v>45891</v>
      </c>
      <c r="F111" s="23" t="s">
        <v>194</v>
      </c>
      <c r="G111" s="23" t="s">
        <v>195</v>
      </c>
      <c r="H111" s="23" t="s">
        <v>23</v>
      </c>
      <c r="I111" s="23" t="s">
        <v>888</v>
      </c>
      <c r="J111" s="23"/>
      <c r="K111" s="23" t="s">
        <v>1</v>
      </c>
      <c r="L111" s="140">
        <f>IF(LEFT(C111,2)="RP",U111*-1,U111)</f>
        <v>600</v>
      </c>
      <c r="M111" s="24">
        <v>17000</v>
      </c>
      <c r="N111" s="123">
        <v>0</v>
      </c>
      <c r="O111" s="138">
        <v>10200000</v>
      </c>
      <c r="P111" s="138">
        <f t="shared" si="12"/>
        <v>10200000</v>
      </c>
      <c r="Q111" s="138">
        <v>1122000</v>
      </c>
      <c r="R111" s="138"/>
      <c r="S111" s="138">
        <v>0</v>
      </c>
      <c r="T111" s="138">
        <f>P111+Q111-S111</f>
        <v>11322000</v>
      </c>
      <c r="U111" s="29">
        <v>600</v>
      </c>
      <c r="V111" s="28" t="e">
        <v>#VALUE!</v>
      </c>
    </row>
    <row r="112" spans="1:22" s="28" customFormat="1" ht="15.45" x14ac:dyDescent="0.4">
      <c r="A112" s="19" t="s">
        <v>161</v>
      </c>
      <c r="B112" s="21">
        <v>45884</v>
      </c>
      <c r="C112" s="22" t="s">
        <v>3094</v>
      </c>
      <c r="D112" s="23"/>
      <c r="E112" s="21"/>
      <c r="F112" s="23" t="s">
        <v>162</v>
      </c>
      <c r="G112" s="23" t="s">
        <v>3095</v>
      </c>
      <c r="H112" s="23" t="s">
        <v>163</v>
      </c>
      <c r="I112" s="23" t="s">
        <v>164</v>
      </c>
      <c r="J112" s="139" t="s">
        <v>3096</v>
      </c>
      <c r="K112" s="23" t="s">
        <v>165</v>
      </c>
      <c r="L112" s="24">
        <v>5</v>
      </c>
      <c r="M112" s="24">
        <v>5094055</v>
      </c>
      <c r="N112" s="123">
        <v>0</v>
      </c>
      <c r="O112" s="138">
        <f>L112*M112</f>
        <v>25470275</v>
      </c>
      <c r="P112" s="138">
        <f t="shared" si="12"/>
        <v>25470275</v>
      </c>
      <c r="Q112" s="141">
        <f>P112*0.11</f>
        <v>2801730.25</v>
      </c>
      <c r="R112" s="138">
        <f>P112*2%</f>
        <v>509405.5</v>
      </c>
      <c r="S112" s="138">
        <v>0</v>
      </c>
      <c r="T112" s="138">
        <f>P112+Q112-S112-R112</f>
        <v>27762599.75</v>
      </c>
      <c r="U112" s="29"/>
    </row>
    <row r="113" spans="1:22" s="28" customFormat="1" ht="15.45" x14ac:dyDescent="0.4">
      <c r="A113" s="19" t="s">
        <v>100</v>
      </c>
      <c r="B113" s="21">
        <v>45892</v>
      </c>
      <c r="C113" s="22" t="s">
        <v>3098</v>
      </c>
      <c r="D113" s="23" t="s">
        <v>3099</v>
      </c>
      <c r="E113" s="21">
        <v>45894</v>
      </c>
      <c r="F113" s="23" t="s">
        <v>56</v>
      </c>
      <c r="G113" s="23" t="s">
        <v>179</v>
      </c>
      <c r="H113" s="23" t="s">
        <v>27</v>
      </c>
      <c r="I113" s="23" t="s">
        <v>69</v>
      </c>
      <c r="J113" s="23"/>
      <c r="K113" s="23" t="s">
        <v>11</v>
      </c>
      <c r="L113" s="24">
        <f t="shared" ref="L113:L150" si="13">IF(LEFT(C113,2)="RP",U113*-1,U113)</f>
        <v>20</v>
      </c>
      <c r="M113" s="24">
        <v>17500</v>
      </c>
      <c r="N113" s="123">
        <v>0</v>
      </c>
      <c r="O113" s="138">
        <v>350000</v>
      </c>
      <c r="P113" s="138">
        <f t="shared" si="12"/>
        <v>350000</v>
      </c>
      <c r="Q113" s="138">
        <v>0</v>
      </c>
      <c r="R113" s="138"/>
      <c r="S113" s="138">
        <v>0</v>
      </c>
      <c r="T113" s="138">
        <f t="shared" ref="T113:T118" si="14">P113+Q113-S113</f>
        <v>350000</v>
      </c>
      <c r="U113" s="29">
        <v>20</v>
      </c>
    </row>
    <row r="114" spans="1:22" s="28" customFormat="1" ht="15.45" x14ac:dyDescent="0.4">
      <c r="A114" s="19" t="s">
        <v>100</v>
      </c>
      <c r="B114" s="21">
        <v>45892</v>
      </c>
      <c r="C114" s="22" t="s">
        <v>3098</v>
      </c>
      <c r="D114" s="23" t="s">
        <v>3099</v>
      </c>
      <c r="E114" s="21">
        <v>45894</v>
      </c>
      <c r="F114" s="23" t="s">
        <v>56</v>
      </c>
      <c r="G114" s="23" t="s">
        <v>3100</v>
      </c>
      <c r="H114" s="23" t="s">
        <v>27</v>
      </c>
      <c r="I114" s="23" t="s">
        <v>69</v>
      </c>
      <c r="J114" s="23"/>
      <c r="K114" s="23" t="s">
        <v>145</v>
      </c>
      <c r="L114" s="24">
        <f t="shared" si="13"/>
        <v>2000</v>
      </c>
      <c r="M114" s="24">
        <v>400</v>
      </c>
      <c r="N114" s="123">
        <v>0</v>
      </c>
      <c r="O114" s="138">
        <v>800000</v>
      </c>
      <c r="P114" s="138">
        <f t="shared" si="12"/>
        <v>800000</v>
      </c>
      <c r="Q114" s="138">
        <v>0</v>
      </c>
      <c r="R114" s="138"/>
      <c r="S114" s="138">
        <v>0</v>
      </c>
      <c r="T114" s="138">
        <f t="shared" si="14"/>
        <v>800000</v>
      </c>
      <c r="U114" s="29">
        <v>2000</v>
      </c>
    </row>
    <row r="115" spans="1:22" s="28" customFormat="1" ht="15.45" x14ac:dyDescent="0.4">
      <c r="A115" s="19" t="s">
        <v>218</v>
      </c>
      <c r="B115" s="21">
        <v>45894</v>
      </c>
      <c r="C115" s="22" t="s">
        <v>3101</v>
      </c>
      <c r="D115" s="23" t="s">
        <v>3102</v>
      </c>
      <c r="E115" s="21">
        <v>45890</v>
      </c>
      <c r="F115" s="23" t="s">
        <v>44</v>
      </c>
      <c r="G115" s="23" t="s">
        <v>1922</v>
      </c>
      <c r="H115" s="23" t="s">
        <v>23</v>
      </c>
      <c r="I115" s="23" t="s">
        <v>885</v>
      </c>
      <c r="J115" s="139" t="s">
        <v>3263</v>
      </c>
      <c r="K115" s="23" t="s">
        <v>1</v>
      </c>
      <c r="L115" s="24">
        <f t="shared" si="13"/>
        <v>500</v>
      </c>
      <c r="M115" s="24">
        <v>25226</v>
      </c>
      <c r="N115" s="123">
        <v>16275</v>
      </c>
      <c r="O115" s="138">
        <v>12613000</v>
      </c>
      <c r="P115" s="138">
        <f t="shared" si="12"/>
        <v>12613000</v>
      </c>
      <c r="Q115" s="141">
        <v>1387430</v>
      </c>
      <c r="R115" s="138"/>
      <c r="S115" s="138">
        <v>0</v>
      </c>
      <c r="T115" s="138">
        <f t="shared" si="14"/>
        <v>14000430</v>
      </c>
      <c r="U115" s="29">
        <v>500</v>
      </c>
      <c r="V115" s="28" t="e">
        <v>#VALUE!</v>
      </c>
    </row>
    <row r="116" spans="1:22" s="28" customFormat="1" ht="15.45" x14ac:dyDescent="0.4">
      <c r="A116" s="19" t="s">
        <v>106</v>
      </c>
      <c r="B116" s="21">
        <v>45894</v>
      </c>
      <c r="C116" s="22" t="s">
        <v>3103</v>
      </c>
      <c r="D116" s="23" t="s">
        <v>3104</v>
      </c>
      <c r="E116" s="21">
        <v>45890</v>
      </c>
      <c r="F116" s="23" t="s">
        <v>66</v>
      </c>
      <c r="G116" s="23" t="s">
        <v>207</v>
      </c>
      <c r="H116" s="23" t="s">
        <v>23</v>
      </c>
      <c r="I116" s="23" t="s">
        <v>885</v>
      </c>
      <c r="J116" s="23"/>
      <c r="K116" s="23" t="s">
        <v>1</v>
      </c>
      <c r="L116" s="24">
        <f t="shared" si="13"/>
        <v>90</v>
      </c>
      <c r="M116" s="24">
        <v>11500</v>
      </c>
      <c r="N116" s="123">
        <v>0</v>
      </c>
      <c r="O116" s="138">
        <v>1035000</v>
      </c>
      <c r="P116" s="138">
        <f t="shared" si="12"/>
        <v>1035000</v>
      </c>
      <c r="Q116" s="138">
        <v>113850</v>
      </c>
      <c r="R116" s="138"/>
      <c r="S116" s="138">
        <v>0</v>
      </c>
      <c r="T116" s="138">
        <f t="shared" si="14"/>
        <v>1148850</v>
      </c>
      <c r="U116" s="29">
        <v>90</v>
      </c>
      <c r="V116" s="28" t="e">
        <v>#VALUE!</v>
      </c>
    </row>
    <row r="117" spans="1:22" s="28" customFormat="1" ht="15.45" x14ac:dyDescent="0.4">
      <c r="A117" s="19" t="s">
        <v>117</v>
      </c>
      <c r="B117" s="21">
        <v>45894</v>
      </c>
      <c r="C117" s="22" t="s">
        <v>3105</v>
      </c>
      <c r="D117" s="23" t="s">
        <v>3106</v>
      </c>
      <c r="E117" s="21">
        <v>45894</v>
      </c>
      <c r="F117" s="23" t="s">
        <v>68</v>
      </c>
      <c r="G117" s="23" t="s">
        <v>3107</v>
      </c>
      <c r="H117" s="23" t="s">
        <v>24</v>
      </c>
      <c r="I117" s="23" t="s">
        <v>61</v>
      </c>
      <c r="J117" s="139" t="s">
        <v>3288</v>
      </c>
      <c r="K117" s="23" t="s">
        <v>3</v>
      </c>
      <c r="L117" s="24">
        <f t="shared" si="13"/>
        <v>2</v>
      </c>
      <c r="M117" s="24">
        <v>64865</v>
      </c>
      <c r="N117" s="123">
        <v>0</v>
      </c>
      <c r="O117" s="138">
        <v>129730</v>
      </c>
      <c r="P117" s="138">
        <f t="shared" si="12"/>
        <v>129730</v>
      </c>
      <c r="Q117" s="141">
        <v>14270.3</v>
      </c>
      <c r="R117" s="138"/>
      <c r="S117" s="138">
        <v>0</v>
      </c>
      <c r="T117" s="138">
        <f t="shared" si="14"/>
        <v>144000.29999999999</v>
      </c>
      <c r="U117" s="29">
        <v>2</v>
      </c>
    </row>
    <row r="118" spans="1:22" s="28" customFormat="1" ht="15.45" x14ac:dyDescent="0.4">
      <c r="A118" s="19" t="s">
        <v>105</v>
      </c>
      <c r="B118" s="21">
        <v>45894</v>
      </c>
      <c r="C118" s="22" t="s">
        <v>3108</v>
      </c>
      <c r="D118" s="23" t="s">
        <v>3109</v>
      </c>
      <c r="E118" s="21">
        <v>45883</v>
      </c>
      <c r="F118" s="23" t="s">
        <v>85</v>
      </c>
      <c r="G118" s="23" t="s">
        <v>660</v>
      </c>
      <c r="H118" s="23" t="s">
        <v>23</v>
      </c>
      <c r="I118" s="23" t="s">
        <v>890</v>
      </c>
      <c r="J118" s="139" t="s">
        <v>3255</v>
      </c>
      <c r="K118" s="23" t="s">
        <v>1</v>
      </c>
      <c r="L118" s="24">
        <f t="shared" si="13"/>
        <v>1440</v>
      </c>
      <c r="M118" s="24">
        <v>23689</v>
      </c>
      <c r="N118" s="123">
        <v>16115</v>
      </c>
      <c r="O118" s="138">
        <v>34112160</v>
      </c>
      <c r="P118" s="138">
        <f t="shared" si="12"/>
        <v>34112160</v>
      </c>
      <c r="Q118" s="141">
        <v>3752337.6</v>
      </c>
      <c r="R118" s="138"/>
      <c r="S118" s="138">
        <v>0</v>
      </c>
      <c r="T118" s="138">
        <f t="shared" si="14"/>
        <v>37864497.600000001</v>
      </c>
      <c r="U118" s="29">
        <v>1440</v>
      </c>
      <c r="V118" s="28" t="e">
        <v>#VALUE!</v>
      </c>
    </row>
    <row r="119" spans="1:22" s="28" customFormat="1" ht="15.45" x14ac:dyDescent="0.4">
      <c r="A119" s="19" t="s">
        <v>115</v>
      </c>
      <c r="B119" s="21">
        <v>45894</v>
      </c>
      <c r="C119" s="22" t="s">
        <v>3110</v>
      </c>
      <c r="D119" s="23" t="s">
        <v>2914</v>
      </c>
      <c r="E119" s="21">
        <v>45868</v>
      </c>
      <c r="F119" s="23" t="s">
        <v>81</v>
      </c>
      <c r="G119" s="23" t="s">
        <v>89</v>
      </c>
      <c r="H119" s="23" t="s">
        <v>25</v>
      </c>
      <c r="I119" s="23" t="s">
        <v>79</v>
      </c>
      <c r="J119" s="23"/>
      <c r="K119" s="23" t="s">
        <v>1</v>
      </c>
      <c r="L119" s="123">
        <f t="shared" si="13"/>
        <v>30090</v>
      </c>
      <c r="M119" s="24">
        <v>1525</v>
      </c>
      <c r="N119" s="123">
        <v>0</v>
      </c>
      <c r="O119" s="138">
        <v>45887250</v>
      </c>
      <c r="P119" s="138">
        <f t="shared" si="12"/>
        <v>45887250</v>
      </c>
      <c r="Q119" s="138">
        <v>5047597.5</v>
      </c>
      <c r="R119" s="138">
        <f>P119*1.5%</f>
        <v>688308.75</v>
      </c>
      <c r="S119" s="138">
        <v>0</v>
      </c>
      <c r="T119" s="138">
        <f>P119+Q119-S119-R119</f>
        <v>50246538.75</v>
      </c>
      <c r="U119" s="29">
        <v>30090</v>
      </c>
    </row>
    <row r="120" spans="1:22" s="28" customFormat="1" ht="15.45" x14ac:dyDescent="0.4">
      <c r="A120" s="20" t="s">
        <v>2783</v>
      </c>
      <c r="B120" s="21">
        <v>45894</v>
      </c>
      <c r="C120" s="22" t="s">
        <v>3111</v>
      </c>
      <c r="D120" s="23" t="s">
        <v>3112</v>
      </c>
      <c r="E120" s="21">
        <v>45890</v>
      </c>
      <c r="F120" s="23" t="s">
        <v>2781</v>
      </c>
      <c r="G120" s="23" t="s">
        <v>175</v>
      </c>
      <c r="H120" s="23" t="s">
        <v>25</v>
      </c>
      <c r="I120" s="23" t="s">
        <v>79</v>
      </c>
      <c r="J120" s="139" t="s">
        <v>3275</v>
      </c>
      <c r="K120" s="23" t="s">
        <v>1</v>
      </c>
      <c r="L120" s="123">
        <f t="shared" si="13"/>
        <v>27130</v>
      </c>
      <c r="M120" s="24">
        <v>1150</v>
      </c>
      <c r="N120" s="123">
        <v>0</v>
      </c>
      <c r="O120" s="138">
        <v>31199500</v>
      </c>
      <c r="P120" s="138">
        <f t="shared" si="12"/>
        <v>31199500</v>
      </c>
      <c r="Q120" s="141">
        <v>3431945</v>
      </c>
      <c r="R120" s="138">
        <f>P120*1.5%</f>
        <v>467992.5</v>
      </c>
      <c r="S120" s="138">
        <v>0</v>
      </c>
      <c r="T120" s="138">
        <f>P120+Q120-S120-R120</f>
        <v>34163452.5</v>
      </c>
      <c r="U120" s="29">
        <v>27130</v>
      </c>
    </row>
    <row r="121" spans="1:22" s="28" customFormat="1" ht="15.45" x14ac:dyDescent="0.4">
      <c r="A121" s="19" t="s">
        <v>3164</v>
      </c>
      <c r="B121" s="21">
        <v>45895</v>
      </c>
      <c r="C121" s="22" t="s">
        <v>3113</v>
      </c>
      <c r="D121" s="23" t="s">
        <v>3114</v>
      </c>
      <c r="E121" s="21">
        <v>45884</v>
      </c>
      <c r="F121" s="23" t="s">
        <v>3115</v>
      </c>
      <c r="G121" s="23" t="s">
        <v>1027</v>
      </c>
      <c r="H121" s="23" t="s">
        <v>24</v>
      </c>
      <c r="I121" s="23" t="s">
        <v>61</v>
      </c>
      <c r="J121" s="139" t="s">
        <v>3265</v>
      </c>
      <c r="K121" s="23" t="s">
        <v>1</v>
      </c>
      <c r="L121" s="123">
        <f t="shared" si="13"/>
        <v>250</v>
      </c>
      <c r="M121" s="24">
        <v>22500</v>
      </c>
      <c r="N121" s="123">
        <v>0</v>
      </c>
      <c r="O121" s="138">
        <v>5625000</v>
      </c>
      <c r="P121" s="138">
        <f t="shared" si="12"/>
        <v>5625000</v>
      </c>
      <c r="Q121" s="141">
        <v>618750</v>
      </c>
      <c r="R121" s="138"/>
      <c r="S121" s="138">
        <v>0</v>
      </c>
      <c r="T121" s="138">
        <f t="shared" ref="T121:T129" si="15">P121+Q121-S121</f>
        <v>6243750</v>
      </c>
      <c r="U121" s="29">
        <v>250</v>
      </c>
    </row>
    <row r="122" spans="1:22" s="28" customFormat="1" ht="15.45" x14ac:dyDescent="0.4">
      <c r="A122" s="19" t="s">
        <v>1331</v>
      </c>
      <c r="B122" s="21">
        <v>45895</v>
      </c>
      <c r="C122" s="22" t="s">
        <v>3116</v>
      </c>
      <c r="D122" s="23" t="s">
        <v>3117</v>
      </c>
      <c r="E122" s="21">
        <v>45894</v>
      </c>
      <c r="F122" s="23" t="s">
        <v>1317</v>
      </c>
      <c r="G122" s="23" t="s">
        <v>1318</v>
      </c>
      <c r="H122" s="23" t="s">
        <v>23</v>
      </c>
      <c r="I122" s="23" t="s">
        <v>888</v>
      </c>
      <c r="J122" s="139" t="s">
        <v>3181</v>
      </c>
      <c r="K122" s="23" t="s">
        <v>1</v>
      </c>
      <c r="L122" s="123">
        <f t="shared" si="13"/>
        <v>100</v>
      </c>
      <c r="M122" s="24">
        <v>113785</v>
      </c>
      <c r="N122" s="123">
        <v>16255</v>
      </c>
      <c r="O122" s="138">
        <v>11378500</v>
      </c>
      <c r="P122" s="138">
        <f t="shared" si="12"/>
        <v>11378500</v>
      </c>
      <c r="Q122" s="141">
        <v>1251635</v>
      </c>
      <c r="R122" s="138"/>
      <c r="S122" s="138">
        <v>0</v>
      </c>
      <c r="T122" s="138">
        <f t="shared" si="15"/>
        <v>12630135</v>
      </c>
      <c r="U122" s="29">
        <v>100</v>
      </c>
      <c r="V122" s="28" t="e">
        <v>#VALUE!</v>
      </c>
    </row>
    <row r="123" spans="1:22" s="28" customFormat="1" ht="15.45" x14ac:dyDescent="0.4">
      <c r="A123" s="19" t="s">
        <v>102</v>
      </c>
      <c r="B123" s="21">
        <v>45895</v>
      </c>
      <c r="C123" s="22" t="s">
        <v>3118</v>
      </c>
      <c r="D123" s="23" t="s">
        <v>3119</v>
      </c>
      <c r="E123" s="21">
        <v>45895</v>
      </c>
      <c r="F123" s="23" t="s">
        <v>65</v>
      </c>
      <c r="G123" s="23" t="s">
        <v>48</v>
      </c>
      <c r="H123" s="23" t="s">
        <v>24</v>
      </c>
      <c r="I123" s="23" t="s">
        <v>61</v>
      </c>
      <c r="J123" s="139" t="s">
        <v>3261</v>
      </c>
      <c r="K123" s="23" t="s">
        <v>15</v>
      </c>
      <c r="L123" s="123">
        <f t="shared" si="13"/>
        <v>144</v>
      </c>
      <c r="M123" s="24">
        <v>8200</v>
      </c>
      <c r="N123" s="123">
        <v>0</v>
      </c>
      <c r="O123" s="138">
        <v>1180800</v>
      </c>
      <c r="P123" s="138">
        <f t="shared" si="12"/>
        <v>1180800</v>
      </c>
      <c r="Q123" s="141">
        <v>129888</v>
      </c>
      <c r="R123" s="138"/>
      <c r="S123" s="138">
        <v>0</v>
      </c>
      <c r="T123" s="138">
        <f t="shared" si="15"/>
        <v>1310688</v>
      </c>
      <c r="U123" s="29">
        <v>144</v>
      </c>
    </row>
    <row r="124" spans="1:22" s="28" customFormat="1" ht="15.45" x14ac:dyDescent="0.4">
      <c r="A124" s="19" t="s">
        <v>1112</v>
      </c>
      <c r="B124" s="21">
        <v>45895</v>
      </c>
      <c r="C124" s="22" t="s">
        <v>3120</v>
      </c>
      <c r="D124" s="23" t="s">
        <v>3121</v>
      </c>
      <c r="E124" s="21">
        <v>45890</v>
      </c>
      <c r="F124" s="23" t="s">
        <v>1098</v>
      </c>
      <c r="G124" s="23" t="s">
        <v>1470</v>
      </c>
      <c r="H124" s="23" t="s">
        <v>23</v>
      </c>
      <c r="I124" s="23" t="s">
        <v>888</v>
      </c>
      <c r="J124" s="139" t="s">
        <v>3262</v>
      </c>
      <c r="K124" s="23" t="s">
        <v>1</v>
      </c>
      <c r="L124" s="123">
        <f t="shared" si="13"/>
        <v>105</v>
      </c>
      <c r="M124" s="24">
        <v>35000</v>
      </c>
      <c r="N124" s="123">
        <v>0</v>
      </c>
      <c r="O124" s="138">
        <v>3675000</v>
      </c>
      <c r="P124" s="138">
        <f t="shared" si="12"/>
        <v>3675000</v>
      </c>
      <c r="Q124" s="141">
        <v>404250</v>
      </c>
      <c r="R124" s="138"/>
      <c r="S124" s="138">
        <v>0</v>
      </c>
      <c r="T124" s="138">
        <f t="shared" si="15"/>
        <v>4079250</v>
      </c>
      <c r="U124" s="29">
        <v>105</v>
      </c>
      <c r="V124" s="28" t="e">
        <v>#VALUE!</v>
      </c>
    </row>
    <row r="125" spans="1:22" s="28" customFormat="1" ht="15.45" x14ac:dyDescent="0.4">
      <c r="A125" s="19" t="s">
        <v>97</v>
      </c>
      <c r="B125" s="21">
        <v>45896</v>
      </c>
      <c r="C125" s="22" t="s">
        <v>3122</v>
      </c>
      <c r="D125" s="23" t="s">
        <v>3123</v>
      </c>
      <c r="E125" s="21">
        <v>45895</v>
      </c>
      <c r="F125" s="23" t="s">
        <v>63</v>
      </c>
      <c r="G125" s="23" t="s">
        <v>83</v>
      </c>
      <c r="H125" s="23" t="s">
        <v>24</v>
      </c>
      <c r="I125" s="23" t="s">
        <v>888</v>
      </c>
      <c r="J125" s="139" t="s">
        <v>3260</v>
      </c>
      <c r="K125" s="23" t="s">
        <v>5</v>
      </c>
      <c r="L125" s="123">
        <f t="shared" si="13"/>
        <v>1000</v>
      </c>
      <c r="M125" s="24">
        <v>27000</v>
      </c>
      <c r="N125" s="123">
        <v>0</v>
      </c>
      <c r="O125" s="138">
        <v>27000000</v>
      </c>
      <c r="P125" s="138">
        <f t="shared" si="12"/>
        <v>27000000</v>
      </c>
      <c r="Q125" s="141">
        <v>2970000</v>
      </c>
      <c r="R125" s="138"/>
      <c r="S125" s="138">
        <v>0</v>
      </c>
      <c r="T125" s="138">
        <f t="shared" si="15"/>
        <v>29970000</v>
      </c>
      <c r="U125" s="29">
        <v>1000</v>
      </c>
    </row>
    <row r="126" spans="1:22" s="28" customFormat="1" ht="15.45" x14ac:dyDescent="0.4">
      <c r="A126" s="19" t="s">
        <v>97</v>
      </c>
      <c r="B126" s="21">
        <v>45896</v>
      </c>
      <c r="C126" s="22" t="s">
        <v>3124</v>
      </c>
      <c r="D126" s="23" t="s">
        <v>3125</v>
      </c>
      <c r="E126" s="21">
        <v>45895</v>
      </c>
      <c r="F126" s="23" t="s">
        <v>63</v>
      </c>
      <c r="G126" s="23" t="s">
        <v>136</v>
      </c>
      <c r="H126" s="23" t="s">
        <v>24</v>
      </c>
      <c r="I126" s="23" t="s">
        <v>888</v>
      </c>
      <c r="J126" s="139" t="s">
        <v>3259</v>
      </c>
      <c r="K126" s="23" t="s">
        <v>5</v>
      </c>
      <c r="L126" s="123">
        <f t="shared" si="13"/>
        <v>1000</v>
      </c>
      <c r="M126" s="24">
        <v>39500</v>
      </c>
      <c r="N126" s="123">
        <v>0</v>
      </c>
      <c r="O126" s="138">
        <v>39500000</v>
      </c>
      <c r="P126" s="138">
        <f t="shared" si="12"/>
        <v>39500000</v>
      </c>
      <c r="Q126" s="141">
        <v>4345000</v>
      </c>
      <c r="R126" s="138"/>
      <c r="S126" s="138">
        <v>0</v>
      </c>
      <c r="T126" s="138">
        <f t="shared" si="15"/>
        <v>43845000</v>
      </c>
      <c r="U126" s="29">
        <v>1000</v>
      </c>
    </row>
    <row r="127" spans="1:22" s="28" customFormat="1" ht="15.45" x14ac:dyDescent="0.4">
      <c r="A127" s="19" t="s">
        <v>105</v>
      </c>
      <c r="B127" s="21">
        <v>45896</v>
      </c>
      <c r="C127" s="22" t="s">
        <v>3126</v>
      </c>
      <c r="D127" s="23" t="s">
        <v>3127</v>
      </c>
      <c r="E127" s="21">
        <v>45892</v>
      </c>
      <c r="F127" s="23" t="s">
        <v>85</v>
      </c>
      <c r="G127" s="23" t="s">
        <v>783</v>
      </c>
      <c r="H127" s="23" t="s">
        <v>23</v>
      </c>
      <c r="I127" s="23" t="s">
        <v>886</v>
      </c>
      <c r="J127" s="139" t="s">
        <v>3287</v>
      </c>
      <c r="K127" s="23" t="s">
        <v>1</v>
      </c>
      <c r="L127" s="123">
        <f t="shared" si="13"/>
        <v>300</v>
      </c>
      <c r="M127" s="24">
        <v>71148</v>
      </c>
      <c r="N127" s="123">
        <v>16265</v>
      </c>
      <c r="O127" s="138">
        <v>21344400</v>
      </c>
      <c r="P127" s="138">
        <f t="shared" si="12"/>
        <v>21344400</v>
      </c>
      <c r="Q127" s="141">
        <v>2347884</v>
      </c>
      <c r="R127" s="138"/>
      <c r="S127" s="138">
        <v>0</v>
      </c>
      <c r="T127" s="138">
        <f t="shared" si="15"/>
        <v>23692284</v>
      </c>
      <c r="U127" s="29">
        <v>300</v>
      </c>
      <c r="V127" s="28" t="e">
        <v>#VALUE!</v>
      </c>
    </row>
    <row r="128" spans="1:22" s="28" customFormat="1" ht="15.45" x14ac:dyDescent="0.4">
      <c r="A128" s="19" t="s">
        <v>110</v>
      </c>
      <c r="B128" s="21">
        <v>45896</v>
      </c>
      <c r="C128" s="22" t="s">
        <v>3128</v>
      </c>
      <c r="D128" s="23" t="s">
        <v>3129</v>
      </c>
      <c r="E128" s="21">
        <v>45894</v>
      </c>
      <c r="F128" s="23" t="s">
        <v>72</v>
      </c>
      <c r="G128" s="23" t="s">
        <v>77</v>
      </c>
      <c r="H128" s="23" t="s">
        <v>23</v>
      </c>
      <c r="I128" s="23" t="s">
        <v>887</v>
      </c>
      <c r="J128" s="139" t="s">
        <v>3267</v>
      </c>
      <c r="K128" s="23" t="s">
        <v>1</v>
      </c>
      <c r="L128" s="123">
        <f t="shared" si="13"/>
        <v>400</v>
      </c>
      <c r="M128" s="24">
        <v>30500</v>
      </c>
      <c r="N128" s="123">
        <v>0</v>
      </c>
      <c r="O128" s="138">
        <v>12200000</v>
      </c>
      <c r="P128" s="138">
        <f t="shared" si="12"/>
        <v>12200000</v>
      </c>
      <c r="Q128" s="141">
        <v>1342000</v>
      </c>
      <c r="R128" s="138"/>
      <c r="S128" s="138">
        <v>0</v>
      </c>
      <c r="T128" s="138">
        <f t="shared" si="15"/>
        <v>13542000</v>
      </c>
      <c r="U128" s="29">
        <v>400</v>
      </c>
      <c r="V128" s="28" t="e">
        <v>#VALUE!</v>
      </c>
    </row>
    <row r="129" spans="1:22" s="28" customFormat="1" ht="15.45" x14ac:dyDescent="0.4">
      <c r="A129" s="19" t="s">
        <v>99</v>
      </c>
      <c r="B129" s="21">
        <v>45897</v>
      </c>
      <c r="C129" s="22" t="s">
        <v>3130</v>
      </c>
      <c r="D129" s="23" t="s">
        <v>3131</v>
      </c>
      <c r="E129" s="21">
        <v>45898</v>
      </c>
      <c r="F129" s="23" t="s">
        <v>64</v>
      </c>
      <c r="G129" s="23" t="s">
        <v>126</v>
      </c>
      <c r="H129" s="23" t="s">
        <v>23</v>
      </c>
      <c r="I129" s="23" t="s">
        <v>887</v>
      </c>
      <c r="J129" s="139" t="s">
        <v>3254</v>
      </c>
      <c r="K129" s="23" t="s">
        <v>0</v>
      </c>
      <c r="L129" s="123">
        <f t="shared" si="13"/>
        <v>300</v>
      </c>
      <c r="M129" s="24">
        <v>13180</v>
      </c>
      <c r="N129" s="123">
        <v>0</v>
      </c>
      <c r="O129" s="138">
        <v>3954000</v>
      </c>
      <c r="P129" s="138">
        <f t="shared" si="12"/>
        <v>3954000</v>
      </c>
      <c r="Q129" s="141">
        <v>434940</v>
      </c>
      <c r="R129" s="138"/>
      <c r="S129" s="138">
        <v>0</v>
      </c>
      <c r="T129" s="138">
        <f t="shared" si="15"/>
        <v>4388940</v>
      </c>
      <c r="U129" s="29">
        <v>300</v>
      </c>
      <c r="V129" s="28" t="e">
        <v>#VALUE!</v>
      </c>
    </row>
    <row r="130" spans="1:22" s="28" customFormat="1" ht="15.45" x14ac:dyDescent="0.4">
      <c r="A130" s="20" t="s">
        <v>2783</v>
      </c>
      <c r="B130" s="21">
        <v>45897</v>
      </c>
      <c r="C130" s="22" t="s">
        <v>3132</v>
      </c>
      <c r="D130" s="23" t="s">
        <v>3112</v>
      </c>
      <c r="E130" s="21">
        <v>45890</v>
      </c>
      <c r="F130" s="23" t="s">
        <v>2781</v>
      </c>
      <c r="G130" s="23" t="s">
        <v>175</v>
      </c>
      <c r="H130" s="23" t="s">
        <v>25</v>
      </c>
      <c r="I130" s="23" t="s">
        <v>79</v>
      </c>
      <c r="J130" s="139" t="s">
        <v>3278</v>
      </c>
      <c r="K130" s="23" t="s">
        <v>1</v>
      </c>
      <c r="L130" s="123">
        <f t="shared" si="13"/>
        <v>25970</v>
      </c>
      <c r="M130" s="24">
        <v>1150</v>
      </c>
      <c r="N130" s="123">
        <v>0</v>
      </c>
      <c r="O130" s="138">
        <v>29865500</v>
      </c>
      <c r="P130" s="138">
        <f t="shared" si="12"/>
        <v>29865500</v>
      </c>
      <c r="Q130" s="141">
        <v>3285205</v>
      </c>
      <c r="R130" s="138">
        <f>P130*1.5%</f>
        <v>447982.5</v>
      </c>
      <c r="S130" s="138">
        <v>0</v>
      </c>
      <c r="T130" s="138">
        <f>P130+Q130-S130-R130</f>
        <v>32702722.5</v>
      </c>
      <c r="U130" s="29">
        <v>25970</v>
      </c>
    </row>
    <row r="131" spans="1:22" s="28" customFormat="1" ht="15.45" x14ac:dyDescent="0.4">
      <c r="A131" s="19" t="s">
        <v>692</v>
      </c>
      <c r="B131" s="21">
        <v>45897</v>
      </c>
      <c r="C131" s="22" t="s">
        <v>3133</v>
      </c>
      <c r="D131" s="23" t="s">
        <v>3134</v>
      </c>
      <c r="E131" s="21">
        <v>45898</v>
      </c>
      <c r="F131" s="23" t="s">
        <v>676</v>
      </c>
      <c r="G131" s="23" t="s">
        <v>2282</v>
      </c>
      <c r="H131" s="23" t="s">
        <v>24</v>
      </c>
      <c r="I131" s="23" t="s">
        <v>61</v>
      </c>
      <c r="J131" s="139" t="s">
        <v>3256</v>
      </c>
      <c r="K131" s="23" t="s">
        <v>6</v>
      </c>
      <c r="L131" s="123">
        <f t="shared" si="13"/>
        <v>1</v>
      </c>
      <c r="M131" s="24">
        <v>949700</v>
      </c>
      <c r="N131" s="123">
        <v>0</v>
      </c>
      <c r="O131" s="138">
        <v>949700</v>
      </c>
      <c r="P131" s="138">
        <f t="shared" si="12"/>
        <v>949700</v>
      </c>
      <c r="Q131" s="141">
        <v>104467</v>
      </c>
      <c r="R131" s="138"/>
      <c r="S131" s="138">
        <v>0</v>
      </c>
      <c r="T131" s="138">
        <f>P131+Q131-S131</f>
        <v>1054167</v>
      </c>
      <c r="U131" s="29">
        <v>1</v>
      </c>
    </row>
    <row r="132" spans="1:22" s="28" customFormat="1" ht="15.45" x14ac:dyDescent="0.4">
      <c r="A132" s="19" t="s">
        <v>98</v>
      </c>
      <c r="B132" s="21">
        <v>45897</v>
      </c>
      <c r="C132" s="22" t="s">
        <v>3135</v>
      </c>
      <c r="D132" s="23" t="s">
        <v>2863</v>
      </c>
      <c r="E132" s="21">
        <v>45868</v>
      </c>
      <c r="F132" s="23" t="s">
        <v>84</v>
      </c>
      <c r="G132" s="23" t="s">
        <v>89</v>
      </c>
      <c r="H132" s="23" t="s">
        <v>25</v>
      </c>
      <c r="I132" s="23" t="s">
        <v>79</v>
      </c>
      <c r="J132" s="139" t="s">
        <v>3286</v>
      </c>
      <c r="K132" s="23" t="s">
        <v>1</v>
      </c>
      <c r="L132" s="123">
        <f t="shared" si="13"/>
        <v>34880</v>
      </c>
      <c r="M132" s="24">
        <v>1525</v>
      </c>
      <c r="N132" s="123">
        <v>0</v>
      </c>
      <c r="O132" s="138">
        <v>53192000</v>
      </c>
      <c r="P132" s="138">
        <f t="shared" si="12"/>
        <v>53192000</v>
      </c>
      <c r="Q132" s="138">
        <v>5851120</v>
      </c>
      <c r="R132" s="138">
        <f>P132*1.5%</f>
        <v>797880</v>
      </c>
      <c r="S132" s="138">
        <v>0</v>
      </c>
      <c r="T132" s="138">
        <f>P132+Q132-S132-R132</f>
        <v>58245240</v>
      </c>
      <c r="U132" s="29">
        <v>34880</v>
      </c>
    </row>
    <row r="133" spans="1:22" s="28" customFormat="1" ht="15.45" x14ac:dyDescent="0.4">
      <c r="A133" s="19" t="s">
        <v>108</v>
      </c>
      <c r="B133" s="21">
        <v>45898</v>
      </c>
      <c r="C133" s="22" t="s">
        <v>3136</v>
      </c>
      <c r="D133" s="23" t="s">
        <v>3137</v>
      </c>
      <c r="E133" s="21">
        <v>45892</v>
      </c>
      <c r="F133" s="23" t="s">
        <v>51</v>
      </c>
      <c r="G133" s="23" t="s">
        <v>3138</v>
      </c>
      <c r="H133" s="23" t="s">
        <v>24</v>
      </c>
      <c r="I133" s="23" t="s">
        <v>61</v>
      </c>
      <c r="J133" s="139" t="s">
        <v>3264</v>
      </c>
      <c r="K133" s="23" t="s">
        <v>6</v>
      </c>
      <c r="L133" s="24">
        <f t="shared" si="13"/>
        <v>10</v>
      </c>
      <c r="M133" s="24">
        <v>50000</v>
      </c>
      <c r="N133" s="123">
        <v>0</v>
      </c>
      <c r="O133" s="138">
        <v>500000</v>
      </c>
      <c r="P133" s="138">
        <f t="shared" si="12"/>
        <v>500000</v>
      </c>
      <c r="Q133" s="141">
        <v>55000</v>
      </c>
      <c r="R133" s="138"/>
      <c r="S133" s="138">
        <v>0</v>
      </c>
      <c r="T133" s="138">
        <f>P133+Q133-S133</f>
        <v>555000</v>
      </c>
      <c r="U133" s="29">
        <v>10</v>
      </c>
    </row>
    <row r="134" spans="1:22" s="28" customFormat="1" ht="15.45" x14ac:dyDescent="0.4">
      <c r="A134" s="19" t="s">
        <v>108</v>
      </c>
      <c r="B134" s="21">
        <v>45898</v>
      </c>
      <c r="C134" s="22" t="s">
        <v>3136</v>
      </c>
      <c r="D134" s="23" t="s">
        <v>3137</v>
      </c>
      <c r="E134" s="21">
        <v>45892</v>
      </c>
      <c r="F134" s="23" t="s">
        <v>51</v>
      </c>
      <c r="G134" s="23" t="s">
        <v>3139</v>
      </c>
      <c r="H134" s="23" t="s">
        <v>24</v>
      </c>
      <c r="I134" s="23" t="s">
        <v>61</v>
      </c>
      <c r="J134" s="139" t="s">
        <v>3264</v>
      </c>
      <c r="K134" s="23" t="s">
        <v>6</v>
      </c>
      <c r="L134" s="24">
        <f t="shared" si="13"/>
        <v>2</v>
      </c>
      <c r="M134" s="24">
        <v>250000</v>
      </c>
      <c r="N134" s="123">
        <v>0</v>
      </c>
      <c r="O134" s="138">
        <v>500000</v>
      </c>
      <c r="P134" s="138">
        <f t="shared" si="12"/>
        <v>500000</v>
      </c>
      <c r="Q134" s="141">
        <v>55000</v>
      </c>
      <c r="R134" s="138"/>
      <c r="S134" s="138">
        <v>0</v>
      </c>
      <c r="T134" s="138">
        <f>P134+Q134-S134</f>
        <v>555000</v>
      </c>
      <c r="U134" s="29">
        <v>2</v>
      </c>
    </row>
    <row r="135" spans="1:22" s="28" customFormat="1" ht="15.45" x14ac:dyDescent="0.4">
      <c r="A135" s="19" t="s">
        <v>108</v>
      </c>
      <c r="B135" s="21">
        <v>45898</v>
      </c>
      <c r="C135" s="22" t="s">
        <v>3136</v>
      </c>
      <c r="D135" s="23" t="s">
        <v>3137</v>
      </c>
      <c r="E135" s="21">
        <v>45892</v>
      </c>
      <c r="F135" s="23" t="s">
        <v>51</v>
      </c>
      <c r="G135" s="23" t="s">
        <v>3140</v>
      </c>
      <c r="H135" s="23" t="s">
        <v>24</v>
      </c>
      <c r="I135" s="23" t="s">
        <v>61</v>
      </c>
      <c r="J135" s="139" t="s">
        <v>3264</v>
      </c>
      <c r="K135" s="23" t="s">
        <v>140</v>
      </c>
      <c r="L135" s="24">
        <f t="shared" si="13"/>
        <v>10</v>
      </c>
      <c r="M135" s="24">
        <v>50000</v>
      </c>
      <c r="N135" s="123">
        <v>0</v>
      </c>
      <c r="O135" s="138">
        <v>500000</v>
      </c>
      <c r="P135" s="138">
        <f t="shared" si="12"/>
        <v>500000</v>
      </c>
      <c r="Q135" s="141">
        <v>55000</v>
      </c>
      <c r="R135" s="138"/>
      <c r="S135" s="138">
        <v>0</v>
      </c>
      <c r="T135" s="138">
        <f>P135+Q135-S135</f>
        <v>555000</v>
      </c>
      <c r="U135" s="29">
        <v>10</v>
      </c>
    </row>
    <row r="136" spans="1:22" s="28" customFormat="1" ht="15.45" x14ac:dyDescent="0.4">
      <c r="A136" s="19" t="s">
        <v>160</v>
      </c>
      <c r="B136" s="21">
        <v>45898</v>
      </c>
      <c r="C136" s="22" t="s">
        <v>3141</v>
      </c>
      <c r="D136" s="23" t="s">
        <v>3142</v>
      </c>
      <c r="E136" s="21">
        <v>45894</v>
      </c>
      <c r="F136" s="23" t="s">
        <v>153</v>
      </c>
      <c r="G136" s="23" t="s">
        <v>154</v>
      </c>
      <c r="H136" s="23" t="s">
        <v>24</v>
      </c>
      <c r="I136" s="23" t="s">
        <v>61</v>
      </c>
      <c r="J136" s="139" t="s">
        <v>3266</v>
      </c>
      <c r="K136" s="23" t="s">
        <v>4</v>
      </c>
      <c r="L136" s="24">
        <f t="shared" si="13"/>
        <v>40</v>
      </c>
      <c r="M136" s="24">
        <v>337500</v>
      </c>
      <c r="N136" s="123">
        <v>0</v>
      </c>
      <c r="O136" s="138">
        <v>13500000</v>
      </c>
      <c r="P136" s="138">
        <f t="shared" ref="P136:P166" si="16">O136</f>
        <v>13500000</v>
      </c>
      <c r="Q136" s="141">
        <v>1485000</v>
      </c>
      <c r="R136" s="138">
        <f>P136*0.3%</f>
        <v>40500</v>
      </c>
      <c r="S136" s="138">
        <v>0</v>
      </c>
      <c r="T136" s="138">
        <f>P136+Q136-S136+R136</f>
        <v>15025500</v>
      </c>
      <c r="U136" s="29">
        <v>40</v>
      </c>
    </row>
    <row r="137" spans="1:22" s="28" customFormat="1" ht="15.45" x14ac:dyDescent="0.4">
      <c r="A137" s="19" t="s">
        <v>117</v>
      </c>
      <c r="B137" s="21">
        <v>45899</v>
      </c>
      <c r="C137" s="22" t="s">
        <v>3151</v>
      </c>
      <c r="D137" s="23" t="s">
        <v>3152</v>
      </c>
      <c r="E137" s="21">
        <v>45899</v>
      </c>
      <c r="F137" s="23" t="s">
        <v>68</v>
      </c>
      <c r="G137" s="23" t="s">
        <v>3107</v>
      </c>
      <c r="H137" s="23" t="s">
        <v>24</v>
      </c>
      <c r="I137" s="23" t="s">
        <v>61</v>
      </c>
      <c r="J137" s="139" t="s">
        <v>3289</v>
      </c>
      <c r="K137" s="23" t="s">
        <v>3</v>
      </c>
      <c r="L137" s="24">
        <f t="shared" si="13"/>
        <v>1</v>
      </c>
      <c r="M137" s="24">
        <v>83333.34</v>
      </c>
      <c r="N137" s="123">
        <v>0</v>
      </c>
      <c r="O137" s="138">
        <v>83333.34</v>
      </c>
      <c r="P137" s="138">
        <f t="shared" si="16"/>
        <v>83333.34</v>
      </c>
      <c r="Q137" s="141">
        <v>9166.6674000000003</v>
      </c>
      <c r="R137" s="138"/>
      <c r="S137" s="138">
        <v>0</v>
      </c>
      <c r="T137" s="138">
        <f t="shared" ref="T137:T150" si="17">P137+Q137-S137</f>
        <v>92500.007400000002</v>
      </c>
      <c r="U137" s="29">
        <v>1</v>
      </c>
    </row>
    <row r="138" spans="1:22" s="28" customFormat="1" ht="15.45" x14ac:dyDescent="0.4">
      <c r="A138" s="19" t="s">
        <v>113</v>
      </c>
      <c r="B138" s="21">
        <v>45898</v>
      </c>
      <c r="C138" s="22" t="s">
        <v>3143</v>
      </c>
      <c r="D138" s="23" t="s">
        <v>3144</v>
      </c>
      <c r="E138" s="21">
        <v>45898</v>
      </c>
      <c r="F138" s="23" t="s">
        <v>42</v>
      </c>
      <c r="G138" s="23" t="s">
        <v>227</v>
      </c>
      <c r="H138" s="23" t="s">
        <v>24</v>
      </c>
      <c r="I138" s="23" t="s">
        <v>61</v>
      </c>
      <c r="J138" s="23"/>
      <c r="K138" s="23" t="s">
        <v>8</v>
      </c>
      <c r="L138" s="24">
        <f t="shared" si="13"/>
        <v>36</v>
      </c>
      <c r="M138" s="24">
        <v>4583.34</v>
      </c>
      <c r="N138" s="123">
        <v>0</v>
      </c>
      <c r="O138" s="138">
        <v>165000.24</v>
      </c>
      <c r="P138" s="138">
        <f t="shared" si="16"/>
        <v>165000.24</v>
      </c>
      <c r="Q138" s="138">
        <v>0</v>
      </c>
      <c r="R138" s="138"/>
      <c r="S138" s="138">
        <v>0</v>
      </c>
      <c r="T138" s="138">
        <f t="shared" si="17"/>
        <v>165000.24</v>
      </c>
      <c r="U138" s="29">
        <v>36</v>
      </c>
    </row>
    <row r="139" spans="1:22" s="28" customFormat="1" ht="15.45" x14ac:dyDescent="0.4">
      <c r="A139" s="19" t="s">
        <v>864</v>
      </c>
      <c r="B139" s="21">
        <v>45899</v>
      </c>
      <c r="C139" s="22" t="s">
        <v>3153</v>
      </c>
      <c r="D139" s="23" t="s">
        <v>3154</v>
      </c>
      <c r="E139" s="21">
        <v>45898</v>
      </c>
      <c r="F139" s="23" t="s">
        <v>853</v>
      </c>
      <c r="G139" s="23" t="s">
        <v>3155</v>
      </c>
      <c r="H139" s="23" t="s">
        <v>24</v>
      </c>
      <c r="I139" s="23" t="s">
        <v>61</v>
      </c>
      <c r="J139" s="139" t="s">
        <v>3270</v>
      </c>
      <c r="K139" s="23" t="s">
        <v>10</v>
      </c>
      <c r="L139" s="24">
        <f t="shared" si="13"/>
        <v>4</v>
      </c>
      <c r="M139" s="24">
        <v>110000</v>
      </c>
      <c r="N139" s="123">
        <v>0</v>
      </c>
      <c r="O139" s="138">
        <v>440000</v>
      </c>
      <c r="P139" s="138">
        <f t="shared" si="16"/>
        <v>440000</v>
      </c>
      <c r="Q139" s="141">
        <v>48400</v>
      </c>
      <c r="R139" s="138"/>
      <c r="S139" s="138">
        <v>0</v>
      </c>
      <c r="T139" s="138">
        <f t="shared" si="17"/>
        <v>488400</v>
      </c>
      <c r="U139" s="29">
        <v>4</v>
      </c>
    </row>
    <row r="140" spans="1:22" s="28" customFormat="1" ht="15.45" x14ac:dyDescent="0.4">
      <c r="A140" s="19" t="s">
        <v>864</v>
      </c>
      <c r="B140" s="21">
        <v>45899</v>
      </c>
      <c r="C140" s="22" t="s">
        <v>3153</v>
      </c>
      <c r="D140" s="23" t="s">
        <v>3154</v>
      </c>
      <c r="E140" s="21">
        <v>45898</v>
      </c>
      <c r="F140" s="23" t="s">
        <v>853</v>
      </c>
      <c r="G140" s="23" t="s">
        <v>734</v>
      </c>
      <c r="H140" s="23" t="s">
        <v>24</v>
      </c>
      <c r="I140" s="23" t="s">
        <v>61</v>
      </c>
      <c r="J140" s="139" t="s">
        <v>3270</v>
      </c>
      <c r="K140" s="23" t="s">
        <v>6</v>
      </c>
      <c r="L140" s="24">
        <f t="shared" si="13"/>
        <v>3</v>
      </c>
      <c r="M140" s="24">
        <v>165000</v>
      </c>
      <c r="N140" s="123">
        <v>0</v>
      </c>
      <c r="O140" s="138">
        <v>495000</v>
      </c>
      <c r="P140" s="138">
        <f t="shared" si="16"/>
        <v>495000</v>
      </c>
      <c r="Q140" s="141">
        <v>54450</v>
      </c>
      <c r="R140" s="138"/>
      <c r="S140" s="138">
        <v>0</v>
      </c>
      <c r="T140" s="138">
        <f t="shared" si="17"/>
        <v>549450</v>
      </c>
      <c r="U140" s="29">
        <v>3</v>
      </c>
    </row>
    <row r="141" spans="1:22" s="28" customFormat="1" ht="15.45" x14ac:dyDescent="0.4">
      <c r="A141" s="19" t="s">
        <v>864</v>
      </c>
      <c r="B141" s="21">
        <v>45899</v>
      </c>
      <c r="C141" s="22" t="s">
        <v>3153</v>
      </c>
      <c r="D141" s="23" t="s">
        <v>3154</v>
      </c>
      <c r="E141" s="21">
        <v>45898</v>
      </c>
      <c r="F141" s="23" t="s">
        <v>853</v>
      </c>
      <c r="G141" s="23" t="s">
        <v>3156</v>
      </c>
      <c r="H141" s="23" t="s">
        <v>24</v>
      </c>
      <c r="I141" s="23" t="s">
        <v>61</v>
      </c>
      <c r="J141" s="139" t="s">
        <v>3270</v>
      </c>
      <c r="K141" s="23" t="s">
        <v>6</v>
      </c>
      <c r="L141" s="24">
        <f t="shared" si="13"/>
        <v>4</v>
      </c>
      <c r="M141" s="24">
        <v>55000</v>
      </c>
      <c r="N141" s="123">
        <v>0</v>
      </c>
      <c r="O141" s="138">
        <v>220000</v>
      </c>
      <c r="P141" s="138">
        <f t="shared" si="16"/>
        <v>220000</v>
      </c>
      <c r="Q141" s="141">
        <v>24200</v>
      </c>
      <c r="R141" s="138"/>
      <c r="S141" s="138">
        <v>0</v>
      </c>
      <c r="T141" s="138">
        <f t="shared" si="17"/>
        <v>244200</v>
      </c>
      <c r="U141" s="29">
        <v>4</v>
      </c>
    </row>
    <row r="142" spans="1:22" s="28" customFormat="1" ht="15.45" x14ac:dyDescent="0.4">
      <c r="A142" s="19" t="s">
        <v>111</v>
      </c>
      <c r="B142" s="21">
        <v>45898</v>
      </c>
      <c r="C142" s="22" t="s">
        <v>3145</v>
      </c>
      <c r="D142" s="23" t="s">
        <v>3146</v>
      </c>
      <c r="E142" s="21">
        <v>45898</v>
      </c>
      <c r="F142" s="23" t="s">
        <v>55</v>
      </c>
      <c r="G142" s="23" t="s">
        <v>87</v>
      </c>
      <c r="H142" s="23" t="s">
        <v>24</v>
      </c>
      <c r="I142" s="23" t="s">
        <v>61</v>
      </c>
      <c r="J142" s="23"/>
      <c r="K142" s="23" t="s">
        <v>10</v>
      </c>
      <c r="L142" s="24">
        <f t="shared" si="13"/>
        <v>59</v>
      </c>
      <c r="M142" s="24">
        <v>12500</v>
      </c>
      <c r="N142" s="123">
        <v>0</v>
      </c>
      <c r="O142" s="138">
        <v>737500</v>
      </c>
      <c r="P142" s="138">
        <f t="shared" si="16"/>
        <v>737500</v>
      </c>
      <c r="Q142" s="138">
        <v>0</v>
      </c>
      <c r="R142" s="138"/>
      <c r="S142" s="138">
        <v>0</v>
      </c>
      <c r="T142" s="138">
        <f t="shared" si="17"/>
        <v>737500</v>
      </c>
      <c r="U142" s="29">
        <v>59</v>
      </c>
    </row>
    <row r="143" spans="1:22" s="28" customFormat="1" ht="15.45" x14ac:dyDescent="0.4">
      <c r="A143" s="19" t="s">
        <v>111</v>
      </c>
      <c r="B143" s="21">
        <v>45898</v>
      </c>
      <c r="C143" s="22" t="s">
        <v>3147</v>
      </c>
      <c r="D143" s="23" t="s">
        <v>3148</v>
      </c>
      <c r="E143" s="21">
        <v>45898</v>
      </c>
      <c r="F143" s="23" t="s">
        <v>55</v>
      </c>
      <c r="G143" s="23" t="s">
        <v>3149</v>
      </c>
      <c r="H143" s="23" t="s">
        <v>24</v>
      </c>
      <c r="I143" s="23" t="s">
        <v>61</v>
      </c>
      <c r="J143" s="23"/>
      <c r="K143" s="23" t="s">
        <v>2702</v>
      </c>
      <c r="L143" s="24">
        <f t="shared" si="13"/>
        <v>10</v>
      </c>
      <c r="M143" s="24">
        <v>50000</v>
      </c>
      <c r="N143" s="123">
        <v>0</v>
      </c>
      <c r="O143" s="138">
        <v>500000</v>
      </c>
      <c r="P143" s="138">
        <f t="shared" si="16"/>
        <v>500000</v>
      </c>
      <c r="Q143" s="138">
        <v>0</v>
      </c>
      <c r="R143" s="138"/>
      <c r="S143" s="138">
        <v>0</v>
      </c>
      <c r="T143" s="138">
        <f t="shared" si="17"/>
        <v>500000</v>
      </c>
      <c r="U143" s="29">
        <v>10</v>
      </c>
    </row>
    <row r="144" spans="1:22" s="28" customFormat="1" ht="15.45" x14ac:dyDescent="0.4">
      <c r="A144" s="19" t="s">
        <v>111</v>
      </c>
      <c r="B144" s="21">
        <v>45898</v>
      </c>
      <c r="C144" s="22" t="s">
        <v>3147</v>
      </c>
      <c r="D144" s="23" t="s">
        <v>3148</v>
      </c>
      <c r="E144" s="21">
        <v>45898</v>
      </c>
      <c r="F144" s="23" t="s">
        <v>55</v>
      </c>
      <c r="G144" s="23" t="s">
        <v>3150</v>
      </c>
      <c r="H144" s="23" t="s">
        <v>24</v>
      </c>
      <c r="I144" s="23" t="s">
        <v>61</v>
      </c>
      <c r="J144" s="23"/>
      <c r="K144" s="23" t="s">
        <v>6</v>
      </c>
      <c r="L144" s="24">
        <f t="shared" si="13"/>
        <v>1</v>
      </c>
      <c r="M144" s="24">
        <v>2000000</v>
      </c>
      <c r="N144" s="123">
        <v>0</v>
      </c>
      <c r="O144" s="138">
        <v>2000000</v>
      </c>
      <c r="P144" s="138">
        <f t="shared" si="16"/>
        <v>2000000</v>
      </c>
      <c r="Q144" s="138">
        <v>0</v>
      </c>
      <c r="R144" s="138"/>
      <c r="S144" s="138">
        <v>0</v>
      </c>
      <c r="T144" s="138">
        <f t="shared" si="17"/>
        <v>2000000</v>
      </c>
      <c r="U144" s="29">
        <v>1</v>
      </c>
    </row>
    <row r="145" spans="1:21" s="28" customFormat="1" ht="15.45" x14ac:dyDescent="0.4">
      <c r="A145" s="19" t="s">
        <v>150</v>
      </c>
      <c r="B145" s="21">
        <v>45899</v>
      </c>
      <c r="C145" s="22" t="s">
        <v>3157</v>
      </c>
      <c r="D145" s="23" t="s">
        <v>3158</v>
      </c>
      <c r="E145" s="21">
        <v>45899</v>
      </c>
      <c r="F145" s="23" t="s">
        <v>147</v>
      </c>
      <c r="G145" s="23" t="s">
        <v>3159</v>
      </c>
      <c r="H145" s="23" t="s">
        <v>24</v>
      </c>
      <c r="I145" s="23" t="s">
        <v>61</v>
      </c>
      <c r="J145" s="23"/>
      <c r="K145" s="23" t="s">
        <v>124</v>
      </c>
      <c r="L145" s="24">
        <f t="shared" si="13"/>
        <v>9</v>
      </c>
      <c r="M145" s="24">
        <v>110000</v>
      </c>
      <c r="N145" s="123">
        <v>0</v>
      </c>
      <c r="O145" s="138">
        <v>990000</v>
      </c>
      <c r="P145" s="138">
        <f t="shared" si="16"/>
        <v>990000</v>
      </c>
      <c r="Q145" s="138">
        <v>0</v>
      </c>
      <c r="R145" s="138"/>
      <c r="S145" s="138">
        <v>0</v>
      </c>
      <c r="T145" s="138">
        <f t="shared" si="17"/>
        <v>990000</v>
      </c>
      <c r="U145" s="29">
        <v>9</v>
      </c>
    </row>
    <row r="146" spans="1:21" s="28" customFormat="1" ht="15.45" x14ac:dyDescent="0.4">
      <c r="A146" s="19" t="s">
        <v>150</v>
      </c>
      <c r="B146" s="21">
        <v>45899</v>
      </c>
      <c r="C146" s="22" t="s">
        <v>3157</v>
      </c>
      <c r="D146" s="23" t="s">
        <v>3158</v>
      </c>
      <c r="E146" s="21">
        <v>45899</v>
      </c>
      <c r="F146" s="23" t="s">
        <v>147</v>
      </c>
      <c r="G146" s="23" t="s">
        <v>3160</v>
      </c>
      <c r="H146" s="23" t="s">
        <v>24</v>
      </c>
      <c r="I146" s="23" t="s">
        <v>61</v>
      </c>
      <c r="J146" s="23"/>
      <c r="K146" s="23" t="s">
        <v>124</v>
      </c>
      <c r="L146" s="24">
        <f t="shared" si="13"/>
        <v>9</v>
      </c>
      <c r="M146" s="24">
        <v>80000</v>
      </c>
      <c r="N146" s="123">
        <v>0</v>
      </c>
      <c r="O146" s="138">
        <v>720000</v>
      </c>
      <c r="P146" s="138">
        <f t="shared" si="16"/>
        <v>720000</v>
      </c>
      <c r="Q146" s="138">
        <v>0</v>
      </c>
      <c r="R146" s="138"/>
      <c r="S146" s="138">
        <v>0</v>
      </c>
      <c r="T146" s="138">
        <f t="shared" si="17"/>
        <v>720000</v>
      </c>
      <c r="U146" s="29">
        <v>9</v>
      </c>
    </row>
    <row r="147" spans="1:21" s="28" customFormat="1" ht="15.45" x14ac:dyDescent="0.4">
      <c r="A147" s="19" t="s">
        <v>117</v>
      </c>
      <c r="B147" s="21">
        <v>45899</v>
      </c>
      <c r="C147" s="22" t="s">
        <v>3161</v>
      </c>
      <c r="D147" s="23" t="s">
        <v>3162</v>
      </c>
      <c r="E147" s="21">
        <v>45899</v>
      </c>
      <c r="F147" s="23" t="s">
        <v>68</v>
      </c>
      <c r="G147" s="23" t="s">
        <v>180</v>
      </c>
      <c r="H147" s="23" t="s">
        <v>24</v>
      </c>
      <c r="I147" s="23" t="s">
        <v>61</v>
      </c>
      <c r="J147" s="23"/>
      <c r="K147" s="23" t="s">
        <v>1</v>
      </c>
      <c r="L147" s="24">
        <f t="shared" si="13"/>
        <v>1</v>
      </c>
      <c r="M147" s="24">
        <v>12162.2</v>
      </c>
      <c r="N147" s="123">
        <v>0</v>
      </c>
      <c r="O147" s="138">
        <v>12162.2</v>
      </c>
      <c r="P147" s="138">
        <f t="shared" si="16"/>
        <v>12162.2</v>
      </c>
      <c r="Q147" s="138">
        <v>1337.8420000000001</v>
      </c>
      <c r="R147" s="138"/>
      <c r="S147" s="138">
        <v>0</v>
      </c>
      <c r="T147" s="138">
        <f t="shared" si="17"/>
        <v>13500.042000000001</v>
      </c>
      <c r="U147" s="29">
        <v>1</v>
      </c>
    </row>
    <row r="148" spans="1:21" s="28" customFormat="1" ht="15.45" x14ac:dyDescent="0.4">
      <c r="A148" s="19" t="s">
        <v>117</v>
      </c>
      <c r="B148" s="21">
        <v>45899</v>
      </c>
      <c r="C148" s="22" t="s">
        <v>3161</v>
      </c>
      <c r="D148" s="23" t="s">
        <v>3162</v>
      </c>
      <c r="E148" s="21">
        <v>45899</v>
      </c>
      <c r="F148" s="23" t="s">
        <v>68</v>
      </c>
      <c r="G148" s="23" t="s">
        <v>3163</v>
      </c>
      <c r="H148" s="23" t="s">
        <v>24</v>
      </c>
      <c r="I148" s="23" t="s">
        <v>61</v>
      </c>
      <c r="J148" s="23"/>
      <c r="K148" s="23" t="s">
        <v>941</v>
      </c>
      <c r="L148" s="24">
        <f t="shared" si="13"/>
        <v>1</v>
      </c>
      <c r="M148" s="24">
        <v>86036.04</v>
      </c>
      <c r="N148" s="123">
        <v>0</v>
      </c>
      <c r="O148" s="138">
        <v>86036.04</v>
      </c>
      <c r="P148" s="138">
        <f t="shared" si="16"/>
        <v>86036.04</v>
      </c>
      <c r="Q148" s="138">
        <v>9463.9644000000008</v>
      </c>
      <c r="R148" s="138"/>
      <c r="S148" s="138">
        <v>0</v>
      </c>
      <c r="T148" s="138">
        <f t="shared" si="17"/>
        <v>95500.004399999991</v>
      </c>
      <c r="U148" s="29">
        <v>1</v>
      </c>
    </row>
    <row r="149" spans="1:21" s="28" customFormat="1" ht="15.45" x14ac:dyDescent="0.4">
      <c r="A149" s="19" t="s">
        <v>117</v>
      </c>
      <c r="B149" s="21">
        <v>45899</v>
      </c>
      <c r="C149" s="22" t="s">
        <v>3161</v>
      </c>
      <c r="D149" s="23" t="s">
        <v>3162</v>
      </c>
      <c r="E149" s="21">
        <v>45899</v>
      </c>
      <c r="F149" s="23" t="s">
        <v>68</v>
      </c>
      <c r="G149" s="23" t="s">
        <v>1344</v>
      </c>
      <c r="H149" s="23" t="s">
        <v>24</v>
      </c>
      <c r="I149" s="23" t="s">
        <v>61</v>
      </c>
      <c r="J149" s="23"/>
      <c r="K149" s="23" t="s">
        <v>1</v>
      </c>
      <c r="L149" s="24">
        <f t="shared" si="13"/>
        <v>1</v>
      </c>
      <c r="M149" s="24">
        <v>12162.2</v>
      </c>
      <c r="N149" s="123">
        <v>0</v>
      </c>
      <c r="O149" s="138">
        <v>12162.2</v>
      </c>
      <c r="P149" s="138">
        <f t="shared" si="16"/>
        <v>12162.2</v>
      </c>
      <c r="Q149" s="138">
        <v>1337.8420000000001</v>
      </c>
      <c r="R149" s="138"/>
      <c r="S149" s="138">
        <v>0</v>
      </c>
      <c r="T149" s="138">
        <f t="shared" si="17"/>
        <v>13500.042000000001</v>
      </c>
      <c r="U149" s="29">
        <v>1</v>
      </c>
    </row>
    <row r="150" spans="1:21" s="28" customFormat="1" ht="15.45" x14ac:dyDescent="0.4">
      <c r="A150" s="19" t="s">
        <v>117</v>
      </c>
      <c r="B150" s="21">
        <v>45899</v>
      </c>
      <c r="C150" s="22" t="s">
        <v>3161</v>
      </c>
      <c r="D150" s="23" t="s">
        <v>3162</v>
      </c>
      <c r="E150" s="21">
        <v>45899</v>
      </c>
      <c r="F150" s="23" t="s">
        <v>68</v>
      </c>
      <c r="G150" s="23" t="s">
        <v>125</v>
      </c>
      <c r="H150" s="23" t="s">
        <v>24</v>
      </c>
      <c r="I150" s="23" t="s">
        <v>61</v>
      </c>
      <c r="J150" s="23"/>
      <c r="K150" s="23" t="s">
        <v>3</v>
      </c>
      <c r="L150" s="24">
        <f t="shared" si="13"/>
        <v>5</v>
      </c>
      <c r="M150" s="24">
        <v>81982</v>
      </c>
      <c r="N150" s="123">
        <v>0</v>
      </c>
      <c r="O150" s="138">
        <v>409910</v>
      </c>
      <c r="P150" s="138">
        <f t="shared" si="16"/>
        <v>409910</v>
      </c>
      <c r="Q150" s="138">
        <v>45090.1</v>
      </c>
      <c r="R150" s="138"/>
      <c r="S150" s="138">
        <v>0</v>
      </c>
      <c r="T150" s="138">
        <f t="shared" si="17"/>
        <v>455000.1</v>
      </c>
      <c r="U150" s="29">
        <v>5</v>
      </c>
    </row>
    <row r="151" spans="1:21" s="36" customFormat="1" ht="15.45" x14ac:dyDescent="0.35">
      <c r="A151" s="19" t="s">
        <v>166</v>
      </c>
      <c r="B151" s="9">
        <v>45870</v>
      </c>
      <c r="C151" s="14" t="s">
        <v>3165</v>
      </c>
      <c r="D151" s="10" t="s">
        <v>167</v>
      </c>
      <c r="E151" s="9"/>
      <c r="F151" s="23" t="s">
        <v>210</v>
      </c>
      <c r="G151" s="23" t="s">
        <v>168</v>
      </c>
      <c r="H151" s="23" t="s">
        <v>169</v>
      </c>
      <c r="I151" s="23" t="s">
        <v>192</v>
      </c>
      <c r="J151" s="50"/>
      <c r="K151" s="10" t="s">
        <v>0</v>
      </c>
      <c r="L151" s="12">
        <v>6700</v>
      </c>
      <c r="M151" s="12">
        <v>225.23</v>
      </c>
      <c r="N151" s="12">
        <v>0</v>
      </c>
      <c r="O151" s="112">
        <f t="shared" ref="O151:O166" si="18">L151*M151</f>
        <v>1509041</v>
      </c>
      <c r="P151" s="112">
        <f t="shared" si="16"/>
        <v>1509041</v>
      </c>
      <c r="Q151" s="142">
        <f t="shared" ref="Q151:Q166" si="19">P151*0.11</f>
        <v>165994.51</v>
      </c>
      <c r="R151" s="112">
        <f t="shared" ref="R151:R166" si="20">P151*2%</f>
        <v>30180.82</v>
      </c>
      <c r="S151" s="112">
        <v>0</v>
      </c>
      <c r="T151" s="112">
        <f t="shared" ref="T151:T166" si="21">P151+Q151-S151-R151</f>
        <v>1644854.69</v>
      </c>
      <c r="U151" s="42">
        <v>36</v>
      </c>
    </row>
    <row r="152" spans="1:21" s="36" customFormat="1" ht="15.45" x14ac:dyDescent="0.35">
      <c r="A152" s="19" t="s">
        <v>166</v>
      </c>
      <c r="B152" s="9">
        <v>45873</v>
      </c>
      <c r="C152" s="14" t="s">
        <v>3166</v>
      </c>
      <c r="D152" s="10" t="s">
        <v>167</v>
      </c>
      <c r="E152" s="9"/>
      <c r="F152" s="23" t="s">
        <v>210</v>
      </c>
      <c r="G152" s="23" t="s">
        <v>168</v>
      </c>
      <c r="H152" s="23" t="s">
        <v>169</v>
      </c>
      <c r="I152" s="23" t="s">
        <v>192</v>
      </c>
      <c r="J152" s="50"/>
      <c r="K152" s="10" t="s">
        <v>0</v>
      </c>
      <c r="L152" s="12">
        <v>5690</v>
      </c>
      <c r="M152" s="12">
        <v>225.23</v>
      </c>
      <c r="N152" s="12">
        <v>0</v>
      </c>
      <c r="O152" s="112">
        <f t="shared" si="18"/>
        <v>1281558.7</v>
      </c>
      <c r="P152" s="112">
        <f t="shared" si="16"/>
        <v>1281558.7</v>
      </c>
      <c r="Q152" s="142">
        <f t="shared" si="19"/>
        <v>140971.45699999999</v>
      </c>
      <c r="R152" s="112">
        <f t="shared" si="20"/>
        <v>25631.173999999999</v>
      </c>
      <c r="S152" s="112">
        <v>0</v>
      </c>
      <c r="T152" s="112">
        <f t="shared" si="21"/>
        <v>1396898.983</v>
      </c>
      <c r="U152" s="42"/>
    </row>
    <row r="153" spans="1:21" s="36" customFormat="1" ht="15.45" x14ac:dyDescent="0.35">
      <c r="A153" s="19" t="s">
        <v>166</v>
      </c>
      <c r="B153" s="9">
        <v>45874</v>
      </c>
      <c r="C153" s="14" t="s">
        <v>3167</v>
      </c>
      <c r="D153" s="10" t="s">
        <v>167</v>
      </c>
      <c r="E153" s="9"/>
      <c r="F153" s="23" t="s">
        <v>210</v>
      </c>
      <c r="G153" s="23" t="s">
        <v>168</v>
      </c>
      <c r="H153" s="23" t="s">
        <v>169</v>
      </c>
      <c r="I153" s="23" t="s">
        <v>192</v>
      </c>
      <c r="J153" s="50"/>
      <c r="K153" s="10" t="s">
        <v>0</v>
      </c>
      <c r="L153" s="12">
        <v>6340</v>
      </c>
      <c r="M153" s="12">
        <v>225.23</v>
      </c>
      <c r="N153" s="12">
        <v>0</v>
      </c>
      <c r="O153" s="112">
        <f t="shared" si="18"/>
        <v>1427958.2</v>
      </c>
      <c r="P153" s="112">
        <f t="shared" si="16"/>
        <v>1427958.2</v>
      </c>
      <c r="Q153" s="142">
        <f t="shared" si="19"/>
        <v>157075.402</v>
      </c>
      <c r="R153" s="112">
        <f t="shared" si="20"/>
        <v>28559.164000000001</v>
      </c>
      <c r="S153" s="112">
        <v>0</v>
      </c>
      <c r="T153" s="112">
        <f t="shared" si="21"/>
        <v>1556474.4379999998</v>
      </c>
      <c r="U153" s="42"/>
    </row>
    <row r="154" spans="1:21" s="36" customFormat="1" ht="15.45" x14ac:dyDescent="0.35">
      <c r="A154" s="19" t="s">
        <v>166</v>
      </c>
      <c r="B154" s="9">
        <v>45876</v>
      </c>
      <c r="C154" s="14" t="s">
        <v>3168</v>
      </c>
      <c r="D154" s="10" t="s">
        <v>167</v>
      </c>
      <c r="E154" s="9"/>
      <c r="F154" s="23" t="s">
        <v>210</v>
      </c>
      <c r="G154" s="23" t="s">
        <v>168</v>
      </c>
      <c r="H154" s="23" t="s">
        <v>169</v>
      </c>
      <c r="I154" s="23" t="s">
        <v>192</v>
      </c>
      <c r="J154" s="50"/>
      <c r="K154" s="10" t="s">
        <v>0</v>
      </c>
      <c r="L154" s="12">
        <v>6800</v>
      </c>
      <c r="M154" s="12">
        <v>225.23</v>
      </c>
      <c r="N154" s="12">
        <v>0</v>
      </c>
      <c r="O154" s="112">
        <f t="shared" si="18"/>
        <v>1531564</v>
      </c>
      <c r="P154" s="112">
        <f t="shared" si="16"/>
        <v>1531564</v>
      </c>
      <c r="Q154" s="142">
        <f t="shared" si="19"/>
        <v>168472.04</v>
      </c>
      <c r="R154" s="112">
        <f t="shared" si="20"/>
        <v>30631.279999999999</v>
      </c>
      <c r="S154" s="112">
        <v>0</v>
      </c>
      <c r="T154" s="112">
        <f t="shared" si="21"/>
        <v>1669404.76</v>
      </c>
      <c r="U154" s="42"/>
    </row>
    <row r="155" spans="1:21" s="36" customFormat="1" ht="15.45" x14ac:dyDescent="0.35">
      <c r="A155" s="19" t="s">
        <v>166</v>
      </c>
      <c r="B155" s="9">
        <v>45877</v>
      </c>
      <c r="C155" s="14" t="s">
        <v>3169</v>
      </c>
      <c r="D155" s="10" t="s">
        <v>167</v>
      </c>
      <c r="E155" s="9"/>
      <c r="F155" s="23" t="s">
        <v>210</v>
      </c>
      <c r="G155" s="23" t="s">
        <v>168</v>
      </c>
      <c r="H155" s="23" t="s">
        <v>169</v>
      </c>
      <c r="I155" s="23" t="s">
        <v>192</v>
      </c>
      <c r="J155" s="50"/>
      <c r="K155" s="10" t="s">
        <v>0</v>
      </c>
      <c r="L155" s="12">
        <v>6160</v>
      </c>
      <c r="M155" s="12">
        <v>225.23</v>
      </c>
      <c r="N155" s="12">
        <v>0</v>
      </c>
      <c r="O155" s="112">
        <f t="shared" si="18"/>
        <v>1387416.8</v>
      </c>
      <c r="P155" s="112">
        <f t="shared" si="16"/>
        <v>1387416.8</v>
      </c>
      <c r="Q155" s="142">
        <f t="shared" si="19"/>
        <v>152615.848</v>
      </c>
      <c r="R155" s="112">
        <f t="shared" si="20"/>
        <v>27748.336000000003</v>
      </c>
      <c r="S155" s="112">
        <v>0</v>
      </c>
      <c r="T155" s="112">
        <f t="shared" si="21"/>
        <v>1512284.3120000002</v>
      </c>
      <c r="U155" s="42"/>
    </row>
    <row r="156" spans="1:21" s="36" customFormat="1" ht="15.45" x14ac:dyDescent="0.35">
      <c r="A156" s="19" t="s">
        <v>166</v>
      </c>
      <c r="B156" s="9">
        <v>45880</v>
      </c>
      <c r="C156" s="14" t="s">
        <v>3170</v>
      </c>
      <c r="D156" s="10" t="s">
        <v>167</v>
      </c>
      <c r="E156" s="9"/>
      <c r="F156" s="23" t="s">
        <v>210</v>
      </c>
      <c r="G156" s="23" t="s">
        <v>168</v>
      </c>
      <c r="H156" s="23" t="s">
        <v>169</v>
      </c>
      <c r="I156" s="23" t="s">
        <v>192</v>
      </c>
      <c r="J156" s="50"/>
      <c r="K156" s="10" t="s">
        <v>0</v>
      </c>
      <c r="L156" s="12">
        <v>6370</v>
      </c>
      <c r="M156" s="12">
        <v>225.23</v>
      </c>
      <c r="N156" s="12">
        <v>0</v>
      </c>
      <c r="O156" s="112">
        <f t="shared" si="18"/>
        <v>1434715.0999999999</v>
      </c>
      <c r="P156" s="112">
        <f t="shared" si="16"/>
        <v>1434715.0999999999</v>
      </c>
      <c r="Q156" s="142">
        <f t="shared" si="19"/>
        <v>157818.66099999999</v>
      </c>
      <c r="R156" s="112">
        <f t="shared" si="20"/>
        <v>28694.301999999996</v>
      </c>
      <c r="S156" s="112">
        <v>0</v>
      </c>
      <c r="T156" s="112">
        <f t="shared" si="21"/>
        <v>1563839.459</v>
      </c>
      <c r="U156" s="42"/>
    </row>
    <row r="157" spans="1:21" s="36" customFormat="1" ht="15.45" x14ac:dyDescent="0.35">
      <c r="A157" s="19" t="s">
        <v>166</v>
      </c>
      <c r="B157" s="9">
        <v>45881</v>
      </c>
      <c r="C157" s="14" t="s">
        <v>3171</v>
      </c>
      <c r="D157" s="10" t="s">
        <v>167</v>
      </c>
      <c r="E157" s="9"/>
      <c r="F157" s="23" t="s">
        <v>210</v>
      </c>
      <c r="G157" s="23" t="s">
        <v>168</v>
      </c>
      <c r="H157" s="23" t="s">
        <v>169</v>
      </c>
      <c r="I157" s="23" t="s">
        <v>192</v>
      </c>
      <c r="J157" s="50"/>
      <c r="K157" s="10" t="s">
        <v>0</v>
      </c>
      <c r="L157" s="12">
        <v>6370</v>
      </c>
      <c r="M157" s="12">
        <v>225.23</v>
      </c>
      <c r="N157" s="12">
        <v>0</v>
      </c>
      <c r="O157" s="112">
        <f t="shared" si="18"/>
        <v>1434715.0999999999</v>
      </c>
      <c r="P157" s="112">
        <f t="shared" si="16"/>
        <v>1434715.0999999999</v>
      </c>
      <c r="Q157" s="142">
        <f t="shared" si="19"/>
        <v>157818.66099999999</v>
      </c>
      <c r="R157" s="112">
        <f t="shared" si="20"/>
        <v>28694.301999999996</v>
      </c>
      <c r="S157" s="112">
        <v>0</v>
      </c>
      <c r="T157" s="112">
        <f t="shared" si="21"/>
        <v>1563839.459</v>
      </c>
      <c r="U157" s="42"/>
    </row>
    <row r="158" spans="1:21" s="36" customFormat="1" ht="15.45" x14ac:dyDescent="0.35">
      <c r="A158" s="19" t="s">
        <v>166</v>
      </c>
      <c r="B158" s="9">
        <v>45883</v>
      </c>
      <c r="C158" s="14" t="s">
        <v>3172</v>
      </c>
      <c r="D158" s="10" t="s">
        <v>167</v>
      </c>
      <c r="E158" s="9"/>
      <c r="F158" s="23" t="s">
        <v>210</v>
      </c>
      <c r="G158" s="23" t="s">
        <v>168</v>
      </c>
      <c r="H158" s="23" t="s">
        <v>169</v>
      </c>
      <c r="I158" s="23" t="s">
        <v>192</v>
      </c>
      <c r="J158" s="50"/>
      <c r="K158" s="10" t="s">
        <v>0</v>
      </c>
      <c r="L158" s="12">
        <v>6070</v>
      </c>
      <c r="M158" s="12">
        <v>225.23</v>
      </c>
      <c r="N158" s="12">
        <v>0</v>
      </c>
      <c r="O158" s="112">
        <f t="shared" si="18"/>
        <v>1367146.0999999999</v>
      </c>
      <c r="P158" s="112">
        <f t="shared" si="16"/>
        <v>1367146.0999999999</v>
      </c>
      <c r="Q158" s="142">
        <f t="shared" si="19"/>
        <v>150386.071</v>
      </c>
      <c r="R158" s="112">
        <f t="shared" si="20"/>
        <v>27342.921999999999</v>
      </c>
      <c r="S158" s="112">
        <v>0</v>
      </c>
      <c r="T158" s="112">
        <f t="shared" si="21"/>
        <v>1490189.2489999998</v>
      </c>
      <c r="U158" s="42"/>
    </row>
    <row r="159" spans="1:21" s="36" customFormat="1" ht="15.45" x14ac:dyDescent="0.35">
      <c r="A159" s="19" t="s">
        <v>166</v>
      </c>
      <c r="B159" s="9">
        <v>45885</v>
      </c>
      <c r="C159" s="14" t="s">
        <v>3173</v>
      </c>
      <c r="D159" s="10" t="s">
        <v>167</v>
      </c>
      <c r="E159" s="9"/>
      <c r="F159" s="23" t="s">
        <v>210</v>
      </c>
      <c r="G159" s="23" t="s">
        <v>168</v>
      </c>
      <c r="H159" s="23" t="s">
        <v>169</v>
      </c>
      <c r="I159" s="23" t="s">
        <v>192</v>
      </c>
      <c r="J159" s="50"/>
      <c r="K159" s="10" t="s">
        <v>0</v>
      </c>
      <c r="L159" s="12">
        <v>6190</v>
      </c>
      <c r="M159" s="12">
        <v>225.23</v>
      </c>
      <c r="N159" s="12">
        <v>0</v>
      </c>
      <c r="O159" s="112">
        <f t="shared" si="18"/>
        <v>1394173.7</v>
      </c>
      <c r="P159" s="112">
        <f t="shared" si="16"/>
        <v>1394173.7</v>
      </c>
      <c r="Q159" s="142">
        <f t="shared" si="19"/>
        <v>153359.10699999999</v>
      </c>
      <c r="R159" s="112">
        <f t="shared" si="20"/>
        <v>27883.473999999998</v>
      </c>
      <c r="S159" s="112">
        <v>0</v>
      </c>
      <c r="T159" s="112">
        <f t="shared" si="21"/>
        <v>1519649.3330000001</v>
      </c>
      <c r="U159" s="42"/>
    </row>
    <row r="160" spans="1:21" s="36" customFormat="1" ht="15.45" x14ac:dyDescent="0.35">
      <c r="A160" s="19" t="s">
        <v>166</v>
      </c>
      <c r="B160" s="9">
        <v>45888</v>
      </c>
      <c r="C160" s="14" t="s">
        <v>3174</v>
      </c>
      <c r="D160" s="10" t="s">
        <v>167</v>
      </c>
      <c r="E160" s="9"/>
      <c r="F160" s="23" t="s">
        <v>210</v>
      </c>
      <c r="G160" s="23" t="s">
        <v>168</v>
      </c>
      <c r="H160" s="23" t="s">
        <v>169</v>
      </c>
      <c r="I160" s="23" t="s">
        <v>192</v>
      </c>
      <c r="J160" s="50"/>
      <c r="K160" s="10" t="s">
        <v>0</v>
      </c>
      <c r="L160" s="12">
        <v>7230</v>
      </c>
      <c r="M160" s="12">
        <v>225.23</v>
      </c>
      <c r="N160" s="12">
        <v>0</v>
      </c>
      <c r="O160" s="112">
        <f t="shared" si="18"/>
        <v>1628412.9</v>
      </c>
      <c r="P160" s="112">
        <f t="shared" si="16"/>
        <v>1628412.9</v>
      </c>
      <c r="Q160" s="142">
        <f t="shared" si="19"/>
        <v>179125.41899999999</v>
      </c>
      <c r="R160" s="112">
        <f t="shared" si="20"/>
        <v>32568.257999999998</v>
      </c>
      <c r="S160" s="112">
        <v>0</v>
      </c>
      <c r="T160" s="112">
        <f t="shared" si="21"/>
        <v>1774970.061</v>
      </c>
      <c r="U160" s="42"/>
    </row>
    <row r="161" spans="1:21" s="36" customFormat="1" ht="15.45" x14ac:dyDescent="0.35">
      <c r="A161" s="19" t="s">
        <v>166</v>
      </c>
      <c r="B161" s="9">
        <v>45889</v>
      </c>
      <c r="C161" s="14" t="s">
        <v>3175</v>
      </c>
      <c r="D161" s="10" t="s">
        <v>167</v>
      </c>
      <c r="E161" s="9"/>
      <c r="F161" s="23" t="s">
        <v>210</v>
      </c>
      <c r="G161" s="23" t="s">
        <v>168</v>
      </c>
      <c r="H161" s="23" t="s">
        <v>169</v>
      </c>
      <c r="I161" s="23" t="s">
        <v>192</v>
      </c>
      <c r="J161" s="50"/>
      <c r="K161" s="10" t="s">
        <v>0</v>
      </c>
      <c r="L161" s="12">
        <v>6620</v>
      </c>
      <c r="M161" s="12">
        <v>225.23</v>
      </c>
      <c r="N161" s="12">
        <v>0</v>
      </c>
      <c r="O161" s="112">
        <f t="shared" si="18"/>
        <v>1491022.5999999999</v>
      </c>
      <c r="P161" s="112">
        <f t="shared" si="16"/>
        <v>1491022.5999999999</v>
      </c>
      <c r="Q161" s="142">
        <f t="shared" si="19"/>
        <v>164012.48599999998</v>
      </c>
      <c r="R161" s="112">
        <f t="shared" si="20"/>
        <v>29820.451999999997</v>
      </c>
      <c r="S161" s="112">
        <v>0</v>
      </c>
      <c r="T161" s="112">
        <f t="shared" si="21"/>
        <v>1625214.6339999998</v>
      </c>
      <c r="U161" s="42"/>
    </row>
    <row r="162" spans="1:21" s="36" customFormat="1" ht="15.45" x14ac:dyDescent="0.35">
      <c r="A162" s="19" t="s">
        <v>166</v>
      </c>
      <c r="B162" s="9">
        <v>45890</v>
      </c>
      <c r="C162" s="14" t="s">
        <v>3176</v>
      </c>
      <c r="D162" s="10" t="s">
        <v>167</v>
      </c>
      <c r="E162" s="9"/>
      <c r="F162" s="23" t="s">
        <v>210</v>
      </c>
      <c r="G162" s="23" t="s">
        <v>168</v>
      </c>
      <c r="H162" s="23" t="s">
        <v>169</v>
      </c>
      <c r="I162" s="23" t="s">
        <v>192</v>
      </c>
      <c r="J162" s="50"/>
      <c r="K162" s="10" t="s">
        <v>0</v>
      </c>
      <c r="L162" s="12">
        <v>5650</v>
      </c>
      <c r="M162" s="12">
        <v>225.23</v>
      </c>
      <c r="N162" s="12">
        <v>0</v>
      </c>
      <c r="O162" s="112">
        <f t="shared" si="18"/>
        <v>1272549.5</v>
      </c>
      <c r="P162" s="112">
        <f t="shared" si="16"/>
        <v>1272549.5</v>
      </c>
      <c r="Q162" s="142">
        <f t="shared" si="19"/>
        <v>139980.44500000001</v>
      </c>
      <c r="R162" s="112">
        <f t="shared" si="20"/>
        <v>25450.99</v>
      </c>
      <c r="S162" s="112">
        <v>0</v>
      </c>
      <c r="T162" s="112">
        <f t="shared" si="21"/>
        <v>1387078.9550000001</v>
      </c>
      <c r="U162" s="42"/>
    </row>
    <row r="163" spans="1:21" s="36" customFormat="1" ht="15.45" x14ac:dyDescent="0.35">
      <c r="A163" s="20" t="s">
        <v>166</v>
      </c>
      <c r="B163" s="9">
        <v>45894</v>
      </c>
      <c r="C163" s="14" t="s">
        <v>3177</v>
      </c>
      <c r="D163" s="10" t="s">
        <v>167</v>
      </c>
      <c r="E163" s="9"/>
      <c r="F163" s="23" t="s">
        <v>210</v>
      </c>
      <c r="G163" s="23" t="s">
        <v>168</v>
      </c>
      <c r="H163" s="23" t="s">
        <v>169</v>
      </c>
      <c r="I163" s="23" t="s">
        <v>192</v>
      </c>
      <c r="J163" s="50"/>
      <c r="K163" s="10" t="s">
        <v>0</v>
      </c>
      <c r="L163" s="12">
        <v>7070</v>
      </c>
      <c r="M163" s="12">
        <v>225.23</v>
      </c>
      <c r="N163" s="12">
        <v>0</v>
      </c>
      <c r="O163" s="112">
        <f t="shared" si="18"/>
        <v>1592376.0999999999</v>
      </c>
      <c r="P163" s="112">
        <f t="shared" si="16"/>
        <v>1592376.0999999999</v>
      </c>
      <c r="Q163" s="142">
        <f t="shared" si="19"/>
        <v>175161.37099999998</v>
      </c>
      <c r="R163" s="112">
        <f t="shared" si="20"/>
        <v>31847.521999999997</v>
      </c>
      <c r="S163" s="112">
        <v>0</v>
      </c>
      <c r="T163" s="112">
        <f t="shared" si="21"/>
        <v>1735689.949</v>
      </c>
      <c r="U163" s="42"/>
    </row>
    <row r="164" spans="1:21" s="36" customFormat="1" ht="15.45" x14ac:dyDescent="0.35">
      <c r="A164" s="20" t="s">
        <v>166</v>
      </c>
      <c r="B164" s="9">
        <v>45895</v>
      </c>
      <c r="C164" s="14" t="s">
        <v>3178</v>
      </c>
      <c r="D164" s="10" t="s">
        <v>167</v>
      </c>
      <c r="E164" s="9"/>
      <c r="F164" s="23" t="s">
        <v>210</v>
      </c>
      <c r="G164" s="23" t="s">
        <v>168</v>
      </c>
      <c r="H164" s="23" t="s">
        <v>169</v>
      </c>
      <c r="I164" s="23" t="s">
        <v>192</v>
      </c>
      <c r="J164" s="50"/>
      <c r="K164" s="10" t="s">
        <v>0</v>
      </c>
      <c r="L164" s="12">
        <v>6820</v>
      </c>
      <c r="M164" s="12">
        <v>225.23</v>
      </c>
      <c r="N164" s="12">
        <v>0</v>
      </c>
      <c r="O164" s="112">
        <f t="shared" si="18"/>
        <v>1536068.5999999999</v>
      </c>
      <c r="P164" s="112">
        <f t="shared" si="16"/>
        <v>1536068.5999999999</v>
      </c>
      <c r="Q164" s="142">
        <f t="shared" si="19"/>
        <v>168967.54599999997</v>
      </c>
      <c r="R164" s="112">
        <f t="shared" si="20"/>
        <v>30721.371999999999</v>
      </c>
      <c r="S164" s="112">
        <v>0</v>
      </c>
      <c r="T164" s="112">
        <f t="shared" si="21"/>
        <v>1674314.7739999997</v>
      </c>
      <c r="U164" s="42"/>
    </row>
    <row r="165" spans="1:21" s="36" customFormat="1" ht="15.45" x14ac:dyDescent="0.35">
      <c r="A165" s="20" t="s">
        <v>166</v>
      </c>
      <c r="B165" s="9">
        <v>45897</v>
      </c>
      <c r="C165" s="14" t="s">
        <v>3179</v>
      </c>
      <c r="D165" s="10" t="s">
        <v>167</v>
      </c>
      <c r="E165" s="9"/>
      <c r="F165" s="23" t="s">
        <v>210</v>
      </c>
      <c r="G165" s="23" t="s">
        <v>168</v>
      </c>
      <c r="H165" s="23" t="s">
        <v>169</v>
      </c>
      <c r="I165" s="23" t="s">
        <v>192</v>
      </c>
      <c r="J165" s="50"/>
      <c r="K165" s="10" t="s">
        <v>0</v>
      </c>
      <c r="L165" s="12">
        <v>7230</v>
      </c>
      <c r="M165" s="12">
        <v>225.23</v>
      </c>
      <c r="N165" s="12">
        <v>0</v>
      </c>
      <c r="O165" s="112">
        <f t="shared" si="18"/>
        <v>1628412.9</v>
      </c>
      <c r="P165" s="112">
        <f t="shared" si="16"/>
        <v>1628412.9</v>
      </c>
      <c r="Q165" s="142">
        <f t="shared" si="19"/>
        <v>179125.41899999999</v>
      </c>
      <c r="R165" s="112">
        <f t="shared" si="20"/>
        <v>32568.257999999998</v>
      </c>
      <c r="S165" s="112">
        <v>0</v>
      </c>
      <c r="T165" s="112">
        <f t="shared" si="21"/>
        <v>1774970.061</v>
      </c>
      <c r="U165" s="42"/>
    </row>
    <row r="166" spans="1:21" s="36" customFormat="1" ht="15.45" x14ac:dyDescent="0.35">
      <c r="A166" s="20" t="s">
        <v>166</v>
      </c>
      <c r="B166" s="9">
        <v>45898</v>
      </c>
      <c r="C166" s="14" t="s">
        <v>3180</v>
      </c>
      <c r="D166" s="10" t="s">
        <v>167</v>
      </c>
      <c r="E166" s="9"/>
      <c r="F166" s="23" t="s">
        <v>210</v>
      </c>
      <c r="G166" s="23" t="s">
        <v>168</v>
      </c>
      <c r="H166" s="23" t="s">
        <v>169</v>
      </c>
      <c r="I166" s="23" t="s">
        <v>192</v>
      </c>
      <c r="J166" s="50"/>
      <c r="K166" s="10" t="s">
        <v>0</v>
      </c>
      <c r="L166" s="12">
        <v>6450</v>
      </c>
      <c r="M166" s="12">
        <v>225.23</v>
      </c>
      <c r="N166" s="12">
        <v>0</v>
      </c>
      <c r="O166" s="112">
        <f t="shared" si="18"/>
        <v>1452733.5</v>
      </c>
      <c r="P166" s="112">
        <f t="shared" si="16"/>
        <v>1452733.5</v>
      </c>
      <c r="Q166" s="142">
        <f t="shared" si="19"/>
        <v>159800.685</v>
      </c>
      <c r="R166" s="112">
        <f t="shared" si="20"/>
        <v>29054.670000000002</v>
      </c>
      <c r="S166" s="112">
        <v>0</v>
      </c>
      <c r="T166" s="112">
        <f t="shared" si="21"/>
        <v>1583479.5150000001</v>
      </c>
      <c r="U166" s="42"/>
    </row>
    <row r="175" spans="1:21" x14ac:dyDescent="0.4">
      <c r="M175" s="57">
        <f>97560+129970</f>
        <v>227530</v>
      </c>
    </row>
    <row r="176" spans="1:21" x14ac:dyDescent="0.4">
      <c r="M176" s="57">
        <v>129970</v>
      </c>
    </row>
  </sheetData>
  <autoFilter ref="A7:V166" xr:uid="{A39DF695-44CC-4AA3-A730-C7CAE45D53FA}"/>
  <conditionalFormatting sqref="A8">
    <cfRule type="duplicateValues" dxfId="237" priority="271"/>
  </conditionalFormatting>
  <conditionalFormatting sqref="A9">
    <cfRule type="duplicateValues" dxfId="236" priority="267"/>
  </conditionalFormatting>
  <conditionalFormatting sqref="A10">
    <cfRule type="duplicateValues" dxfId="235" priority="297"/>
  </conditionalFormatting>
  <conditionalFormatting sqref="A11">
    <cfRule type="duplicateValues" dxfId="234" priority="273"/>
  </conditionalFormatting>
  <conditionalFormatting sqref="A12">
    <cfRule type="duplicateValues" dxfId="233" priority="265"/>
  </conditionalFormatting>
  <conditionalFormatting sqref="A13">
    <cfRule type="duplicateValues" dxfId="232" priority="291"/>
  </conditionalFormatting>
  <conditionalFormatting sqref="A14">
    <cfRule type="duplicateValues" dxfId="231" priority="289"/>
  </conditionalFormatting>
  <conditionalFormatting sqref="A15">
    <cfRule type="duplicateValues" dxfId="230" priority="287"/>
  </conditionalFormatting>
  <conditionalFormatting sqref="A16">
    <cfRule type="duplicateValues" dxfId="229" priority="285"/>
  </conditionalFormatting>
  <conditionalFormatting sqref="A17">
    <cfRule type="duplicateValues" dxfId="228" priority="283"/>
  </conditionalFormatting>
  <conditionalFormatting sqref="A18">
    <cfRule type="duplicateValues" dxfId="227" priority="281"/>
  </conditionalFormatting>
  <conditionalFormatting sqref="A19">
    <cfRule type="duplicateValues" dxfId="226" priority="279"/>
  </conditionalFormatting>
  <conditionalFormatting sqref="A20">
    <cfRule type="duplicateValues" dxfId="225" priority="263"/>
  </conditionalFormatting>
  <conditionalFormatting sqref="A21">
    <cfRule type="duplicateValues" dxfId="224" priority="251"/>
  </conditionalFormatting>
  <conditionalFormatting sqref="A22">
    <cfRule type="duplicateValues" dxfId="223" priority="249"/>
  </conditionalFormatting>
  <conditionalFormatting sqref="A23">
    <cfRule type="duplicateValues" dxfId="222" priority="247"/>
  </conditionalFormatting>
  <conditionalFormatting sqref="A24">
    <cfRule type="duplicateValues" dxfId="221" priority="261"/>
  </conditionalFormatting>
  <conditionalFormatting sqref="A25">
    <cfRule type="duplicateValues" dxfId="220" priority="259"/>
  </conditionalFormatting>
  <conditionalFormatting sqref="A26">
    <cfRule type="duplicateValues" dxfId="219" priority="257"/>
  </conditionalFormatting>
  <conditionalFormatting sqref="A27">
    <cfRule type="duplicateValues" dxfId="218" priority="255"/>
  </conditionalFormatting>
  <conditionalFormatting sqref="A28">
    <cfRule type="duplicateValues" dxfId="217" priority="253"/>
  </conditionalFormatting>
  <conditionalFormatting sqref="A29">
    <cfRule type="duplicateValues" dxfId="216" priority="295"/>
  </conditionalFormatting>
  <conditionalFormatting sqref="A30">
    <cfRule type="duplicateValues" dxfId="215" priority="293"/>
  </conditionalFormatting>
  <conditionalFormatting sqref="A31">
    <cfRule type="duplicateValues" dxfId="214" priority="275"/>
  </conditionalFormatting>
  <conditionalFormatting sqref="A32">
    <cfRule type="duplicateValues" dxfId="213" priority="269"/>
  </conditionalFormatting>
  <conditionalFormatting sqref="A33">
    <cfRule type="duplicateValues" dxfId="212" priority="277"/>
  </conditionalFormatting>
  <conditionalFormatting sqref="A34">
    <cfRule type="duplicateValues" dxfId="211" priority="245"/>
  </conditionalFormatting>
  <conditionalFormatting sqref="A35">
    <cfRule type="duplicateValues" dxfId="210" priority="220"/>
  </conditionalFormatting>
  <conditionalFormatting sqref="A36">
    <cfRule type="duplicateValues" dxfId="209" priority="232"/>
  </conditionalFormatting>
  <conditionalFormatting sqref="A37">
    <cfRule type="duplicateValues" dxfId="208" priority="244"/>
  </conditionalFormatting>
  <conditionalFormatting sqref="A38">
    <cfRule type="duplicateValues" dxfId="207" priority="234"/>
  </conditionalFormatting>
  <conditionalFormatting sqref="A39">
    <cfRule type="duplicateValues" dxfId="206" priority="224"/>
  </conditionalFormatting>
  <conditionalFormatting sqref="A40">
    <cfRule type="duplicateValues" dxfId="205" priority="230"/>
  </conditionalFormatting>
  <conditionalFormatting sqref="A41">
    <cfRule type="duplicateValues" dxfId="204" priority="222"/>
  </conditionalFormatting>
  <conditionalFormatting sqref="A42">
    <cfRule type="duplicateValues" dxfId="203" priority="238"/>
  </conditionalFormatting>
  <conditionalFormatting sqref="A43">
    <cfRule type="duplicateValues" dxfId="202" priority="226"/>
  </conditionalFormatting>
  <conditionalFormatting sqref="A44">
    <cfRule type="duplicateValues" dxfId="201" priority="242"/>
  </conditionalFormatting>
  <conditionalFormatting sqref="A45">
    <cfRule type="duplicateValues" dxfId="200" priority="218"/>
  </conditionalFormatting>
  <conditionalFormatting sqref="A46">
    <cfRule type="duplicateValues" dxfId="199" priority="236"/>
  </conditionalFormatting>
  <conditionalFormatting sqref="A47">
    <cfRule type="duplicateValues" dxfId="198" priority="228"/>
  </conditionalFormatting>
  <conditionalFormatting sqref="A48">
    <cfRule type="duplicateValues" dxfId="197" priority="240"/>
  </conditionalFormatting>
  <conditionalFormatting sqref="A49">
    <cfRule type="duplicateValues" dxfId="196" priority="216"/>
  </conditionalFormatting>
  <conditionalFormatting sqref="A50">
    <cfRule type="duplicateValues" dxfId="195" priority="214"/>
  </conditionalFormatting>
  <conditionalFormatting sqref="A51">
    <cfRule type="duplicateValues" dxfId="194" priority="190"/>
  </conditionalFormatting>
  <conditionalFormatting sqref="A52">
    <cfRule type="duplicateValues" dxfId="193" priority="202"/>
  </conditionalFormatting>
  <conditionalFormatting sqref="A53">
    <cfRule type="duplicateValues" dxfId="192" priority="200"/>
  </conditionalFormatting>
  <conditionalFormatting sqref="A54">
    <cfRule type="duplicateValues" dxfId="191" priority="198"/>
  </conditionalFormatting>
  <conditionalFormatting sqref="A55">
    <cfRule type="duplicateValues" dxfId="190" priority="204"/>
  </conditionalFormatting>
  <conditionalFormatting sqref="A56">
    <cfRule type="duplicateValues" dxfId="189" priority="194"/>
  </conditionalFormatting>
  <conditionalFormatting sqref="A57">
    <cfRule type="duplicateValues" dxfId="188" priority="210"/>
  </conditionalFormatting>
  <conditionalFormatting sqref="A58">
    <cfRule type="duplicateValues" dxfId="187" priority="208"/>
  </conditionalFormatting>
  <conditionalFormatting sqref="A59">
    <cfRule type="duplicateValues" dxfId="186" priority="192"/>
  </conditionalFormatting>
  <conditionalFormatting sqref="A60">
    <cfRule type="duplicateValues" dxfId="185" priority="196"/>
  </conditionalFormatting>
  <conditionalFormatting sqref="A61">
    <cfRule type="duplicateValues" dxfId="184" priority="206"/>
  </conditionalFormatting>
  <conditionalFormatting sqref="A62">
    <cfRule type="duplicateValues" dxfId="183" priority="212"/>
  </conditionalFormatting>
  <conditionalFormatting sqref="A63">
    <cfRule type="duplicateValues" dxfId="182" priority="164"/>
  </conditionalFormatting>
  <conditionalFormatting sqref="A64">
    <cfRule type="duplicateValues" dxfId="181" priority="162"/>
  </conditionalFormatting>
  <conditionalFormatting sqref="A65">
    <cfRule type="duplicateValues" dxfId="180" priority="160"/>
  </conditionalFormatting>
  <conditionalFormatting sqref="A66">
    <cfRule type="duplicateValues" dxfId="179" priority="184"/>
  </conditionalFormatting>
  <conditionalFormatting sqref="A67">
    <cfRule type="duplicateValues" dxfId="178" priority="182"/>
  </conditionalFormatting>
  <conditionalFormatting sqref="A68">
    <cfRule type="duplicateValues" dxfId="177" priority="180"/>
  </conditionalFormatting>
  <conditionalFormatting sqref="A69">
    <cfRule type="duplicateValues" dxfId="176" priority="178"/>
  </conditionalFormatting>
  <conditionalFormatting sqref="A70">
    <cfRule type="duplicateValues" dxfId="175" priority="176"/>
  </conditionalFormatting>
  <conditionalFormatting sqref="A71">
    <cfRule type="duplicateValues" dxfId="174" priority="174"/>
  </conditionalFormatting>
  <conditionalFormatting sqref="A72">
    <cfRule type="duplicateValues" dxfId="173" priority="172"/>
  </conditionalFormatting>
  <conditionalFormatting sqref="A73">
    <cfRule type="duplicateValues" dxfId="172" priority="166"/>
  </conditionalFormatting>
  <conditionalFormatting sqref="A74">
    <cfRule type="duplicateValues" dxfId="171" priority="156"/>
  </conditionalFormatting>
  <conditionalFormatting sqref="A75">
    <cfRule type="duplicateValues" dxfId="170" priority="186"/>
  </conditionalFormatting>
  <conditionalFormatting sqref="A76">
    <cfRule type="duplicateValues" dxfId="169" priority="154"/>
  </conditionalFormatting>
  <conditionalFormatting sqref="A77">
    <cfRule type="duplicateValues" dxfId="168" priority="170"/>
  </conditionalFormatting>
  <conditionalFormatting sqref="A78">
    <cfRule type="duplicateValues" dxfId="167" priority="168"/>
  </conditionalFormatting>
  <conditionalFormatting sqref="A79">
    <cfRule type="duplicateValues" dxfId="166" priority="158"/>
  </conditionalFormatting>
  <conditionalFormatting sqref="A80">
    <cfRule type="duplicateValues" dxfId="165" priority="188"/>
  </conditionalFormatting>
  <conditionalFormatting sqref="A81">
    <cfRule type="duplicateValues" dxfId="164" priority="152"/>
  </conditionalFormatting>
  <conditionalFormatting sqref="A82:A83">
    <cfRule type="duplicateValues" dxfId="163" priority="151"/>
  </conditionalFormatting>
  <conditionalFormatting sqref="A83">
    <cfRule type="duplicateValues" dxfId="162" priority="150"/>
  </conditionalFormatting>
  <conditionalFormatting sqref="A84">
    <cfRule type="duplicateValues" dxfId="161" priority="129"/>
  </conditionalFormatting>
  <conditionalFormatting sqref="A85">
    <cfRule type="duplicateValues" dxfId="160" priority="127"/>
  </conditionalFormatting>
  <conditionalFormatting sqref="A86">
    <cfRule type="duplicateValues" dxfId="159" priority="125"/>
  </conditionalFormatting>
  <conditionalFormatting sqref="A87">
    <cfRule type="duplicateValues" dxfId="158" priority="111"/>
  </conditionalFormatting>
  <conditionalFormatting sqref="A88">
    <cfRule type="duplicateValues" dxfId="157" priority="119"/>
  </conditionalFormatting>
  <conditionalFormatting sqref="A89">
    <cfRule type="duplicateValues" dxfId="156" priority="105"/>
  </conditionalFormatting>
  <conditionalFormatting sqref="A90">
    <cfRule type="duplicateValues" dxfId="155" priority="143"/>
  </conditionalFormatting>
  <conditionalFormatting sqref="A91">
    <cfRule type="duplicateValues" dxfId="154" priority="141"/>
  </conditionalFormatting>
  <conditionalFormatting sqref="A92">
    <cfRule type="duplicateValues" dxfId="153" priority="149"/>
  </conditionalFormatting>
  <conditionalFormatting sqref="A93">
    <cfRule type="duplicateValues" dxfId="152" priority="137"/>
  </conditionalFormatting>
  <conditionalFormatting sqref="A94">
    <cfRule type="duplicateValues" dxfId="151" priority="135"/>
  </conditionalFormatting>
  <conditionalFormatting sqref="A95">
    <cfRule type="duplicateValues" dxfId="150" priority="139"/>
  </conditionalFormatting>
  <conditionalFormatting sqref="A96">
    <cfRule type="duplicateValues" dxfId="149" priority="115"/>
  </conditionalFormatting>
  <conditionalFormatting sqref="A97">
    <cfRule type="duplicateValues" dxfId="148" priority="131"/>
  </conditionalFormatting>
  <conditionalFormatting sqref="A98">
    <cfRule type="duplicateValues" dxfId="147" priority="109"/>
  </conditionalFormatting>
  <conditionalFormatting sqref="A99">
    <cfRule type="duplicateValues" dxfId="146" priority="145"/>
  </conditionalFormatting>
  <conditionalFormatting sqref="A100">
    <cfRule type="duplicateValues" dxfId="145" priority="117"/>
  </conditionalFormatting>
  <conditionalFormatting sqref="A101">
    <cfRule type="duplicateValues" dxfId="144" priority="107"/>
  </conditionalFormatting>
  <conditionalFormatting sqref="A102">
    <cfRule type="duplicateValues" dxfId="143" priority="103"/>
  </conditionalFormatting>
  <conditionalFormatting sqref="A103">
    <cfRule type="duplicateValues" dxfId="142" priority="101"/>
  </conditionalFormatting>
  <conditionalFormatting sqref="A104">
    <cfRule type="duplicateValues" dxfId="141" priority="147"/>
  </conditionalFormatting>
  <conditionalFormatting sqref="A105">
    <cfRule type="duplicateValues" dxfId="140" priority="123"/>
  </conditionalFormatting>
  <conditionalFormatting sqref="A106">
    <cfRule type="duplicateValues" dxfId="139" priority="113"/>
  </conditionalFormatting>
  <conditionalFormatting sqref="A107">
    <cfRule type="duplicateValues" dxfId="138" priority="121"/>
  </conditionalFormatting>
  <conditionalFormatting sqref="A108">
    <cfRule type="duplicateValues" dxfId="137" priority="133"/>
  </conditionalFormatting>
  <conditionalFormatting sqref="A109">
    <cfRule type="duplicateValues" dxfId="136" priority="99"/>
  </conditionalFormatting>
  <conditionalFormatting sqref="A110">
    <cfRule type="duplicateValues" dxfId="135" priority="98"/>
  </conditionalFormatting>
  <conditionalFormatting sqref="A111">
    <cfRule type="duplicateValues" dxfId="134" priority="96"/>
  </conditionalFormatting>
  <conditionalFormatting sqref="A112">
    <cfRule type="duplicateValues" dxfId="133" priority="95"/>
  </conditionalFormatting>
  <conditionalFormatting sqref="A113">
    <cfRule type="duplicateValues" dxfId="132" priority="86"/>
  </conditionalFormatting>
  <conditionalFormatting sqref="A114">
    <cfRule type="duplicateValues" dxfId="131" priority="84"/>
  </conditionalFormatting>
  <conditionalFormatting sqref="A115">
    <cfRule type="duplicateValues" dxfId="130" priority="56"/>
  </conditionalFormatting>
  <conditionalFormatting sqref="A116">
    <cfRule type="duplicateValues" dxfId="129" priority="72"/>
  </conditionalFormatting>
  <conditionalFormatting sqref="A117">
    <cfRule type="duplicateValues" dxfId="128" priority="36"/>
  </conditionalFormatting>
  <conditionalFormatting sqref="A118">
    <cfRule type="duplicateValues" dxfId="127" priority="76"/>
  </conditionalFormatting>
  <conditionalFormatting sqref="A119">
    <cfRule type="duplicateValues" dxfId="126" priority="40"/>
  </conditionalFormatting>
  <conditionalFormatting sqref="A120">
    <cfRule type="duplicateValues" dxfId="125" priority="70"/>
  </conditionalFormatting>
  <conditionalFormatting sqref="A121">
    <cfRule type="duplicateValues" dxfId="124" priority="78"/>
  </conditionalFormatting>
  <conditionalFormatting sqref="A122">
    <cfRule type="duplicateValues" dxfId="123" priority="20"/>
  </conditionalFormatting>
  <conditionalFormatting sqref="A123">
    <cfRule type="duplicateValues" dxfId="122" priority="82"/>
  </conditionalFormatting>
  <conditionalFormatting sqref="A124">
    <cfRule type="duplicateValues" dxfId="121" priority="80"/>
  </conditionalFormatting>
  <conditionalFormatting sqref="A125">
    <cfRule type="duplicateValues" dxfId="120" priority="94"/>
  </conditionalFormatting>
  <conditionalFormatting sqref="A126">
    <cfRule type="duplicateValues" dxfId="119" priority="92"/>
  </conditionalFormatting>
  <conditionalFormatting sqref="A127">
    <cfRule type="duplicateValues" dxfId="118" priority="74"/>
  </conditionalFormatting>
  <conditionalFormatting sqref="A128">
    <cfRule type="duplicateValues" dxfId="117" priority="58"/>
  </conditionalFormatting>
  <conditionalFormatting sqref="A129">
    <cfRule type="duplicateValues" dxfId="116" priority="88"/>
  </conditionalFormatting>
  <conditionalFormatting sqref="A130">
    <cfRule type="duplicateValues" dxfId="115" priority="68"/>
  </conditionalFormatting>
  <conditionalFormatting sqref="A131">
    <cfRule type="duplicateValues" dxfId="114" priority="66"/>
  </conditionalFormatting>
  <conditionalFormatting sqref="A132">
    <cfRule type="duplicateValues" dxfId="113" priority="90"/>
  </conditionalFormatting>
  <conditionalFormatting sqref="A133">
    <cfRule type="duplicateValues" dxfId="112" priority="64"/>
  </conditionalFormatting>
  <conditionalFormatting sqref="A134">
    <cfRule type="duplicateValues" dxfId="111" priority="62"/>
  </conditionalFormatting>
  <conditionalFormatting sqref="A135">
    <cfRule type="duplicateValues" dxfId="110" priority="60"/>
  </conditionalFormatting>
  <conditionalFormatting sqref="A136">
    <cfRule type="duplicateValues" dxfId="109" priority="38"/>
  </conditionalFormatting>
  <conditionalFormatting sqref="A137">
    <cfRule type="duplicateValues" dxfId="108" priority="34"/>
  </conditionalFormatting>
  <conditionalFormatting sqref="A138">
    <cfRule type="duplicateValues" dxfId="107" priority="42"/>
  </conditionalFormatting>
  <conditionalFormatting sqref="A139">
    <cfRule type="duplicateValues" dxfId="106" priority="48"/>
  </conditionalFormatting>
  <conditionalFormatting sqref="A140">
    <cfRule type="duplicateValues" dxfId="105" priority="46"/>
  </conditionalFormatting>
  <conditionalFormatting sqref="A141">
    <cfRule type="duplicateValues" dxfId="104" priority="44"/>
  </conditionalFormatting>
  <conditionalFormatting sqref="A142">
    <cfRule type="duplicateValues" dxfId="103" priority="54"/>
  </conditionalFormatting>
  <conditionalFormatting sqref="A143">
    <cfRule type="duplicateValues" dxfId="102" priority="52"/>
  </conditionalFormatting>
  <conditionalFormatting sqref="A144">
    <cfRule type="duplicateValues" dxfId="101" priority="50"/>
  </conditionalFormatting>
  <conditionalFormatting sqref="A145">
    <cfRule type="duplicateValues" dxfId="100" priority="24"/>
  </conditionalFormatting>
  <conditionalFormatting sqref="A146">
    <cfRule type="duplicateValues" dxfId="99" priority="22"/>
  </conditionalFormatting>
  <conditionalFormatting sqref="A147">
    <cfRule type="duplicateValues" dxfId="98" priority="32"/>
  </conditionalFormatting>
  <conditionalFormatting sqref="A148">
    <cfRule type="duplicateValues" dxfId="97" priority="30"/>
  </conditionalFormatting>
  <conditionalFormatting sqref="A149">
    <cfRule type="duplicateValues" dxfId="96" priority="28"/>
  </conditionalFormatting>
  <conditionalFormatting sqref="A150">
    <cfRule type="duplicateValues" dxfId="95" priority="26"/>
  </conditionalFormatting>
  <conditionalFormatting sqref="A151">
    <cfRule type="duplicateValues" dxfId="94" priority="5"/>
  </conditionalFormatting>
  <conditionalFormatting sqref="A152">
    <cfRule type="duplicateValues" dxfId="93" priority="12"/>
  </conditionalFormatting>
  <conditionalFormatting sqref="A153">
    <cfRule type="duplicateValues" dxfId="92" priority="18"/>
  </conditionalFormatting>
  <conditionalFormatting sqref="A154">
    <cfRule type="duplicateValues" dxfId="91" priority="7"/>
  </conditionalFormatting>
  <conditionalFormatting sqref="A155">
    <cfRule type="duplicateValues" dxfId="90" priority="14"/>
  </conditionalFormatting>
  <conditionalFormatting sqref="A156">
    <cfRule type="duplicateValues" dxfId="89" priority="8"/>
  </conditionalFormatting>
  <conditionalFormatting sqref="A157">
    <cfRule type="duplicateValues" dxfId="88" priority="17"/>
  </conditionalFormatting>
  <conditionalFormatting sqref="A158">
    <cfRule type="duplicateValues" dxfId="87" priority="16"/>
  </conditionalFormatting>
  <conditionalFormatting sqref="A159">
    <cfRule type="duplicateValues" dxfId="86" priority="11"/>
  </conditionalFormatting>
  <conditionalFormatting sqref="A160">
    <cfRule type="duplicateValues" dxfId="85" priority="10"/>
  </conditionalFormatting>
  <conditionalFormatting sqref="A161">
    <cfRule type="duplicateValues" dxfId="84" priority="9"/>
  </conditionalFormatting>
  <conditionalFormatting sqref="A162">
    <cfRule type="duplicateValues" dxfId="83" priority="13"/>
  </conditionalFormatting>
  <conditionalFormatting sqref="A163">
    <cfRule type="duplicateValues" dxfId="82" priority="4"/>
  </conditionalFormatting>
  <conditionalFormatting sqref="A164">
    <cfRule type="duplicateValues" dxfId="81" priority="3"/>
  </conditionalFormatting>
  <conditionalFormatting sqref="A165">
    <cfRule type="duplicateValues" dxfId="80" priority="2"/>
  </conditionalFormatting>
  <conditionalFormatting sqref="A166">
    <cfRule type="duplicateValues" dxfId="79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7990-DFB2-4145-AD87-DC71605BC63E}">
  <dimension ref="A1:U45"/>
  <sheetViews>
    <sheetView topLeftCell="F1" workbookViewId="0">
      <pane ySplit="7" topLeftCell="A8" activePane="bottomLeft" state="frozen"/>
      <selection pane="bottomLeft" activeCell="D10" sqref="D10"/>
    </sheetView>
  </sheetViews>
  <sheetFormatPr defaultRowHeight="14.6" x14ac:dyDescent="0.4"/>
  <cols>
    <col min="1" max="1" width="17.23046875" bestFit="1" customWidth="1"/>
    <col min="2" max="2" width="77.3828125" bestFit="1" customWidth="1"/>
    <col min="3" max="3" width="19" bestFit="1" customWidth="1"/>
    <col min="4" max="4" width="10.921875" bestFit="1" customWidth="1"/>
    <col min="5" max="5" width="10.765625" bestFit="1" customWidth="1"/>
    <col min="6" max="6" width="31.3046875" bestFit="1" customWidth="1"/>
    <col min="7" max="7" width="68" bestFit="1" customWidth="1"/>
    <col min="8" max="8" width="11.23046875" customWidth="1"/>
    <col min="9" max="9" width="25.84375" bestFit="1" customWidth="1"/>
    <col min="10" max="10" width="16.4609375" bestFit="1" customWidth="1"/>
    <col min="11" max="11" width="11.15234375" bestFit="1" customWidth="1"/>
    <col min="12" max="12" width="8.3046875" bestFit="1" customWidth="1"/>
    <col min="13" max="13" width="13.69140625" bestFit="1" customWidth="1"/>
    <col min="15" max="16" width="13.23046875" bestFit="1" customWidth="1"/>
    <col min="17" max="17" width="12.3046875" bestFit="1" customWidth="1"/>
    <col min="18" max="18" width="11.07421875" bestFit="1" customWidth="1"/>
    <col min="19" max="19" width="8.69140625" bestFit="1" customWidth="1"/>
    <col min="20" max="20" width="15.84375" bestFit="1" customWidth="1"/>
  </cols>
  <sheetData>
    <row r="1" spans="1:20" x14ac:dyDescent="0.4">
      <c r="B1" s="1" t="s">
        <v>75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4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7.600000000000001" x14ac:dyDescent="0.4">
      <c r="B3" s="13" t="s">
        <v>92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x14ac:dyDescent="0.4">
      <c r="B4" s="3" t="s">
        <v>30</v>
      </c>
      <c r="C4" s="37" t="s">
        <v>3281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x14ac:dyDescent="0.4">
      <c r="B5" s="3" t="s">
        <v>171</v>
      </c>
      <c r="C5" s="37" t="s">
        <v>172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6"/>
      <c r="R5" s="6"/>
      <c r="S5" s="4"/>
      <c r="T5" s="4"/>
    </row>
    <row r="6" spans="1:20" x14ac:dyDescent="0.4">
      <c r="B6" s="15" t="s">
        <v>62</v>
      </c>
      <c r="C6" s="7"/>
      <c r="D6" s="38"/>
      <c r="E6" s="3"/>
      <c r="F6" s="8"/>
      <c r="G6" s="3"/>
      <c r="H6" s="3"/>
      <c r="I6" s="3"/>
      <c r="J6" s="3"/>
      <c r="K6" s="3"/>
      <c r="L6" s="3"/>
      <c r="M6" s="3"/>
      <c r="N6" s="3"/>
      <c r="O6" s="36"/>
      <c r="P6" s="143"/>
      <c r="Q6" s="143"/>
      <c r="R6" s="144"/>
      <c r="S6" s="3"/>
      <c r="T6" s="3"/>
    </row>
    <row r="7" spans="1:20" x14ac:dyDescent="0.4">
      <c r="A7" s="40" t="s">
        <v>95</v>
      </c>
      <c r="B7" s="40" t="s">
        <v>31</v>
      </c>
      <c r="C7" s="41" t="s">
        <v>32</v>
      </c>
      <c r="D7" s="39" t="s">
        <v>17</v>
      </c>
      <c r="E7" s="39" t="s">
        <v>22</v>
      </c>
      <c r="F7" s="40" t="s">
        <v>33</v>
      </c>
      <c r="G7" s="40" t="s">
        <v>38</v>
      </c>
      <c r="H7" s="40" t="s">
        <v>20</v>
      </c>
      <c r="I7" s="40" t="s">
        <v>28</v>
      </c>
      <c r="J7" s="40" t="s">
        <v>94</v>
      </c>
      <c r="K7" s="40" t="s">
        <v>21</v>
      </c>
      <c r="L7" s="40" t="s">
        <v>9</v>
      </c>
      <c r="M7" s="40" t="s">
        <v>34</v>
      </c>
      <c r="N7" s="40" t="s">
        <v>13</v>
      </c>
      <c r="O7" s="40" t="s">
        <v>18</v>
      </c>
      <c r="P7" s="40" t="s">
        <v>2</v>
      </c>
      <c r="Q7" s="39" t="s">
        <v>7</v>
      </c>
      <c r="R7" s="39" t="s">
        <v>93</v>
      </c>
      <c r="S7" s="39" t="s">
        <v>14</v>
      </c>
      <c r="T7" s="39" t="s">
        <v>37</v>
      </c>
    </row>
    <row r="8" spans="1:20" ht="15.45" x14ac:dyDescent="0.4">
      <c r="A8" s="19" t="s">
        <v>96</v>
      </c>
      <c r="B8" s="9">
        <v>45904</v>
      </c>
      <c r="C8" s="14" t="s">
        <v>3221</v>
      </c>
      <c r="D8" s="10" t="s">
        <v>3222</v>
      </c>
      <c r="E8" s="9">
        <v>45904</v>
      </c>
      <c r="F8" s="10" t="s">
        <v>39</v>
      </c>
      <c r="G8" s="10" t="s">
        <v>649</v>
      </c>
      <c r="H8" s="10" t="s">
        <v>24</v>
      </c>
      <c r="I8" s="10" t="s">
        <v>61</v>
      </c>
      <c r="J8" s="10"/>
      <c r="K8" s="10" t="s">
        <v>650</v>
      </c>
      <c r="L8" s="12">
        <v>5</v>
      </c>
      <c r="M8" s="12">
        <v>800000</v>
      </c>
      <c r="N8" s="12">
        <v>0</v>
      </c>
      <c r="O8" s="11">
        <v>4000000</v>
      </c>
      <c r="P8" s="11">
        <f t="shared" ref="P8:P45" si="0">O8</f>
        <v>4000000</v>
      </c>
      <c r="Q8" s="11">
        <v>0</v>
      </c>
      <c r="R8" s="11"/>
      <c r="S8" s="11">
        <v>0</v>
      </c>
      <c r="T8" s="11">
        <f t="shared" ref="T8:T25" si="1">P8+Q8-S8</f>
        <v>4000000</v>
      </c>
    </row>
    <row r="9" spans="1:20" ht="15.45" x14ac:dyDescent="0.4">
      <c r="A9" s="19" t="s">
        <v>99</v>
      </c>
      <c r="B9" s="9">
        <v>45901</v>
      </c>
      <c r="C9" s="14" t="s">
        <v>3182</v>
      </c>
      <c r="D9" s="10" t="s">
        <v>3183</v>
      </c>
      <c r="E9" s="9">
        <v>45898</v>
      </c>
      <c r="F9" s="10" t="s">
        <v>64</v>
      </c>
      <c r="G9" s="10" t="s">
        <v>43</v>
      </c>
      <c r="H9" s="10" t="s">
        <v>23</v>
      </c>
      <c r="I9" s="10" t="s">
        <v>887</v>
      </c>
      <c r="J9" s="50" t="s">
        <v>3290</v>
      </c>
      <c r="K9" s="10" t="s">
        <v>1</v>
      </c>
      <c r="L9" s="12">
        <v>1</v>
      </c>
      <c r="M9" s="12">
        <v>1550000</v>
      </c>
      <c r="N9" s="12">
        <v>0</v>
      </c>
      <c r="O9" s="11">
        <v>1550000</v>
      </c>
      <c r="P9" s="11">
        <f t="shared" si="0"/>
        <v>1550000</v>
      </c>
      <c r="Q9" s="11">
        <v>170500</v>
      </c>
      <c r="R9" s="11"/>
      <c r="S9" s="11">
        <v>0</v>
      </c>
      <c r="T9" s="11">
        <f t="shared" si="1"/>
        <v>1720500</v>
      </c>
    </row>
    <row r="10" spans="1:20" ht="15.45" x14ac:dyDescent="0.4">
      <c r="A10" s="19" t="s">
        <v>132</v>
      </c>
      <c r="B10" s="9">
        <v>45901</v>
      </c>
      <c r="C10" s="14" t="s">
        <v>3194</v>
      </c>
      <c r="D10" s="10" t="s">
        <v>3195</v>
      </c>
      <c r="E10" s="9">
        <v>45901</v>
      </c>
      <c r="F10" s="10" t="s">
        <v>129</v>
      </c>
      <c r="G10" s="10" t="s">
        <v>1401</v>
      </c>
      <c r="H10" s="10" t="s">
        <v>24</v>
      </c>
      <c r="I10" s="10" t="s">
        <v>61</v>
      </c>
      <c r="J10" s="10"/>
      <c r="K10" s="10" t="s">
        <v>10</v>
      </c>
      <c r="L10" s="12">
        <v>3</v>
      </c>
      <c r="M10" s="12">
        <v>12500</v>
      </c>
      <c r="N10" s="12">
        <v>0</v>
      </c>
      <c r="O10" s="11">
        <v>37500</v>
      </c>
      <c r="P10" s="11">
        <f t="shared" si="0"/>
        <v>37500</v>
      </c>
      <c r="Q10" s="11">
        <v>0</v>
      </c>
      <c r="R10" s="11"/>
      <c r="S10" s="11">
        <v>0</v>
      </c>
      <c r="T10" s="11">
        <f t="shared" si="1"/>
        <v>37500</v>
      </c>
    </row>
    <row r="11" spans="1:20" ht="15.45" x14ac:dyDescent="0.4">
      <c r="A11" s="19" t="s">
        <v>132</v>
      </c>
      <c r="B11" s="9">
        <v>45901</v>
      </c>
      <c r="C11" s="14" t="s">
        <v>3194</v>
      </c>
      <c r="D11" s="10" t="s">
        <v>3195</v>
      </c>
      <c r="E11" s="9">
        <v>45901</v>
      </c>
      <c r="F11" s="10" t="s">
        <v>129</v>
      </c>
      <c r="G11" s="10" t="s">
        <v>3196</v>
      </c>
      <c r="H11" s="10" t="s">
        <v>24</v>
      </c>
      <c r="I11" s="10" t="s">
        <v>61</v>
      </c>
      <c r="J11" s="10"/>
      <c r="K11" s="10" t="s">
        <v>6</v>
      </c>
      <c r="L11" s="12">
        <v>2</v>
      </c>
      <c r="M11" s="12">
        <v>11000</v>
      </c>
      <c r="N11" s="12">
        <v>0</v>
      </c>
      <c r="O11" s="11">
        <v>22000</v>
      </c>
      <c r="P11" s="11">
        <f t="shared" si="0"/>
        <v>22000</v>
      </c>
      <c r="Q11" s="11">
        <v>0</v>
      </c>
      <c r="R11" s="11"/>
      <c r="S11" s="11">
        <v>0</v>
      </c>
      <c r="T11" s="11">
        <f t="shared" si="1"/>
        <v>22000</v>
      </c>
    </row>
    <row r="12" spans="1:20" ht="15.45" x14ac:dyDescent="0.4">
      <c r="A12" s="20" t="s">
        <v>132</v>
      </c>
      <c r="B12" s="9">
        <v>45901</v>
      </c>
      <c r="C12" s="14" t="s">
        <v>3194</v>
      </c>
      <c r="D12" s="10" t="s">
        <v>3195</v>
      </c>
      <c r="E12" s="9">
        <v>45901</v>
      </c>
      <c r="F12" s="10" t="s">
        <v>129</v>
      </c>
      <c r="G12" s="10" t="s">
        <v>735</v>
      </c>
      <c r="H12" s="10" t="s">
        <v>24</v>
      </c>
      <c r="I12" s="10" t="s">
        <v>61</v>
      </c>
      <c r="J12" s="10"/>
      <c r="K12" s="10" t="s">
        <v>10</v>
      </c>
      <c r="L12" s="12">
        <v>20</v>
      </c>
      <c r="M12" s="12">
        <v>5500</v>
      </c>
      <c r="N12" s="12">
        <v>0</v>
      </c>
      <c r="O12" s="11">
        <v>110000</v>
      </c>
      <c r="P12" s="11">
        <f t="shared" si="0"/>
        <v>110000</v>
      </c>
      <c r="Q12" s="11">
        <v>0</v>
      </c>
      <c r="R12" s="11"/>
      <c r="S12" s="11">
        <v>0</v>
      </c>
      <c r="T12" s="11">
        <f t="shared" si="1"/>
        <v>110000</v>
      </c>
    </row>
    <row r="13" spans="1:20" ht="15.45" x14ac:dyDescent="0.4">
      <c r="A13" s="19" t="s">
        <v>132</v>
      </c>
      <c r="B13" s="9">
        <v>45901</v>
      </c>
      <c r="C13" s="14" t="s">
        <v>3194</v>
      </c>
      <c r="D13" s="10" t="s">
        <v>3195</v>
      </c>
      <c r="E13" s="9">
        <v>45901</v>
      </c>
      <c r="F13" s="10" t="s">
        <v>129</v>
      </c>
      <c r="G13" s="10" t="s">
        <v>3197</v>
      </c>
      <c r="H13" s="10" t="s">
        <v>24</v>
      </c>
      <c r="I13" s="10" t="s">
        <v>61</v>
      </c>
      <c r="J13" s="10"/>
      <c r="K13" s="10" t="s">
        <v>6</v>
      </c>
      <c r="L13" s="12">
        <v>75</v>
      </c>
      <c r="M13" s="12">
        <v>1500</v>
      </c>
      <c r="N13" s="12">
        <v>0</v>
      </c>
      <c r="O13" s="11">
        <v>112500</v>
      </c>
      <c r="P13" s="11">
        <f t="shared" si="0"/>
        <v>112500</v>
      </c>
      <c r="Q13" s="11">
        <v>0</v>
      </c>
      <c r="R13" s="11"/>
      <c r="S13" s="11">
        <v>0</v>
      </c>
      <c r="T13" s="11">
        <f t="shared" si="1"/>
        <v>112500</v>
      </c>
    </row>
    <row r="14" spans="1:20" ht="15.45" x14ac:dyDescent="0.4">
      <c r="A14" s="19" t="s">
        <v>132</v>
      </c>
      <c r="B14" s="9">
        <v>45904</v>
      </c>
      <c r="C14" s="14" t="s">
        <v>3234</v>
      </c>
      <c r="D14" s="10" t="s">
        <v>3235</v>
      </c>
      <c r="E14" s="9">
        <v>45904</v>
      </c>
      <c r="F14" s="10" t="s">
        <v>129</v>
      </c>
      <c r="G14" s="10" t="s">
        <v>202</v>
      </c>
      <c r="H14" s="10" t="s">
        <v>24</v>
      </c>
      <c r="I14" s="10" t="s">
        <v>61</v>
      </c>
      <c r="J14" s="10"/>
      <c r="K14" s="10" t="s">
        <v>145</v>
      </c>
      <c r="L14" s="12">
        <v>20</v>
      </c>
      <c r="M14" s="12">
        <v>4500</v>
      </c>
      <c r="N14" s="12">
        <v>0</v>
      </c>
      <c r="O14" s="11">
        <v>90000</v>
      </c>
      <c r="P14" s="11">
        <f t="shared" si="0"/>
        <v>90000</v>
      </c>
      <c r="Q14" s="11">
        <v>0</v>
      </c>
      <c r="R14" s="11"/>
      <c r="S14" s="11">
        <v>0</v>
      </c>
      <c r="T14" s="11">
        <f t="shared" si="1"/>
        <v>90000</v>
      </c>
    </row>
    <row r="15" spans="1:20" ht="15.45" x14ac:dyDescent="0.4">
      <c r="A15" s="19" t="s">
        <v>132</v>
      </c>
      <c r="B15" s="9">
        <v>45904</v>
      </c>
      <c r="C15" s="14" t="s">
        <v>3234</v>
      </c>
      <c r="D15" s="10" t="s">
        <v>3235</v>
      </c>
      <c r="E15" s="9">
        <v>45904</v>
      </c>
      <c r="F15" s="10" t="s">
        <v>129</v>
      </c>
      <c r="G15" s="10" t="s">
        <v>90</v>
      </c>
      <c r="H15" s="10" t="s">
        <v>24</v>
      </c>
      <c r="I15" s="10" t="s">
        <v>61</v>
      </c>
      <c r="J15" s="10"/>
      <c r="K15" s="10" t="s">
        <v>6</v>
      </c>
      <c r="L15" s="12">
        <v>40</v>
      </c>
      <c r="M15" s="12">
        <v>3250</v>
      </c>
      <c r="N15" s="12">
        <v>0</v>
      </c>
      <c r="O15" s="11">
        <v>130000</v>
      </c>
      <c r="P15" s="11">
        <f t="shared" si="0"/>
        <v>130000</v>
      </c>
      <c r="Q15" s="11">
        <v>0</v>
      </c>
      <c r="R15" s="11"/>
      <c r="S15" s="11">
        <v>0</v>
      </c>
      <c r="T15" s="11">
        <f t="shared" si="1"/>
        <v>130000</v>
      </c>
    </row>
    <row r="16" spans="1:20" ht="15.45" x14ac:dyDescent="0.4">
      <c r="A16" s="19" t="s">
        <v>132</v>
      </c>
      <c r="B16" s="9">
        <v>45904</v>
      </c>
      <c r="C16" s="14" t="s">
        <v>3234</v>
      </c>
      <c r="D16" s="10" t="s">
        <v>3235</v>
      </c>
      <c r="E16" s="9">
        <v>45904</v>
      </c>
      <c r="F16" s="10" t="s">
        <v>129</v>
      </c>
      <c r="G16" s="10" t="s">
        <v>549</v>
      </c>
      <c r="H16" s="10" t="s">
        <v>24</v>
      </c>
      <c r="I16" s="10" t="s">
        <v>61</v>
      </c>
      <c r="J16" s="10"/>
      <c r="K16" s="10" t="s">
        <v>6</v>
      </c>
      <c r="L16" s="12">
        <v>5</v>
      </c>
      <c r="M16" s="12">
        <v>5000</v>
      </c>
      <c r="N16" s="12">
        <v>0</v>
      </c>
      <c r="O16" s="11">
        <v>25000</v>
      </c>
      <c r="P16" s="11">
        <f t="shared" si="0"/>
        <v>25000</v>
      </c>
      <c r="Q16" s="11">
        <v>0</v>
      </c>
      <c r="R16" s="11"/>
      <c r="S16" s="11">
        <v>0</v>
      </c>
      <c r="T16" s="11">
        <f t="shared" si="1"/>
        <v>25000</v>
      </c>
    </row>
    <row r="17" spans="1:20" ht="15.45" x14ac:dyDescent="0.4">
      <c r="A17" s="19" t="s">
        <v>102</v>
      </c>
      <c r="B17" s="9">
        <v>45904</v>
      </c>
      <c r="C17" s="14" t="s">
        <v>3223</v>
      </c>
      <c r="D17" s="10" t="s">
        <v>3119</v>
      </c>
      <c r="E17" s="9">
        <v>45895</v>
      </c>
      <c r="F17" s="10" t="s">
        <v>65</v>
      </c>
      <c r="G17" s="10" t="s">
        <v>48</v>
      </c>
      <c r="H17" s="10" t="s">
        <v>24</v>
      </c>
      <c r="I17" s="10" t="s">
        <v>61</v>
      </c>
      <c r="J17" s="10"/>
      <c r="K17" s="10" t="s">
        <v>15</v>
      </c>
      <c r="L17" s="12">
        <v>288</v>
      </c>
      <c r="M17" s="12">
        <v>8200</v>
      </c>
      <c r="N17" s="12">
        <v>0</v>
      </c>
      <c r="O17" s="11">
        <v>2361600</v>
      </c>
      <c r="P17" s="11">
        <f t="shared" si="0"/>
        <v>2361600</v>
      </c>
      <c r="Q17" s="11">
        <v>259776</v>
      </c>
      <c r="R17" s="11"/>
      <c r="S17" s="11">
        <v>0</v>
      </c>
      <c r="T17" s="11">
        <f t="shared" si="1"/>
        <v>2621376</v>
      </c>
    </row>
    <row r="18" spans="1:20" ht="15.45" x14ac:dyDescent="0.4">
      <c r="A18" s="19" t="s">
        <v>134</v>
      </c>
      <c r="B18" s="9">
        <v>45903</v>
      </c>
      <c r="C18" s="14" t="s">
        <v>3203</v>
      </c>
      <c r="D18" s="10" t="s">
        <v>3204</v>
      </c>
      <c r="E18" s="9">
        <v>45902</v>
      </c>
      <c r="F18" s="10" t="s">
        <v>127</v>
      </c>
      <c r="G18" s="10" t="s">
        <v>128</v>
      </c>
      <c r="H18" s="10" t="s">
        <v>23</v>
      </c>
      <c r="I18" s="10" t="s">
        <v>891</v>
      </c>
      <c r="J18" s="10"/>
      <c r="K18" s="10" t="s">
        <v>1</v>
      </c>
      <c r="L18" s="12">
        <v>120</v>
      </c>
      <c r="M18" s="12">
        <v>12320</v>
      </c>
      <c r="N18" s="12">
        <v>16427</v>
      </c>
      <c r="O18" s="11">
        <v>1478400</v>
      </c>
      <c r="P18" s="11">
        <f t="shared" si="0"/>
        <v>1478400</v>
      </c>
      <c r="Q18" s="11">
        <v>162624</v>
      </c>
      <c r="R18" s="11"/>
      <c r="S18" s="11">
        <v>0</v>
      </c>
      <c r="T18" s="11">
        <f t="shared" si="1"/>
        <v>1641024</v>
      </c>
    </row>
    <row r="19" spans="1:20" ht="15.45" x14ac:dyDescent="0.4">
      <c r="A19" s="19" t="s">
        <v>106</v>
      </c>
      <c r="B19" s="9">
        <v>45902</v>
      </c>
      <c r="C19" s="14" t="s">
        <v>3198</v>
      </c>
      <c r="D19" s="10" t="s">
        <v>3033</v>
      </c>
      <c r="E19" s="9">
        <v>45883</v>
      </c>
      <c r="F19" s="10" t="s">
        <v>66</v>
      </c>
      <c r="G19" s="10" t="s">
        <v>53</v>
      </c>
      <c r="H19" s="10" t="s">
        <v>23</v>
      </c>
      <c r="I19" s="10" t="s">
        <v>978</v>
      </c>
      <c r="J19" s="10"/>
      <c r="K19" s="10" t="s">
        <v>1</v>
      </c>
      <c r="L19" s="12">
        <v>1000</v>
      </c>
      <c r="M19" s="12">
        <v>11050</v>
      </c>
      <c r="N19" s="12">
        <v>0</v>
      </c>
      <c r="O19" s="11">
        <v>11050000</v>
      </c>
      <c r="P19" s="11">
        <f t="shared" si="0"/>
        <v>11050000</v>
      </c>
      <c r="Q19" s="11">
        <v>1215500</v>
      </c>
      <c r="R19" s="11"/>
      <c r="S19" s="11">
        <v>0</v>
      </c>
      <c r="T19" s="11">
        <f t="shared" si="1"/>
        <v>12265500</v>
      </c>
    </row>
    <row r="20" spans="1:20" ht="15.45" x14ac:dyDescent="0.4">
      <c r="A20" s="19" t="s">
        <v>109</v>
      </c>
      <c r="B20" s="9">
        <v>45904</v>
      </c>
      <c r="C20" s="14" t="s">
        <v>3224</v>
      </c>
      <c r="D20" s="10" t="s">
        <v>3225</v>
      </c>
      <c r="E20" s="9">
        <v>45904</v>
      </c>
      <c r="F20" s="10" t="s">
        <v>54</v>
      </c>
      <c r="G20" s="10" t="s">
        <v>49</v>
      </c>
      <c r="H20" s="10" t="s">
        <v>24</v>
      </c>
      <c r="I20" s="10" t="s">
        <v>61</v>
      </c>
      <c r="J20" s="10"/>
      <c r="K20" s="10" t="s">
        <v>15</v>
      </c>
      <c r="L20" s="12">
        <v>144</v>
      </c>
      <c r="M20" s="12">
        <v>6454</v>
      </c>
      <c r="N20" s="12">
        <v>0</v>
      </c>
      <c r="O20" s="11">
        <v>929376</v>
      </c>
      <c r="P20" s="11">
        <f t="shared" si="0"/>
        <v>929376</v>
      </c>
      <c r="Q20" s="11">
        <v>102231.36</v>
      </c>
      <c r="R20" s="11"/>
      <c r="S20" s="11">
        <v>0</v>
      </c>
      <c r="T20" s="11">
        <f t="shared" si="1"/>
        <v>1031607.36</v>
      </c>
    </row>
    <row r="21" spans="1:20" ht="15.45" x14ac:dyDescent="0.4">
      <c r="A21" s="19" t="s">
        <v>159</v>
      </c>
      <c r="B21" s="9">
        <v>45903</v>
      </c>
      <c r="C21" s="14" t="s">
        <v>3207</v>
      </c>
      <c r="D21" s="10" t="s">
        <v>3208</v>
      </c>
      <c r="E21" s="9">
        <v>45902</v>
      </c>
      <c r="F21" s="10" t="s">
        <v>157</v>
      </c>
      <c r="G21" s="10" t="s">
        <v>158</v>
      </c>
      <c r="H21" s="10" t="s">
        <v>23</v>
      </c>
      <c r="I21" s="10" t="s">
        <v>888</v>
      </c>
      <c r="J21" s="10"/>
      <c r="K21" s="10" t="s">
        <v>1</v>
      </c>
      <c r="L21" s="12">
        <v>50</v>
      </c>
      <c r="M21" s="12">
        <v>75000</v>
      </c>
      <c r="N21" s="12">
        <v>0</v>
      </c>
      <c r="O21" s="11">
        <v>3750000</v>
      </c>
      <c r="P21" s="11">
        <f t="shared" si="0"/>
        <v>3750000</v>
      </c>
      <c r="Q21" s="11">
        <v>412500</v>
      </c>
      <c r="R21" s="11"/>
      <c r="S21" s="11">
        <v>0</v>
      </c>
      <c r="T21" s="11">
        <f t="shared" si="1"/>
        <v>4162500</v>
      </c>
    </row>
    <row r="22" spans="1:20" ht="15.45" x14ac:dyDescent="0.4">
      <c r="A22" s="19" t="s">
        <v>159</v>
      </c>
      <c r="B22" s="9">
        <v>45903</v>
      </c>
      <c r="C22" s="14" t="s">
        <v>3207</v>
      </c>
      <c r="D22" s="10" t="s">
        <v>3208</v>
      </c>
      <c r="E22" s="9">
        <v>45902</v>
      </c>
      <c r="F22" s="10" t="s">
        <v>157</v>
      </c>
      <c r="G22" s="10" t="s">
        <v>3209</v>
      </c>
      <c r="H22" s="10" t="s">
        <v>23</v>
      </c>
      <c r="I22" s="10" t="s">
        <v>888</v>
      </c>
      <c r="J22" s="10"/>
      <c r="K22" s="10" t="s">
        <v>1</v>
      </c>
      <c r="L22" s="12">
        <v>35</v>
      </c>
      <c r="M22" s="12">
        <v>39000</v>
      </c>
      <c r="N22" s="12">
        <v>0</v>
      </c>
      <c r="O22" s="11">
        <v>1365000</v>
      </c>
      <c r="P22" s="11">
        <f t="shared" si="0"/>
        <v>1365000</v>
      </c>
      <c r="Q22" s="11">
        <v>150150</v>
      </c>
      <c r="R22" s="11"/>
      <c r="S22" s="11">
        <v>0</v>
      </c>
      <c r="T22" s="11">
        <f t="shared" si="1"/>
        <v>1515150</v>
      </c>
    </row>
    <row r="23" spans="1:20" ht="15.45" x14ac:dyDescent="0.4">
      <c r="A23" s="19" t="s">
        <v>111</v>
      </c>
      <c r="B23" s="9">
        <v>45904</v>
      </c>
      <c r="C23" s="14" t="s">
        <v>3236</v>
      </c>
      <c r="D23" s="10" t="s">
        <v>3237</v>
      </c>
      <c r="E23" s="9">
        <v>45908</v>
      </c>
      <c r="F23" s="10" t="s">
        <v>55</v>
      </c>
      <c r="G23" s="10" t="s">
        <v>3238</v>
      </c>
      <c r="H23" s="10" t="s">
        <v>24</v>
      </c>
      <c r="I23" s="10" t="s">
        <v>61</v>
      </c>
      <c r="J23" s="10"/>
      <c r="K23" s="10" t="s">
        <v>6</v>
      </c>
      <c r="L23" s="12">
        <v>5</v>
      </c>
      <c r="M23" s="12">
        <v>100000</v>
      </c>
      <c r="N23" s="12">
        <v>0</v>
      </c>
      <c r="O23" s="11">
        <v>500000</v>
      </c>
      <c r="P23" s="11">
        <f t="shared" si="0"/>
        <v>500000</v>
      </c>
      <c r="Q23" s="11">
        <v>0</v>
      </c>
      <c r="R23" s="11"/>
      <c r="S23" s="11">
        <v>0</v>
      </c>
      <c r="T23" s="11">
        <f t="shared" si="1"/>
        <v>500000</v>
      </c>
    </row>
    <row r="24" spans="1:20" ht="15.45" x14ac:dyDescent="0.4">
      <c r="A24" s="19" t="s">
        <v>113</v>
      </c>
      <c r="B24" s="9">
        <v>45904</v>
      </c>
      <c r="C24" s="14" t="s">
        <v>3230</v>
      </c>
      <c r="D24" s="10" t="s">
        <v>3231</v>
      </c>
      <c r="E24" s="9">
        <v>45904</v>
      </c>
      <c r="F24" s="10" t="s">
        <v>42</v>
      </c>
      <c r="G24" s="10" t="s">
        <v>3232</v>
      </c>
      <c r="H24" s="10" t="s">
        <v>24</v>
      </c>
      <c r="I24" s="10" t="s">
        <v>61</v>
      </c>
      <c r="J24" s="10"/>
      <c r="K24" s="10" t="s">
        <v>6</v>
      </c>
      <c r="L24" s="12">
        <v>10</v>
      </c>
      <c r="M24" s="12">
        <v>15000</v>
      </c>
      <c r="N24" s="12">
        <v>0</v>
      </c>
      <c r="O24" s="11">
        <v>150000</v>
      </c>
      <c r="P24" s="11">
        <f t="shared" si="0"/>
        <v>150000</v>
      </c>
      <c r="Q24" s="11">
        <v>0</v>
      </c>
      <c r="R24" s="11"/>
      <c r="S24" s="11">
        <v>0</v>
      </c>
      <c r="T24" s="11">
        <f t="shared" si="1"/>
        <v>150000</v>
      </c>
    </row>
    <row r="25" spans="1:20" ht="15.45" x14ac:dyDescent="0.4">
      <c r="A25" s="19" t="s">
        <v>113</v>
      </c>
      <c r="B25" s="9">
        <v>45904</v>
      </c>
      <c r="C25" s="14" t="s">
        <v>3230</v>
      </c>
      <c r="D25" s="10" t="s">
        <v>3231</v>
      </c>
      <c r="E25" s="9">
        <v>45904</v>
      </c>
      <c r="F25" s="10" t="s">
        <v>42</v>
      </c>
      <c r="G25" s="10" t="s">
        <v>3233</v>
      </c>
      <c r="H25" s="10" t="s">
        <v>24</v>
      </c>
      <c r="I25" s="10" t="s">
        <v>61</v>
      </c>
      <c r="J25" s="10"/>
      <c r="K25" s="10" t="s">
        <v>6</v>
      </c>
      <c r="L25" s="12">
        <v>15</v>
      </c>
      <c r="M25" s="12">
        <v>12500</v>
      </c>
      <c r="N25" s="12">
        <v>0</v>
      </c>
      <c r="O25" s="11">
        <v>187500</v>
      </c>
      <c r="P25" s="11">
        <f t="shared" si="0"/>
        <v>187500</v>
      </c>
      <c r="Q25" s="11">
        <v>0</v>
      </c>
      <c r="R25" s="11"/>
      <c r="S25" s="11">
        <v>0</v>
      </c>
      <c r="T25" s="11">
        <f t="shared" si="1"/>
        <v>187500</v>
      </c>
    </row>
    <row r="26" spans="1:20" ht="15.45" x14ac:dyDescent="0.4">
      <c r="A26" s="19" t="s">
        <v>115</v>
      </c>
      <c r="B26" s="9">
        <v>45903</v>
      </c>
      <c r="C26" s="14" t="s">
        <v>3213</v>
      </c>
      <c r="D26" s="10" t="s">
        <v>3214</v>
      </c>
      <c r="E26" s="9">
        <v>45899</v>
      </c>
      <c r="F26" s="10" t="s">
        <v>81</v>
      </c>
      <c r="G26" s="10" t="s">
        <v>175</v>
      </c>
      <c r="H26" s="10" t="s">
        <v>25</v>
      </c>
      <c r="I26" s="10" t="s">
        <v>79</v>
      </c>
      <c r="J26" s="10"/>
      <c r="K26" s="10" t="s">
        <v>1</v>
      </c>
      <c r="L26" s="12">
        <v>29190</v>
      </c>
      <c r="M26" s="12">
        <v>1150</v>
      </c>
      <c r="N26" s="12">
        <v>0</v>
      </c>
      <c r="O26" s="11">
        <v>33568500</v>
      </c>
      <c r="P26" s="11">
        <f t="shared" si="0"/>
        <v>33568500</v>
      </c>
      <c r="Q26" s="11">
        <v>3692535</v>
      </c>
      <c r="R26" s="11">
        <f>P26*1.5%</f>
        <v>503527.5</v>
      </c>
      <c r="S26" s="11">
        <v>0</v>
      </c>
      <c r="T26" s="11">
        <f>P26+Q26-S26-R26</f>
        <v>36757507.5</v>
      </c>
    </row>
    <row r="27" spans="1:20" ht="15.45" x14ac:dyDescent="0.4">
      <c r="A27" s="19" t="s">
        <v>116</v>
      </c>
      <c r="B27" s="9">
        <v>45904</v>
      </c>
      <c r="C27" s="14" t="s">
        <v>3239</v>
      </c>
      <c r="D27" s="10" t="s">
        <v>3240</v>
      </c>
      <c r="E27" s="9">
        <v>45904</v>
      </c>
      <c r="F27" s="10" t="s">
        <v>40</v>
      </c>
      <c r="G27" s="10" t="s">
        <v>847</v>
      </c>
      <c r="H27" s="10" t="s">
        <v>24</v>
      </c>
      <c r="I27" s="10" t="s">
        <v>61</v>
      </c>
      <c r="J27" s="10"/>
      <c r="K27" s="10" t="s">
        <v>6</v>
      </c>
      <c r="L27" s="12">
        <v>2</v>
      </c>
      <c r="M27" s="12">
        <v>475000</v>
      </c>
      <c r="N27" s="12">
        <v>0</v>
      </c>
      <c r="O27" s="11">
        <v>950000</v>
      </c>
      <c r="P27" s="11">
        <f t="shared" si="0"/>
        <v>950000</v>
      </c>
      <c r="Q27" s="11">
        <v>0</v>
      </c>
      <c r="R27" s="11"/>
      <c r="S27" s="11">
        <v>0</v>
      </c>
      <c r="T27" s="11">
        <f>P27+Q27-S27</f>
        <v>950000</v>
      </c>
    </row>
    <row r="28" spans="1:20" ht="15.45" x14ac:dyDescent="0.4">
      <c r="A28" s="19" t="s">
        <v>1113</v>
      </c>
      <c r="B28" s="9">
        <v>45904</v>
      </c>
      <c r="C28" s="14" t="s">
        <v>3228</v>
      </c>
      <c r="D28" s="10" t="s">
        <v>3229</v>
      </c>
      <c r="E28" s="9">
        <v>45902</v>
      </c>
      <c r="F28" s="10" t="s">
        <v>1059</v>
      </c>
      <c r="G28" s="10" t="s">
        <v>2526</v>
      </c>
      <c r="H28" s="10" t="s">
        <v>24</v>
      </c>
      <c r="I28" s="10" t="s">
        <v>61</v>
      </c>
      <c r="J28" s="10"/>
      <c r="K28" s="10" t="s">
        <v>6</v>
      </c>
      <c r="L28" s="12">
        <v>2</v>
      </c>
      <c r="M28" s="12">
        <v>1400000</v>
      </c>
      <c r="N28" s="12">
        <v>0</v>
      </c>
      <c r="O28" s="11">
        <v>2800000</v>
      </c>
      <c r="P28" s="11">
        <f t="shared" si="0"/>
        <v>2800000</v>
      </c>
      <c r="Q28" s="11">
        <v>308000</v>
      </c>
      <c r="R28" s="11"/>
      <c r="S28" s="11">
        <v>0</v>
      </c>
      <c r="T28" s="11">
        <f>P28+Q28-S28</f>
        <v>3108000</v>
      </c>
    </row>
    <row r="29" spans="1:20" ht="15.45" x14ac:dyDescent="0.4">
      <c r="A29" s="19" t="s">
        <v>149</v>
      </c>
      <c r="B29" s="9">
        <v>45903</v>
      </c>
      <c r="C29" s="14" t="s">
        <v>3210</v>
      </c>
      <c r="D29" s="10" t="s">
        <v>3211</v>
      </c>
      <c r="E29" s="9">
        <v>45902</v>
      </c>
      <c r="F29" s="10" t="s">
        <v>143</v>
      </c>
      <c r="G29" s="10" t="s">
        <v>1450</v>
      </c>
      <c r="H29" s="10" t="s">
        <v>24</v>
      </c>
      <c r="I29" s="10" t="s">
        <v>61</v>
      </c>
      <c r="J29" s="10"/>
      <c r="K29" s="10" t="s">
        <v>6</v>
      </c>
      <c r="L29" s="12">
        <v>3</v>
      </c>
      <c r="M29" s="12">
        <v>204000</v>
      </c>
      <c r="N29" s="12">
        <v>0</v>
      </c>
      <c r="O29" s="11">
        <v>612000</v>
      </c>
      <c r="P29" s="11">
        <f t="shared" si="0"/>
        <v>612000</v>
      </c>
      <c r="Q29" s="11">
        <v>67320</v>
      </c>
      <c r="R29" s="11"/>
      <c r="S29" s="11">
        <v>0</v>
      </c>
      <c r="T29" s="11">
        <f>P29+Q29-S29</f>
        <v>679320</v>
      </c>
    </row>
    <row r="30" spans="1:20" ht="15.45" x14ac:dyDescent="0.4">
      <c r="A30" s="19" t="s">
        <v>98</v>
      </c>
      <c r="B30" s="9">
        <v>45901</v>
      </c>
      <c r="C30" s="14" t="s">
        <v>3187</v>
      </c>
      <c r="D30" s="10" t="s">
        <v>3188</v>
      </c>
      <c r="E30" s="9">
        <v>45899</v>
      </c>
      <c r="F30" s="10" t="s">
        <v>84</v>
      </c>
      <c r="G30" s="10" t="s">
        <v>89</v>
      </c>
      <c r="H30" s="10" t="s">
        <v>25</v>
      </c>
      <c r="I30" s="10" t="s">
        <v>79</v>
      </c>
      <c r="J30" s="10"/>
      <c r="K30" s="10" t="s">
        <v>1</v>
      </c>
      <c r="L30" s="12">
        <v>35700</v>
      </c>
      <c r="M30" s="12">
        <v>1475</v>
      </c>
      <c r="N30" s="12">
        <v>0</v>
      </c>
      <c r="O30" s="11">
        <v>52657500</v>
      </c>
      <c r="P30" s="11">
        <f t="shared" si="0"/>
        <v>52657500</v>
      </c>
      <c r="Q30" s="11">
        <v>5792325</v>
      </c>
      <c r="R30" s="11">
        <f>P30*1.5%</f>
        <v>789862.5</v>
      </c>
      <c r="S30" s="11">
        <v>0</v>
      </c>
      <c r="T30" s="11">
        <f>P30+Q30-S30-R30</f>
        <v>57659962.5</v>
      </c>
    </row>
    <row r="31" spans="1:20" ht="15.45" x14ac:dyDescent="0.4">
      <c r="A31" s="19" t="s">
        <v>98</v>
      </c>
      <c r="B31" s="9">
        <v>45903</v>
      </c>
      <c r="C31" s="14" t="s">
        <v>3212</v>
      </c>
      <c r="D31" s="10" t="s">
        <v>3188</v>
      </c>
      <c r="E31" s="9">
        <v>45899</v>
      </c>
      <c r="F31" s="10" t="s">
        <v>84</v>
      </c>
      <c r="G31" s="10" t="s">
        <v>89</v>
      </c>
      <c r="H31" s="10" t="s">
        <v>25</v>
      </c>
      <c r="I31" s="10" t="s">
        <v>79</v>
      </c>
      <c r="J31" s="10"/>
      <c r="K31" s="10" t="s">
        <v>1</v>
      </c>
      <c r="L31" s="12">
        <v>34860</v>
      </c>
      <c r="M31" s="12">
        <v>1475</v>
      </c>
      <c r="N31" s="12">
        <v>0</v>
      </c>
      <c r="O31" s="11">
        <v>51418500</v>
      </c>
      <c r="P31" s="11">
        <f t="shared" si="0"/>
        <v>51418500</v>
      </c>
      <c r="Q31" s="11">
        <v>5656035</v>
      </c>
      <c r="R31" s="11">
        <f>P31*1.5%</f>
        <v>771277.5</v>
      </c>
      <c r="S31" s="11">
        <v>0</v>
      </c>
      <c r="T31" s="11">
        <f>P31+Q31-S31-R31</f>
        <v>56303257.5</v>
      </c>
    </row>
    <row r="32" spans="1:20" ht="15.45" x14ac:dyDescent="0.4">
      <c r="A32" s="19" t="s">
        <v>200</v>
      </c>
      <c r="B32" s="9">
        <v>45904</v>
      </c>
      <c r="C32" s="14" t="s">
        <v>3215</v>
      </c>
      <c r="D32" s="10" t="s">
        <v>3216</v>
      </c>
      <c r="E32" s="9">
        <v>45902</v>
      </c>
      <c r="F32" s="10" t="s">
        <v>194</v>
      </c>
      <c r="G32" s="10" t="s">
        <v>195</v>
      </c>
      <c r="H32" s="10" t="s">
        <v>23</v>
      </c>
      <c r="I32" s="10" t="s">
        <v>888</v>
      </c>
      <c r="J32" s="10"/>
      <c r="K32" s="10" t="s">
        <v>1</v>
      </c>
      <c r="L32" s="12">
        <v>600</v>
      </c>
      <c r="M32" s="12">
        <v>17000</v>
      </c>
      <c r="N32" s="12">
        <v>0</v>
      </c>
      <c r="O32" s="11">
        <v>10200000</v>
      </c>
      <c r="P32" s="11">
        <f t="shared" si="0"/>
        <v>10200000</v>
      </c>
      <c r="Q32" s="11">
        <v>1122000</v>
      </c>
      <c r="R32" s="11"/>
      <c r="S32" s="11">
        <v>0</v>
      </c>
      <c r="T32" s="11">
        <f>P32+Q32-S32</f>
        <v>11322000</v>
      </c>
    </row>
    <row r="33" spans="1:21" ht="15.45" x14ac:dyDescent="0.4">
      <c r="A33" s="19" t="s">
        <v>3280</v>
      </c>
      <c r="B33" s="9">
        <v>45901</v>
      </c>
      <c r="C33" s="14" t="s">
        <v>3190</v>
      </c>
      <c r="D33" s="10" t="s">
        <v>3191</v>
      </c>
      <c r="E33" s="9">
        <v>45901</v>
      </c>
      <c r="F33" s="10" t="s">
        <v>3192</v>
      </c>
      <c r="G33" s="10" t="s">
        <v>3193</v>
      </c>
      <c r="H33" s="10" t="s">
        <v>190</v>
      </c>
      <c r="I33" s="10" t="s">
        <v>191</v>
      </c>
      <c r="J33" s="10"/>
      <c r="K33" s="10" t="s">
        <v>16</v>
      </c>
      <c r="L33" s="12">
        <v>1</v>
      </c>
      <c r="M33" s="12">
        <v>6500000</v>
      </c>
      <c r="N33" s="12">
        <v>0</v>
      </c>
      <c r="O33" s="11">
        <v>6500000</v>
      </c>
      <c r="P33" s="11">
        <f t="shared" si="0"/>
        <v>6500000</v>
      </c>
      <c r="Q33" s="11">
        <v>0</v>
      </c>
      <c r="R33" s="11"/>
      <c r="S33" s="11">
        <v>0</v>
      </c>
      <c r="T33" s="11">
        <f>P33+Q33-S33</f>
        <v>6500000</v>
      </c>
    </row>
    <row r="34" spans="1:21" ht="15.45" x14ac:dyDescent="0.4">
      <c r="A34" s="19" t="s">
        <v>101</v>
      </c>
      <c r="B34" s="9">
        <v>45903</v>
      </c>
      <c r="C34" s="14" t="s">
        <v>3205</v>
      </c>
      <c r="D34" s="10" t="s">
        <v>3206</v>
      </c>
      <c r="E34" s="9">
        <v>45902</v>
      </c>
      <c r="F34" s="10" t="s">
        <v>57</v>
      </c>
      <c r="G34" s="10" t="s">
        <v>78</v>
      </c>
      <c r="H34" s="10" t="s">
        <v>23</v>
      </c>
      <c r="I34" s="10" t="s">
        <v>888</v>
      </c>
      <c r="J34" s="10"/>
      <c r="K34" s="10" t="s">
        <v>1</v>
      </c>
      <c r="L34" s="12">
        <v>240</v>
      </c>
      <c r="M34" s="12">
        <v>64000</v>
      </c>
      <c r="N34" s="12">
        <v>0</v>
      </c>
      <c r="O34" s="11">
        <v>15360000</v>
      </c>
      <c r="P34" s="11">
        <f t="shared" si="0"/>
        <v>15360000</v>
      </c>
      <c r="Q34" s="11">
        <v>0</v>
      </c>
      <c r="R34" s="11"/>
      <c r="S34" s="11">
        <v>0</v>
      </c>
      <c r="T34" s="11">
        <f>P34+Q34-S34</f>
        <v>15360000</v>
      </c>
    </row>
    <row r="35" spans="1:21" ht="15.45" x14ac:dyDescent="0.4">
      <c r="A35" s="19" t="s">
        <v>118</v>
      </c>
      <c r="B35" s="21">
        <v>45902</v>
      </c>
      <c r="C35" s="22" t="s">
        <v>3243</v>
      </c>
      <c r="D35" s="23"/>
      <c r="E35" s="21"/>
      <c r="F35" s="23" t="s">
        <v>217</v>
      </c>
      <c r="G35" s="23" t="s">
        <v>3244</v>
      </c>
      <c r="H35" s="23" t="s">
        <v>119</v>
      </c>
      <c r="I35" s="23" t="s">
        <v>120</v>
      </c>
      <c r="J35" s="23"/>
      <c r="K35" s="23" t="s">
        <v>135</v>
      </c>
      <c r="L35" s="123">
        <v>8636</v>
      </c>
      <c r="M35" s="24">
        <v>8500</v>
      </c>
      <c r="N35" s="123"/>
      <c r="O35" s="138">
        <f>L35*M35</f>
        <v>73406000</v>
      </c>
      <c r="P35" s="138">
        <f t="shared" si="0"/>
        <v>73406000</v>
      </c>
      <c r="Q35" s="138">
        <v>0</v>
      </c>
      <c r="R35" s="138"/>
      <c r="S35" s="138"/>
      <c r="T35" s="138">
        <f>P35</f>
        <v>73406000</v>
      </c>
      <c r="U35" s="29"/>
    </row>
    <row r="36" spans="1:21" ht="15.45" x14ac:dyDescent="0.4">
      <c r="A36" s="19" t="s">
        <v>110</v>
      </c>
      <c r="B36" s="9">
        <v>45908</v>
      </c>
      <c r="C36" s="14" t="s">
        <v>3241</v>
      </c>
      <c r="D36" s="10" t="s">
        <v>3242</v>
      </c>
      <c r="E36" s="9">
        <v>45902</v>
      </c>
      <c r="F36" s="10" t="s">
        <v>72</v>
      </c>
      <c r="G36" s="10" t="s">
        <v>29</v>
      </c>
      <c r="H36" s="10" t="s">
        <v>23</v>
      </c>
      <c r="I36" s="10" t="s">
        <v>887</v>
      </c>
      <c r="J36" s="10"/>
      <c r="K36" s="10" t="s">
        <v>1</v>
      </c>
      <c r="L36" s="12">
        <v>4000</v>
      </c>
      <c r="M36" s="12">
        <v>5100</v>
      </c>
      <c r="N36" s="12">
        <v>0</v>
      </c>
      <c r="O36" s="11">
        <v>20400000</v>
      </c>
      <c r="P36" s="11">
        <f t="shared" si="0"/>
        <v>20400000</v>
      </c>
      <c r="Q36" s="11">
        <v>2244000</v>
      </c>
      <c r="R36" s="11"/>
      <c r="S36" s="11">
        <v>0</v>
      </c>
      <c r="T36" s="11">
        <f>P36+Q36-S36</f>
        <v>22644000</v>
      </c>
    </row>
    <row r="37" spans="1:21" ht="15.45" x14ac:dyDescent="0.4">
      <c r="A37" s="19" t="s">
        <v>2783</v>
      </c>
      <c r="B37" s="9">
        <v>45901</v>
      </c>
      <c r="C37" s="14" t="s">
        <v>3189</v>
      </c>
      <c r="D37" s="10" t="s">
        <v>3112</v>
      </c>
      <c r="E37" s="9">
        <v>45890</v>
      </c>
      <c r="F37" s="10" t="s">
        <v>2781</v>
      </c>
      <c r="G37" s="10" t="s">
        <v>175</v>
      </c>
      <c r="H37" s="10" t="s">
        <v>25</v>
      </c>
      <c r="I37" s="10" t="s">
        <v>79</v>
      </c>
      <c r="J37" s="10"/>
      <c r="K37" s="10" t="s">
        <v>1</v>
      </c>
      <c r="L37" s="12">
        <v>26250</v>
      </c>
      <c r="M37" s="12">
        <v>1150</v>
      </c>
      <c r="N37" s="12">
        <v>0</v>
      </c>
      <c r="O37" s="11">
        <v>30187500</v>
      </c>
      <c r="P37" s="11">
        <f t="shared" si="0"/>
        <v>30187500</v>
      </c>
      <c r="Q37" s="11">
        <v>3320625</v>
      </c>
      <c r="R37" s="11">
        <f>P37*1.5%</f>
        <v>452812.5</v>
      </c>
      <c r="S37" s="11">
        <v>0</v>
      </c>
      <c r="T37" s="11">
        <f>P37+Q37-S37-R37</f>
        <v>33055312.5</v>
      </c>
    </row>
    <row r="38" spans="1:21" ht="15.45" x14ac:dyDescent="0.4">
      <c r="A38" s="19" t="s">
        <v>3279</v>
      </c>
      <c r="B38" s="21">
        <v>45902</v>
      </c>
      <c r="C38" s="22" t="s">
        <v>3247</v>
      </c>
      <c r="D38" s="23"/>
      <c r="E38" s="21"/>
      <c r="F38" s="23" t="s">
        <v>3248</v>
      </c>
      <c r="G38" s="23" t="s">
        <v>3249</v>
      </c>
      <c r="H38" s="23"/>
      <c r="I38" s="23"/>
      <c r="J38" s="139" t="s">
        <v>3250</v>
      </c>
      <c r="K38" s="23" t="s">
        <v>135</v>
      </c>
      <c r="L38" s="123">
        <v>1</v>
      </c>
      <c r="M38" s="24">
        <v>143250000</v>
      </c>
      <c r="N38" s="123"/>
      <c r="O38" s="138">
        <f>L38*M38</f>
        <v>143250000</v>
      </c>
      <c r="P38" s="138">
        <f t="shared" si="0"/>
        <v>143250000</v>
      </c>
      <c r="Q38" s="138">
        <f>P38*0.11</f>
        <v>15757500</v>
      </c>
      <c r="R38" s="138">
        <f>P38*2%</f>
        <v>2865000</v>
      </c>
      <c r="S38" s="138"/>
      <c r="T38" s="138">
        <f>P38+Q38-R38</f>
        <v>156142500</v>
      </c>
      <c r="U38" s="29"/>
    </row>
    <row r="39" spans="1:21" ht="15.45" x14ac:dyDescent="0.4">
      <c r="A39" s="19" t="s">
        <v>184</v>
      </c>
      <c r="B39" s="9">
        <v>45902</v>
      </c>
      <c r="C39" s="14" t="s">
        <v>3199</v>
      </c>
      <c r="D39" s="10" t="s">
        <v>3200</v>
      </c>
      <c r="E39" s="9">
        <v>45898</v>
      </c>
      <c r="F39" s="10" t="s">
        <v>183</v>
      </c>
      <c r="G39" s="10" t="s">
        <v>215</v>
      </c>
      <c r="H39" s="10" t="s">
        <v>23</v>
      </c>
      <c r="I39" s="10" t="s">
        <v>886</v>
      </c>
      <c r="J39" s="10"/>
      <c r="K39" s="10" t="s">
        <v>1</v>
      </c>
      <c r="L39" s="12">
        <v>30</v>
      </c>
      <c r="M39" s="12">
        <v>57418</v>
      </c>
      <c r="N39" s="12">
        <v>16405</v>
      </c>
      <c r="O39" s="11">
        <v>1722540</v>
      </c>
      <c r="P39" s="11">
        <f t="shared" si="0"/>
        <v>1722540</v>
      </c>
      <c r="Q39" s="11">
        <v>189479.4</v>
      </c>
      <c r="R39" s="11"/>
      <c r="S39" s="11">
        <v>0</v>
      </c>
      <c r="T39" s="11">
        <f t="shared" ref="T39:T45" si="2">P39+Q39-S39</f>
        <v>1912019.4</v>
      </c>
    </row>
    <row r="40" spans="1:21" ht="15.45" x14ac:dyDescent="0.4">
      <c r="A40" s="19" t="s">
        <v>105</v>
      </c>
      <c r="B40" s="9">
        <v>45901</v>
      </c>
      <c r="C40" s="14" t="s">
        <v>3184</v>
      </c>
      <c r="D40" s="10" t="s">
        <v>3109</v>
      </c>
      <c r="E40" s="9">
        <v>45883</v>
      </c>
      <c r="F40" s="10" t="s">
        <v>85</v>
      </c>
      <c r="G40" s="10" t="s">
        <v>660</v>
      </c>
      <c r="H40" s="10" t="s">
        <v>23</v>
      </c>
      <c r="I40" s="10" t="s">
        <v>890</v>
      </c>
      <c r="J40" s="10"/>
      <c r="K40" s="10" t="s">
        <v>1</v>
      </c>
      <c r="L40" s="12">
        <v>1440</v>
      </c>
      <c r="M40" s="12">
        <v>23689</v>
      </c>
      <c r="N40" s="12">
        <v>16115</v>
      </c>
      <c r="O40" s="11">
        <v>34112160</v>
      </c>
      <c r="P40" s="11">
        <f t="shared" si="0"/>
        <v>34112160</v>
      </c>
      <c r="Q40" s="11">
        <v>3752337.6</v>
      </c>
      <c r="R40" s="11"/>
      <c r="S40" s="11">
        <v>0</v>
      </c>
      <c r="T40" s="11">
        <f t="shared" si="2"/>
        <v>37864497.600000001</v>
      </c>
    </row>
    <row r="41" spans="1:21" ht="15.45" x14ac:dyDescent="0.4">
      <c r="A41" s="19" t="s">
        <v>105</v>
      </c>
      <c r="B41" s="9">
        <v>45904</v>
      </c>
      <c r="C41" s="14" t="s">
        <v>3219</v>
      </c>
      <c r="D41" s="10" t="s">
        <v>3220</v>
      </c>
      <c r="E41" s="9">
        <v>45899</v>
      </c>
      <c r="F41" s="10" t="s">
        <v>85</v>
      </c>
      <c r="G41" s="10" t="s">
        <v>91</v>
      </c>
      <c r="H41" s="10" t="s">
        <v>23</v>
      </c>
      <c r="I41" s="10" t="s">
        <v>886</v>
      </c>
      <c r="J41" s="10"/>
      <c r="K41" s="10" t="s">
        <v>1</v>
      </c>
      <c r="L41" s="12">
        <v>500</v>
      </c>
      <c r="M41" s="12">
        <v>77207</v>
      </c>
      <c r="N41" s="12">
        <v>16427</v>
      </c>
      <c r="O41" s="11">
        <v>38603500</v>
      </c>
      <c r="P41" s="11">
        <f t="shared" si="0"/>
        <v>38603500</v>
      </c>
      <c r="Q41" s="11">
        <v>4246385</v>
      </c>
      <c r="R41" s="11"/>
      <c r="S41" s="11">
        <v>0</v>
      </c>
      <c r="T41" s="11">
        <f t="shared" si="2"/>
        <v>42849885</v>
      </c>
    </row>
    <row r="42" spans="1:21" ht="15.45" x14ac:dyDescent="0.4">
      <c r="A42" s="19" t="s">
        <v>592</v>
      </c>
      <c r="B42" s="9">
        <v>45904</v>
      </c>
      <c r="C42" s="14" t="s">
        <v>3217</v>
      </c>
      <c r="D42" s="10" t="s">
        <v>3218</v>
      </c>
      <c r="E42" s="9">
        <v>45902</v>
      </c>
      <c r="F42" s="10" t="s">
        <v>585</v>
      </c>
      <c r="G42" s="10" t="s">
        <v>786</v>
      </c>
      <c r="H42" s="10" t="s">
        <v>23</v>
      </c>
      <c r="I42" s="10" t="s">
        <v>886</v>
      </c>
      <c r="J42" s="10"/>
      <c r="K42" s="10" t="s">
        <v>1</v>
      </c>
      <c r="L42" s="12">
        <v>400</v>
      </c>
      <c r="M42" s="12">
        <v>60847</v>
      </c>
      <c r="N42" s="12">
        <v>16445</v>
      </c>
      <c r="O42" s="11">
        <v>24338800</v>
      </c>
      <c r="P42" s="11">
        <f t="shared" si="0"/>
        <v>24338800</v>
      </c>
      <c r="Q42" s="11">
        <v>2677268</v>
      </c>
      <c r="R42" s="11"/>
      <c r="S42" s="11">
        <v>0</v>
      </c>
      <c r="T42" s="11">
        <f t="shared" si="2"/>
        <v>27016068</v>
      </c>
    </row>
    <row r="43" spans="1:21" ht="15.45" x14ac:dyDescent="0.4">
      <c r="A43" s="19" t="s">
        <v>170</v>
      </c>
      <c r="B43" s="9">
        <v>45904</v>
      </c>
      <c r="C43" s="14" t="s">
        <v>3226</v>
      </c>
      <c r="D43" s="10" t="s">
        <v>3227</v>
      </c>
      <c r="E43" s="9">
        <v>45902</v>
      </c>
      <c r="F43" s="10" t="s">
        <v>36</v>
      </c>
      <c r="G43" s="10" t="s">
        <v>203</v>
      </c>
      <c r="H43" s="10" t="s">
        <v>23</v>
      </c>
      <c r="I43" s="10" t="s">
        <v>891</v>
      </c>
      <c r="J43" s="50" t="s">
        <v>3292</v>
      </c>
      <c r="K43" s="10" t="s">
        <v>1</v>
      </c>
      <c r="L43" s="12">
        <v>200</v>
      </c>
      <c r="M43" s="12">
        <v>9856</v>
      </c>
      <c r="N43" s="12">
        <v>16427</v>
      </c>
      <c r="O43" s="11">
        <v>1971200</v>
      </c>
      <c r="P43" s="11">
        <f t="shared" si="0"/>
        <v>1971200</v>
      </c>
      <c r="Q43" s="11">
        <v>216832</v>
      </c>
      <c r="R43" s="11"/>
      <c r="S43" s="11">
        <v>0</v>
      </c>
      <c r="T43" s="11">
        <f t="shared" si="2"/>
        <v>2188032</v>
      </c>
    </row>
    <row r="44" spans="1:21" s="28" customFormat="1" ht="15.45" x14ac:dyDescent="0.4">
      <c r="A44" s="19" t="s">
        <v>112</v>
      </c>
      <c r="B44" s="9">
        <v>45902</v>
      </c>
      <c r="C44" s="14" t="s">
        <v>3201</v>
      </c>
      <c r="D44" s="10" t="s">
        <v>3202</v>
      </c>
      <c r="E44" s="9">
        <v>45902</v>
      </c>
      <c r="F44" s="10" t="s">
        <v>50</v>
      </c>
      <c r="G44" s="10" t="s">
        <v>1877</v>
      </c>
      <c r="H44" s="10" t="s">
        <v>23</v>
      </c>
      <c r="I44" s="10" t="s">
        <v>885</v>
      </c>
      <c r="J44" s="50" t="s">
        <v>3293</v>
      </c>
      <c r="K44" s="10" t="s">
        <v>1</v>
      </c>
      <c r="L44" s="12">
        <v>200</v>
      </c>
      <c r="M44" s="12">
        <v>29569</v>
      </c>
      <c r="N44" s="12">
        <v>16427</v>
      </c>
      <c r="O44" s="11">
        <v>5913800</v>
      </c>
      <c r="P44" s="11">
        <f t="shared" si="0"/>
        <v>5913800</v>
      </c>
      <c r="Q44" s="11">
        <v>650518</v>
      </c>
      <c r="R44" s="11"/>
      <c r="S44" s="11">
        <v>0</v>
      </c>
      <c r="T44" s="11">
        <f t="shared" si="2"/>
        <v>6564318</v>
      </c>
      <c r="U44"/>
    </row>
    <row r="45" spans="1:21" s="28" customFormat="1" ht="15.45" x14ac:dyDescent="0.4">
      <c r="A45" s="19" t="s">
        <v>225</v>
      </c>
      <c r="B45" s="9">
        <v>45901</v>
      </c>
      <c r="C45" s="14" t="s">
        <v>3185</v>
      </c>
      <c r="D45" s="10" t="s">
        <v>3186</v>
      </c>
      <c r="E45" s="9">
        <v>45894</v>
      </c>
      <c r="F45" s="10" t="s">
        <v>221</v>
      </c>
      <c r="G45" s="10" t="s">
        <v>222</v>
      </c>
      <c r="H45" s="10" t="s">
        <v>23</v>
      </c>
      <c r="I45" s="10" t="s">
        <v>885</v>
      </c>
      <c r="J45" s="50" t="s">
        <v>3291</v>
      </c>
      <c r="K45" s="10" t="s">
        <v>1</v>
      </c>
      <c r="L45" s="12">
        <v>400</v>
      </c>
      <c r="M45" s="12">
        <v>9103</v>
      </c>
      <c r="N45" s="12">
        <v>16255</v>
      </c>
      <c r="O45" s="11">
        <v>3641200</v>
      </c>
      <c r="P45" s="11">
        <f t="shared" si="0"/>
        <v>3641200</v>
      </c>
      <c r="Q45" s="11">
        <v>400532</v>
      </c>
      <c r="R45" s="11"/>
      <c r="S45" s="11">
        <v>0</v>
      </c>
      <c r="T45" s="11">
        <f t="shared" si="2"/>
        <v>4041732</v>
      </c>
      <c r="U45"/>
    </row>
  </sheetData>
  <autoFilter ref="A7:U45" xr:uid="{DB22D521-B4CF-4679-B36F-6EC2B90158A7}">
    <sortState xmlns:xlrd2="http://schemas.microsoft.com/office/spreadsheetml/2017/richdata2" ref="A8:U45">
      <sortCondition ref="A7:A45"/>
    </sortState>
  </autoFilter>
  <conditionalFormatting sqref="A8">
    <cfRule type="duplicateValues" dxfId="78" priority="63"/>
    <cfRule type="duplicateValues" dxfId="77" priority="62"/>
  </conditionalFormatting>
  <conditionalFormatting sqref="A9">
    <cfRule type="duplicateValues" dxfId="76" priority="40"/>
    <cfRule type="duplicateValues" dxfId="75" priority="41"/>
  </conditionalFormatting>
  <conditionalFormatting sqref="A10">
    <cfRule type="duplicateValues" dxfId="74" priority="27"/>
    <cfRule type="duplicateValues" dxfId="73" priority="28"/>
  </conditionalFormatting>
  <conditionalFormatting sqref="A11">
    <cfRule type="duplicateValues" dxfId="72" priority="66"/>
    <cfRule type="duplicateValues" dxfId="71" priority="67"/>
  </conditionalFormatting>
  <conditionalFormatting sqref="A12">
    <cfRule type="duplicateValues" dxfId="70" priority="35"/>
    <cfRule type="duplicateValues" dxfId="69" priority="34"/>
  </conditionalFormatting>
  <conditionalFormatting sqref="A13">
    <cfRule type="duplicateValues" dxfId="68" priority="10"/>
    <cfRule type="duplicateValues" dxfId="67" priority="9"/>
  </conditionalFormatting>
  <conditionalFormatting sqref="A14">
    <cfRule type="duplicateValues" dxfId="66" priority="61"/>
    <cfRule type="duplicateValues" dxfId="65" priority="60"/>
  </conditionalFormatting>
  <conditionalFormatting sqref="A15">
    <cfRule type="duplicateValues" dxfId="64" priority="59"/>
    <cfRule type="duplicateValues" dxfId="63" priority="58"/>
  </conditionalFormatting>
  <conditionalFormatting sqref="A16">
    <cfRule type="duplicateValues" dxfId="62" priority="57"/>
    <cfRule type="duplicateValues" dxfId="61" priority="56"/>
  </conditionalFormatting>
  <conditionalFormatting sqref="A17">
    <cfRule type="duplicateValues" dxfId="60" priority="55"/>
    <cfRule type="duplicateValues" dxfId="59" priority="54"/>
  </conditionalFormatting>
  <conditionalFormatting sqref="A18">
    <cfRule type="duplicateValues" dxfId="58" priority="37"/>
    <cfRule type="duplicateValues" dxfId="57" priority="36"/>
  </conditionalFormatting>
  <conditionalFormatting sqref="A19">
    <cfRule type="duplicateValues" dxfId="56" priority="68"/>
    <cfRule type="duplicateValues" dxfId="55" priority="69"/>
  </conditionalFormatting>
  <conditionalFormatting sqref="A20">
    <cfRule type="duplicateValues" dxfId="54" priority="18"/>
    <cfRule type="duplicateValues" dxfId="53" priority="17"/>
  </conditionalFormatting>
  <conditionalFormatting sqref="A21">
    <cfRule type="duplicateValues" dxfId="52" priority="42"/>
    <cfRule type="duplicateValues" dxfId="51" priority="43"/>
  </conditionalFormatting>
  <conditionalFormatting sqref="A22">
    <cfRule type="duplicateValues" dxfId="50" priority="47"/>
    <cfRule type="duplicateValues" dxfId="49" priority="46"/>
  </conditionalFormatting>
  <conditionalFormatting sqref="A23">
    <cfRule type="duplicateValues" dxfId="48" priority="25"/>
    <cfRule type="duplicateValues" dxfId="47" priority="26"/>
  </conditionalFormatting>
  <conditionalFormatting sqref="A24">
    <cfRule type="duplicateValues" dxfId="46" priority="23"/>
    <cfRule type="duplicateValues" dxfId="45" priority="24"/>
  </conditionalFormatting>
  <conditionalFormatting sqref="A25">
    <cfRule type="duplicateValues" dxfId="44" priority="4"/>
    <cfRule type="duplicateValues" dxfId="43" priority="3"/>
  </conditionalFormatting>
  <conditionalFormatting sqref="A26">
    <cfRule type="duplicateValues" dxfId="42" priority="64"/>
    <cfRule type="duplicateValues" dxfId="41" priority="65"/>
  </conditionalFormatting>
  <conditionalFormatting sqref="A27">
    <cfRule type="duplicateValues" dxfId="40" priority="12"/>
    <cfRule type="duplicateValues" dxfId="39" priority="11"/>
  </conditionalFormatting>
  <conditionalFormatting sqref="A28">
    <cfRule type="duplicateValues" dxfId="38" priority="72"/>
    <cfRule type="duplicateValues" dxfId="37" priority="73"/>
  </conditionalFormatting>
  <conditionalFormatting sqref="A29">
    <cfRule type="duplicateValues" dxfId="36" priority="32"/>
    <cfRule type="duplicateValues" dxfId="35" priority="33"/>
  </conditionalFormatting>
  <conditionalFormatting sqref="A30">
    <cfRule type="duplicateValues" dxfId="34" priority="39"/>
    <cfRule type="duplicateValues" dxfId="33" priority="38"/>
  </conditionalFormatting>
  <conditionalFormatting sqref="A31">
    <cfRule type="duplicateValues" dxfId="32" priority="70"/>
    <cfRule type="duplicateValues" dxfId="31" priority="71"/>
  </conditionalFormatting>
  <conditionalFormatting sqref="A32">
    <cfRule type="duplicateValues" dxfId="30" priority="44"/>
    <cfRule type="duplicateValues" dxfId="29" priority="45"/>
  </conditionalFormatting>
  <conditionalFormatting sqref="A33">
    <cfRule type="duplicateValues" dxfId="28" priority="31"/>
    <cfRule type="duplicateValues" dxfId="27" priority="30"/>
  </conditionalFormatting>
  <conditionalFormatting sqref="A34">
    <cfRule type="duplicateValues" dxfId="26" priority="2"/>
    <cfRule type="duplicateValues" dxfId="25" priority="1"/>
  </conditionalFormatting>
  <conditionalFormatting sqref="A35">
    <cfRule type="duplicateValues" dxfId="24" priority="6"/>
    <cfRule type="duplicateValues" dxfId="23" priority="5"/>
  </conditionalFormatting>
  <conditionalFormatting sqref="A36">
    <cfRule type="duplicateValues" dxfId="22" priority="16"/>
    <cfRule type="duplicateValues" dxfId="21" priority="15"/>
  </conditionalFormatting>
  <conditionalFormatting sqref="A37">
    <cfRule type="duplicateValues" dxfId="20" priority="14"/>
    <cfRule type="duplicateValues" dxfId="19" priority="13"/>
  </conditionalFormatting>
  <conditionalFormatting sqref="A38">
    <cfRule type="duplicateValues" dxfId="18" priority="52"/>
    <cfRule type="duplicateValues" dxfId="17" priority="53"/>
  </conditionalFormatting>
  <conditionalFormatting sqref="A39">
    <cfRule type="duplicateValues" dxfId="16" priority="50"/>
    <cfRule type="duplicateValues" dxfId="15" priority="51"/>
  </conditionalFormatting>
  <conditionalFormatting sqref="A40">
    <cfRule type="duplicateValues" dxfId="14" priority="48"/>
    <cfRule type="duplicateValues" dxfId="13" priority="49"/>
  </conditionalFormatting>
  <conditionalFormatting sqref="A41">
    <cfRule type="duplicateValues" dxfId="12" priority="19"/>
    <cfRule type="duplicateValues" dxfId="11" priority="20"/>
  </conditionalFormatting>
  <conditionalFormatting sqref="A42">
    <cfRule type="duplicateValues" dxfId="10" priority="8"/>
    <cfRule type="duplicateValues" dxfId="9" priority="7"/>
  </conditionalFormatting>
  <conditionalFormatting sqref="A43">
    <cfRule type="duplicateValues" dxfId="8" priority="22"/>
    <cfRule type="duplicateValues" dxfId="7" priority="21"/>
  </conditionalFormatting>
  <conditionalFormatting sqref="A44">
    <cfRule type="duplicateValues" dxfId="6" priority="75"/>
  </conditionalFormatting>
  <conditionalFormatting sqref="A45">
    <cfRule type="duplicateValues" dxfId="5" priority="29"/>
    <cfRule type="duplicateValues" dxfId="4" priority="74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8DEB-110E-48AE-A77B-21FA626B8110}">
  <dimension ref="A1:C256"/>
  <sheetViews>
    <sheetView workbookViewId="0">
      <pane ySplit="1" topLeftCell="A59" activePane="bottomLeft" state="frozen"/>
      <selection pane="bottomLeft" activeCell="B3" sqref="B3"/>
    </sheetView>
  </sheetViews>
  <sheetFormatPr defaultRowHeight="15.45" x14ac:dyDescent="0.4"/>
  <cols>
    <col min="1" max="1" width="51" style="78" customWidth="1"/>
    <col min="2" max="2" width="25" style="78" bestFit="1" customWidth="1"/>
  </cols>
  <sheetData>
    <row r="1" spans="1:2" ht="15.9" thickTop="1" thickBot="1" x14ac:dyDescent="0.45">
      <c r="A1" s="79" t="s">
        <v>38</v>
      </c>
      <c r="B1" s="79" t="s">
        <v>774</v>
      </c>
    </row>
    <row r="2" spans="1:2" ht="15.9" thickTop="1" x14ac:dyDescent="0.4">
      <c r="A2" s="80" t="s">
        <v>46</v>
      </c>
      <c r="B2" s="94" t="s">
        <v>889</v>
      </c>
    </row>
    <row r="3" spans="1:2" x14ac:dyDescent="0.4">
      <c r="A3" s="80" t="s">
        <v>47</v>
      </c>
      <c r="B3" s="95" t="s">
        <v>889</v>
      </c>
    </row>
    <row r="4" spans="1:2" x14ac:dyDescent="0.4">
      <c r="A4" s="80" t="s">
        <v>2145</v>
      </c>
      <c r="B4" s="95" t="s">
        <v>889</v>
      </c>
    </row>
    <row r="5" spans="1:2" ht="15" x14ac:dyDescent="0.4">
      <c r="A5" s="97"/>
      <c r="B5" s="96"/>
    </row>
    <row r="6" spans="1:2" x14ac:dyDescent="0.4">
      <c r="A6" s="80"/>
      <c r="B6" s="95"/>
    </row>
    <row r="7" spans="1:2" x14ac:dyDescent="0.4">
      <c r="A7" s="80" t="s">
        <v>1564</v>
      </c>
      <c r="B7" s="95" t="s">
        <v>2298</v>
      </c>
    </row>
    <row r="8" spans="1:2" x14ac:dyDescent="0.4">
      <c r="A8" s="80" t="s">
        <v>1099</v>
      </c>
      <c r="B8" s="95" t="s">
        <v>2298</v>
      </c>
    </row>
    <row r="9" spans="1:2" x14ac:dyDescent="0.4">
      <c r="A9" s="80" t="s">
        <v>570</v>
      </c>
      <c r="B9" s="95" t="s">
        <v>2298</v>
      </c>
    </row>
    <row r="10" spans="1:2" x14ac:dyDescent="0.4">
      <c r="A10" s="80" t="s">
        <v>1238</v>
      </c>
      <c r="B10" s="95" t="s">
        <v>3074</v>
      </c>
    </row>
    <row r="11" spans="1:2" x14ac:dyDescent="0.4">
      <c r="A11" s="80"/>
      <c r="B11" s="95"/>
    </row>
    <row r="12" spans="1:2" x14ac:dyDescent="0.4">
      <c r="A12" s="80"/>
      <c r="B12" s="95"/>
    </row>
    <row r="13" spans="1:2" x14ac:dyDescent="0.4">
      <c r="A13" s="80" t="s">
        <v>2193</v>
      </c>
      <c r="B13" s="95" t="s">
        <v>890</v>
      </c>
    </row>
    <row r="14" spans="1:2" x14ac:dyDescent="0.4">
      <c r="A14" s="80" t="s">
        <v>2194</v>
      </c>
      <c r="B14" s="95" t="s">
        <v>890</v>
      </c>
    </row>
    <row r="15" spans="1:2" x14ac:dyDescent="0.4">
      <c r="A15" s="80" t="s">
        <v>201</v>
      </c>
      <c r="B15" s="95" t="s">
        <v>890</v>
      </c>
    </row>
    <row r="16" spans="1:2" x14ac:dyDescent="0.4">
      <c r="A16" s="80" t="s">
        <v>2197</v>
      </c>
      <c r="B16" s="95" t="s">
        <v>890</v>
      </c>
    </row>
    <row r="17" spans="1:3" x14ac:dyDescent="0.4">
      <c r="A17" s="80" t="s">
        <v>2198</v>
      </c>
      <c r="B17" s="95" t="s">
        <v>890</v>
      </c>
    </row>
    <row r="18" spans="1:3" x14ac:dyDescent="0.4">
      <c r="A18" s="80" t="s">
        <v>578</v>
      </c>
      <c r="B18" s="95" t="s">
        <v>890</v>
      </c>
    </row>
    <row r="19" spans="1:3" x14ac:dyDescent="0.4">
      <c r="A19" s="80" t="s">
        <v>2208</v>
      </c>
      <c r="B19" s="95" t="s">
        <v>890</v>
      </c>
    </row>
    <row r="20" spans="1:3" x14ac:dyDescent="0.4">
      <c r="A20" s="80" t="s">
        <v>660</v>
      </c>
      <c r="B20" s="95" t="s">
        <v>890</v>
      </c>
    </row>
    <row r="21" spans="1:3" x14ac:dyDescent="0.4">
      <c r="A21" s="80" t="s">
        <v>3070</v>
      </c>
      <c r="B21" s="95" t="s">
        <v>890</v>
      </c>
    </row>
    <row r="22" spans="1:3" x14ac:dyDescent="0.4">
      <c r="A22" s="80" t="s">
        <v>2219</v>
      </c>
      <c r="B22" s="95" t="s">
        <v>890</v>
      </c>
    </row>
    <row r="23" spans="1:3" x14ac:dyDescent="0.4">
      <c r="A23" s="84" t="s">
        <v>2007</v>
      </c>
      <c r="B23" s="95" t="s">
        <v>890</v>
      </c>
    </row>
    <row r="24" spans="1:3" x14ac:dyDescent="0.4">
      <c r="A24" s="80" t="s">
        <v>188</v>
      </c>
      <c r="B24" s="95" t="s">
        <v>890</v>
      </c>
    </row>
    <row r="25" spans="1:3" x14ac:dyDescent="0.4">
      <c r="A25" s="80" t="s">
        <v>2220</v>
      </c>
      <c r="B25" s="95" t="s">
        <v>890</v>
      </c>
    </row>
    <row r="26" spans="1:3" x14ac:dyDescent="0.4">
      <c r="A26" s="83" t="s">
        <v>2221</v>
      </c>
      <c r="B26" s="95" t="s">
        <v>890</v>
      </c>
    </row>
    <row r="27" spans="1:3" x14ac:dyDescent="0.4">
      <c r="A27" s="80" t="s">
        <v>231</v>
      </c>
      <c r="B27" s="95" t="s">
        <v>890</v>
      </c>
    </row>
    <row r="28" spans="1:3" x14ac:dyDescent="0.4">
      <c r="A28" s="80" t="s">
        <v>213</v>
      </c>
      <c r="B28" s="95" t="s">
        <v>890</v>
      </c>
    </row>
    <row r="29" spans="1:3" x14ac:dyDescent="0.4">
      <c r="A29" s="84" t="s">
        <v>41</v>
      </c>
      <c r="B29" s="95" t="s">
        <v>890</v>
      </c>
    </row>
    <row r="30" spans="1:3" x14ac:dyDescent="0.4">
      <c r="A30" s="84" t="s">
        <v>2698</v>
      </c>
      <c r="B30" s="95" t="s">
        <v>890</v>
      </c>
      <c r="C30" t="s">
        <v>2715</v>
      </c>
    </row>
    <row r="31" spans="1:3" x14ac:dyDescent="0.4">
      <c r="A31" s="84"/>
      <c r="B31" s="95"/>
    </row>
    <row r="32" spans="1:3" x14ac:dyDescent="0.4">
      <c r="A32" s="84"/>
      <c r="B32" s="95"/>
    </row>
    <row r="33" spans="1:2" x14ac:dyDescent="0.4">
      <c r="A33" s="80" t="s">
        <v>1877</v>
      </c>
      <c r="B33" s="95" t="s">
        <v>885</v>
      </c>
    </row>
    <row r="34" spans="1:2" x14ac:dyDescent="0.4">
      <c r="A34" s="80" t="s">
        <v>620</v>
      </c>
      <c r="B34" s="95" t="s">
        <v>885</v>
      </c>
    </row>
    <row r="35" spans="1:2" x14ac:dyDescent="0.4">
      <c r="A35" s="80" t="s">
        <v>621</v>
      </c>
      <c r="B35" s="95" t="s">
        <v>885</v>
      </c>
    </row>
    <row r="36" spans="1:2" x14ac:dyDescent="0.4">
      <c r="A36" s="80" t="s">
        <v>1002</v>
      </c>
      <c r="B36" s="95" t="s">
        <v>885</v>
      </c>
    </row>
    <row r="37" spans="1:2" x14ac:dyDescent="0.4">
      <c r="A37" s="80" t="s">
        <v>1427</v>
      </c>
      <c r="B37" s="95" t="s">
        <v>885</v>
      </c>
    </row>
    <row r="38" spans="1:2" x14ac:dyDescent="0.4">
      <c r="A38" s="80" t="s">
        <v>2209</v>
      </c>
      <c r="B38" s="95" t="s">
        <v>885</v>
      </c>
    </row>
    <row r="39" spans="1:2" x14ac:dyDescent="0.4">
      <c r="A39" s="80" t="s">
        <v>207</v>
      </c>
      <c r="B39" s="95" t="s">
        <v>885</v>
      </c>
    </row>
    <row r="40" spans="1:2" x14ac:dyDescent="0.4">
      <c r="A40" s="80" t="s">
        <v>1434</v>
      </c>
      <c r="B40" s="95" t="s">
        <v>885</v>
      </c>
    </row>
    <row r="41" spans="1:2" x14ac:dyDescent="0.4">
      <c r="A41" s="80" t="s">
        <v>1922</v>
      </c>
      <c r="B41" s="95" t="s">
        <v>885</v>
      </c>
    </row>
    <row r="42" spans="1:2" x14ac:dyDescent="0.4">
      <c r="A42" s="80" t="s">
        <v>222</v>
      </c>
      <c r="B42" s="95" t="s">
        <v>885</v>
      </c>
    </row>
    <row r="43" spans="1:2" x14ac:dyDescent="0.4">
      <c r="A43" s="80" t="s">
        <v>2222</v>
      </c>
      <c r="B43" s="95" t="s">
        <v>885</v>
      </c>
    </row>
    <row r="44" spans="1:2" x14ac:dyDescent="0.4">
      <c r="A44" s="85" t="s">
        <v>567</v>
      </c>
      <c r="B44" s="95" t="s">
        <v>885</v>
      </c>
    </row>
    <row r="45" spans="1:2" x14ac:dyDescent="0.4">
      <c r="A45" s="80" t="s">
        <v>35</v>
      </c>
      <c r="B45" s="95" t="s">
        <v>885</v>
      </c>
    </row>
    <row r="46" spans="1:2" x14ac:dyDescent="0.4">
      <c r="A46" s="80" t="s">
        <v>2729</v>
      </c>
      <c r="B46" s="95" t="s">
        <v>885</v>
      </c>
    </row>
    <row r="47" spans="1:2" x14ac:dyDescent="0.4">
      <c r="A47" s="80"/>
      <c r="B47" s="95"/>
    </row>
    <row r="48" spans="1:2" x14ac:dyDescent="0.4">
      <c r="A48" s="80"/>
      <c r="B48" s="95"/>
    </row>
    <row r="49" spans="1:2" x14ac:dyDescent="0.4">
      <c r="A49" s="80" t="s">
        <v>2200</v>
      </c>
      <c r="B49" s="95" t="s">
        <v>886</v>
      </c>
    </row>
    <row r="50" spans="1:2" x14ac:dyDescent="0.4">
      <c r="A50" s="80" t="s">
        <v>1586</v>
      </c>
      <c r="B50" s="95" t="s">
        <v>886</v>
      </c>
    </row>
    <row r="51" spans="1:2" x14ac:dyDescent="0.4">
      <c r="A51" s="80" t="s">
        <v>131</v>
      </c>
      <c r="B51" s="95" t="s">
        <v>886</v>
      </c>
    </row>
    <row r="52" spans="1:2" x14ac:dyDescent="0.4">
      <c r="A52" s="80" t="s">
        <v>725</v>
      </c>
      <c r="B52" s="95" t="s">
        <v>886</v>
      </c>
    </row>
    <row r="53" spans="1:2" x14ac:dyDescent="0.4">
      <c r="A53" s="80" t="s">
        <v>786</v>
      </c>
      <c r="B53" s="95" t="s">
        <v>886</v>
      </c>
    </row>
    <row r="54" spans="1:2" x14ac:dyDescent="0.4">
      <c r="A54" s="80" t="s">
        <v>2201</v>
      </c>
      <c r="B54" s="95" t="s">
        <v>886</v>
      </c>
    </row>
    <row r="55" spans="1:2" x14ac:dyDescent="0.4">
      <c r="A55" s="81" t="s">
        <v>2202</v>
      </c>
      <c r="B55" s="95" t="s">
        <v>886</v>
      </c>
    </row>
    <row r="56" spans="1:2" x14ac:dyDescent="0.4">
      <c r="A56" s="80" t="s">
        <v>1899</v>
      </c>
      <c r="B56" s="95" t="s">
        <v>886</v>
      </c>
    </row>
    <row r="57" spans="1:2" x14ac:dyDescent="0.4">
      <c r="A57" s="80" t="s">
        <v>2203</v>
      </c>
      <c r="B57" s="95" t="s">
        <v>886</v>
      </c>
    </row>
    <row r="58" spans="1:2" x14ac:dyDescent="0.4">
      <c r="A58" s="80" t="s">
        <v>67</v>
      </c>
      <c r="B58" s="95" t="s">
        <v>886</v>
      </c>
    </row>
    <row r="59" spans="1:2" x14ac:dyDescent="0.4">
      <c r="A59" s="80" t="s">
        <v>783</v>
      </c>
      <c r="B59" s="95" t="s">
        <v>886</v>
      </c>
    </row>
    <row r="60" spans="1:2" x14ac:dyDescent="0.4">
      <c r="A60" s="80" t="s">
        <v>1683</v>
      </c>
      <c r="B60" s="95" t="s">
        <v>886</v>
      </c>
    </row>
    <row r="61" spans="1:2" x14ac:dyDescent="0.4">
      <c r="A61" s="81" t="s">
        <v>2204</v>
      </c>
      <c r="B61" s="95" t="s">
        <v>886</v>
      </c>
    </row>
    <row r="62" spans="1:2" x14ac:dyDescent="0.4">
      <c r="A62" s="81" t="s">
        <v>2205</v>
      </c>
      <c r="B62" s="95" t="s">
        <v>886</v>
      </c>
    </row>
    <row r="63" spans="1:2" x14ac:dyDescent="0.4">
      <c r="A63" s="80" t="s">
        <v>1927</v>
      </c>
      <c r="B63" s="95" t="s">
        <v>886</v>
      </c>
    </row>
    <row r="64" spans="1:2" x14ac:dyDescent="0.4">
      <c r="A64" s="81" t="s">
        <v>2206</v>
      </c>
      <c r="B64" s="95" t="s">
        <v>886</v>
      </c>
    </row>
    <row r="65" spans="1:2" x14ac:dyDescent="0.4">
      <c r="A65" s="80" t="s">
        <v>589</v>
      </c>
      <c r="B65" s="95" t="s">
        <v>886</v>
      </c>
    </row>
    <row r="66" spans="1:2" x14ac:dyDescent="0.4">
      <c r="A66" s="81" t="s">
        <v>586</v>
      </c>
      <c r="B66" s="95" t="s">
        <v>886</v>
      </c>
    </row>
    <row r="67" spans="1:2" x14ac:dyDescent="0.4">
      <c r="A67" s="80" t="s">
        <v>1377</v>
      </c>
      <c r="B67" s="95" t="s">
        <v>886</v>
      </c>
    </row>
    <row r="68" spans="1:2" x14ac:dyDescent="0.4">
      <c r="A68" s="80" t="s">
        <v>91</v>
      </c>
      <c r="B68" s="95" t="s">
        <v>886</v>
      </c>
    </row>
    <row r="69" spans="1:2" x14ac:dyDescent="0.4">
      <c r="A69" s="80" t="s">
        <v>1296</v>
      </c>
      <c r="B69" s="95" t="s">
        <v>886</v>
      </c>
    </row>
    <row r="70" spans="1:2" x14ac:dyDescent="0.4">
      <c r="A70" s="80" t="s">
        <v>1005</v>
      </c>
      <c r="B70" s="95" t="s">
        <v>886</v>
      </c>
    </row>
    <row r="71" spans="1:2" x14ac:dyDescent="0.4">
      <c r="A71" s="80" t="s">
        <v>1822</v>
      </c>
      <c r="B71" s="95" t="s">
        <v>886</v>
      </c>
    </row>
    <row r="72" spans="1:2" x14ac:dyDescent="0.4">
      <c r="A72" s="80" t="s">
        <v>2211</v>
      </c>
      <c r="B72" s="95" t="s">
        <v>886</v>
      </c>
    </row>
    <row r="73" spans="1:2" x14ac:dyDescent="0.4">
      <c r="A73" s="80" t="s">
        <v>2212</v>
      </c>
      <c r="B73" s="95" t="s">
        <v>886</v>
      </c>
    </row>
    <row r="74" spans="1:2" x14ac:dyDescent="0.4">
      <c r="A74" s="80" t="s">
        <v>2213</v>
      </c>
      <c r="B74" s="95" t="s">
        <v>886</v>
      </c>
    </row>
    <row r="75" spans="1:2" x14ac:dyDescent="0.4">
      <c r="A75" s="80" t="s">
        <v>2214</v>
      </c>
      <c r="B75" s="95" t="s">
        <v>886</v>
      </c>
    </row>
    <row r="76" spans="1:2" x14ac:dyDescent="0.4">
      <c r="A76" s="80" t="s">
        <v>216</v>
      </c>
      <c r="B76" s="95" t="s">
        <v>886</v>
      </c>
    </row>
    <row r="77" spans="1:2" x14ac:dyDescent="0.4">
      <c r="A77" s="80" t="s">
        <v>2215</v>
      </c>
      <c r="B77" s="95" t="s">
        <v>886</v>
      </c>
    </row>
    <row r="78" spans="1:2" x14ac:dyDescent="0.4">
      <c r="A78" s="80" t="s">
        <v>2216</v>
      </c>
      <c r="B78" s="95" t="s">
        <v>886</v>
      </c>
    </row>
    <row r="79" spans="1:2" x14ac:dyDescent="0.4">
      <c r="A79" s="80" t="s">
        <v>1823</v>
      </c>
      <c r="B79" s="95" t="s">
        <v>886</v>
      </c>
    </row>
    <row r="80" spans="1:2" x14ac:dyDescent="0.4">
      <c r="A80" s="80" t="s">
        <v>2217</v>
      </c>
      <c r="B80" s="95" t="s">
        <v>886</v>
      </c>
    </row>
    <row r="81" spans="1:2" x14ac:dyDescent="0.4">
      <c r="A81" s="80" t="s">
        <v>2218</v>
      </c>
      <c r="B81" s="95" t="s">
        <v>886</v>
      </c>
    </row>
    <row r="82" spans="1:2" x14ac:dyDescent="0.4">
      <c r="A82" s="80" t="s">
        <v>215</v>
      </c>
      <c r="B82" s="95" t="s">
        <v>886</v>
      </c>
    </row>
    <row r="83" spans="1:2" x14ac:dyDescent="0.4">
      <c r="A83" s="80"/>
      <c r="B83" s="95"/>
    </row>
    <row r="84" spans="1:2" x14ac:dyDescent="0.4">
      <c r="A84" s="80"/>
      <c r="B84" s="95"/>
    </row>
    <row r="85" spans="1:2" x14ac:dyDescent="0.4">
      <c r="A85" s="80" t="s">
        <v>19</v>
      </c>
      <c r="B85" s="95" t="s">
        <v>888</v>
      </c>
    </row>
    <row r="86" spans="1:2" x14ac:dyDescent="0.4">
      <c r="A86" s="80" t="s">
        <v>1318</v>
      </c>
      <c r="B86" s="95" t="s">
        <v>888</v>
      </c>
    </row>
    <row r="87" spans="1:2" x14ac:dyDescent="0.4">
      <c r="A87" s="80" t="s">
        <v>1470</v>
      </c>
      <c r="B87" s="95" t="s">
        <v>888</v>
      </c>
    </row>
    <row r="88" spans="1:2" x14ac:dyDescent="0.4">
      <c r="A88" s="80" t="s">
        <v>2207</v>
      </c>
      <c r="B88" s="95" t="s">
        <v>888</v>
      </c>
    </row>
    <row r="89" spans="1:2" x14ac:dyDescent="0.4">
      <c r="A89" s="80" t="s">
        <v>78</v>
      </c>
      <c r="B89" s="95" t="s">
        <v>888</v>
      </c>
    </row>
    <row r="90" spans="1:2" x14ac:dyDescent="0.4">
      <c r="A90" s="80" t="s">
        <v>158</v>
      </c>
      <c r="B90" s="95" t="s">
        <v>888</v>
      </c>
    </row>
    <row r="91" spans="1:2" x14ac:dyDescent="0.4">
      <c r="A91" s="80" t="s">
        <v>195</v>
      </c>
      <c r="B91" s="95" t="s">
        <v>888</v>
      </c>
    </row>
    <row r="92" spans="1:2" x14ac:dyDescent="0.4">
      <c r="A92" s="80" t="s">
        <v>3209</v>
      </c>
      <c r="B92" s="95" t="s">
        <v>888</v>
      </c>
    </row>
    <row r="93" spans="1:2" x14ac:dyDescent="0.4">
      <c r="A93" s="80"/>
      <c r="B93" s="95"/>
    </row>
    <row r="94" spans="1:2" x14ac:dyDescent="0.4">
      <c r="A94" s="80"/>
      <c r="B94" s="95"/>
    </row>
    <row r="95" spans="1:2" x14ac:dyDescent="0.4">
      <c r="A95" s="80" t="s">
        <v>2010</v>
      </c>
      <c r="B95" s="95" t="s">
        <v>891</v>
      </c>
    </row>
    <row r="96" spans="1:2" x14ac:dyDescent="0.4">
      <c r="A96" s="80" t="s">
        <v>2195</v>
      </c>
      <c r="B96" s="95" t="s">
        <v>891</v>
      </c>
    </row>
    <row r="97" spans="1:2" x14ac:dyDescent="0.4">
      <c r="A97" s="80" t="s">
        <v>2196</v>
      </c>
      <c r="B97" s="95" t="s">
        <v>891</v>
      </c>
    </row>
    <row r="98" spans="1:2" x14ac:dyDescent="0.4">
      <c r="A98" s="80" t="s">
        <v>2199</v>
      </c>
      <c r="B98" s="95" t="s">
        <v>891</v>
      </c>
    </row>
    <row r="99" spans="1:2" x14ac:dyDescent="0.4">
      <c r="A99" s="80" t="s">
        <v>128</v>
      </c>
      <c r="B99" s="95" t="s">
        <v>891</v>
      </c>
    </row>
    <row r="100" spans="1:2" x14ac:dyDescent="0.4">
      <c r="A100" s="82" t="s">
        <v>203</v>
      </c>
      <c r="B100" s="95" t="s">
        <v>891</v>
      </c>
    </row>
    <row r="101" spans="1:2" x14ac:dyDescent="0.4">
      <c r="A101" s="80" t="s">
        <v>1056</v>
      </c>
      <c r="B101" s="95" t="s">
        <v>891</v>
      </c>
    </row>
    <row r="102" spans="1:2" x14ac:dyDescent="0.4">
      <c r="A102" s="83" t="s">
        <v>2210</v>
      </c>
      <c r="B102" s="95" t="s">
        <v>891</v>
      </c>
    </row>
    <row r="103" spans="1:2" x14ac:dyDescent="0.4">
      <c r="A103" s="80" t="s">
        <v>2078</v>
      </c>
      <c r="B103" s="95" t="s">
        <v>891</v>
      </c>
    </row>
    <row r="104" spans="1:2" x14ac:dyDescent="0.4">
      <c r="A104" s="80" t="s">
        <v>1443</v>
      </c>
      <c r="B104" s="95" t="s">
        <v>891</v>
      </c>
    </row>
    <row r="105" spans="1:2" x14ac:dyDescent="0.4">
      <c r="A105" s="80"/>
      <c r="B105" s="95"/>
    </row>
    <row r="106" spans="1:2" x14ac:dyDescent="0.4">
      <c r="A106" s="80"/>
      <c r="B106" s="95"/>
    </row>
    <row r="107" spans="1:2" x14ac:dyDescent="0.4">
      <c r="A107" s="80" t="s">
        <v>142</v>
      </c>
      <c r="B107" s="95" t="s">
        <v>887</v>
      </c>
    </row>
    <row r="108" spans="1:2" x14ac:dyDescent="0.4">
      <c r="A108" s="80" t="s">
        <v>77</v>
      </c>
      <c r="B108" s="95" t="s">
        <v>887</v>
      </c>
    </row>
    <row r="109" spans="1:2" x14ac:dyDescent="0.4">
      <c r="A109" s="80" t="s">
        <v>29</v>
      </c>
      <c r="B109" s="95" t="s">
        <v>887</v>
      </c>
    </row>
    <row r="110" spans="1:2" x14ac:dyDescent="0.4">
      <c r="A110" s="80" t="s">
        <v>2745</v>
      </c>
      <c r="B110" s="95" t="s">
        <v>887</v>
      </c>
    </row>
    <row r="111" spans="1:2" x14ac:dyDescent="0.4">
      <c r="A111" s="80" t="s">
        <v>43</v>
      </c>
      <c r="B111" s="95" t="s">
        <v>887</v>
      </c>
    </row>
    <row r="112" spans="1:2" x14ac:dyDescent="0.4">
      <c r="A112" s="83" t="s">
        <v>126</v>
      </c>
      <c r="B112" s="95" t="s">
        <v>887</v>
      </c>
    </row>
    <row r="113" spans="1:2" x14ac:dyDescent="0.4">
      <c r="A113" s="83" t="s">
        <v>238</v>
      </c>
      <c r="B113" s="95" t="s">
        <v>887</v>
      </c>
    </row>
    <row r="114" spans="1:2" x14ac:dyDescent="0.4">
      <c r="A114" s="83" t="s">
        <v>237</v>
      </c>
      <c r="B114" s="95" t="s">
        <v>887</v>
      </c>
    </row>
    <row r="115" spans="1:2" x14ac:dyDescent="0.4">
      <c r="A115" s="80" t="s">
        <v>2223</v>
      </c>
      <c r="B115" s="95" t="s">
        <v>887</v>
      </c>
    </row>
    <row r="116" spans="1:2" x14ac:dyDescent="0.4">
      <c r="A116" s="80" t="s">
        <v>2746</v>
      </c>
      <c r="B116" s="95" t="s">
        <v>887</v>
      </c>
    </row>
    <row r="117" spans="1:2" x14ac:dyDescent="0.4">
      <c r="A117" s="80"/>
      <c r="B117" s="95"/>
    </row>
    <row r="118" spans="1:2" x14ac:dyDescent="0.4">
      <c r="A118" s="80"/>
      <c r="B118" s="95"/>
    </row>
    <row r="119" spans="1:2" x14ac:dyDescent="0.4">
      <c r="A119" s="80" t="s">
        <v>76</v>
      </c>
      <c r="B119" s="95" t="s">
        <v>978</v>
      </c>
    </row>
    <row r="120" spans="1:2" x14ac:dyDescent="0.4">
      <c r="A120" s="80" t="s">
        <v>53</v>
      </c>
      <c r="B120" s="95" t="s">
        <v>978</v>
      </c>
    </row>
    <row r="121" spans="1:2" x14ac:dyDescent="0.4">
      <c r="A121" s="80" t="s">
        <v>2096</v>
      </c>
      <c r="B121" s="95" t="s">
        <v>978</v>
      </c>
    </row>
    <row r="122" spans="1:2" x14ac:dyDescent="0.4">
      <c r="A122" s="80"/>
      <c r="B122" s="95"/>
    </row>
    <row r="123" spans="1:2" x14ac:dyDescent="0.4">
      <c r="A123" s="80" t="s">
        <v>2794</v>
      </c>
      <c r="B123" s="95" t="s">
        <v>886</v>
      </c>
    </row>
    <row r="124" spans="1:2" x14ac:dyDescent="0.4">
      <c r="A124" s="80" t="s">
        <v>2795</v>
      </c>
      <c r="B124" s="95" t="s">
        <v>890</v>
      </c>
    </row>
    <row r="125" spans="1:2" x14ac:dyDescent="0.4">
      <c r="A125" s="80" t="s">
        <v>2796</v>
      </c>
      <c r="B125" s="95" t="s">
        <v>885</v>
      </c>
    </row>
    <row r="126" spans="1:2" x14ac:dyDescent="0.4">
      <c r="A126" s="80" t="s">
        <v>2797</v>
      </c>
      <c r="B126" s="95" t="s">
        <v>890</v>
      </c>
    </row>
    <row r="127" spans="1:2" x14ac:dyDescent="0.4">
      <c r="A127" s="80" t="s">
        <v>2801</v>
      </c>
      <c r="B127" s="95" t="s">
        <v>891</v>
      </c>
    </row>
    <row r="128" spans="1:2" x14ac:dyDescent="0.4">
      <c r="A128" s="80" t="s">
        <v>2798</v>
      </c>
      <c r="B128" s="95" t="s">
        <v>887</v>
      </c>
    </row>
    <row r="129" spans="1:2" x14ac:dyDescent="0.4">
      <c r="A129" s="80" t="s">
        <v>2799</v>
      </c>
      <c r="B129" s="95" t="s">
        <v>887</v>
      </c>
    </row>
    <row r="130" spans="1:2" x14ac:dyDescent="0.4">
      <c r="A130" s="80" t="s">
        <v>2800</v>
      </c>
      <c r="B130" s="95" t="s">
        <v>887</v>
      </c>
    </row>
    <row r="131" spans="1:2" x14ac:dyDescent="0.4">
      <c r="A131" s="80"/>
      <c r="B131" s="95"/>
    </row>
    <row r="132" spans="1:2" x14ac:dyDescent="0.4">
      <c r="A132" s="97" t="s">
        <v>18</v>
      </c>
      <c r="B132" s="95"/>
    </row>
    <row r="133" spans="1:2" x14ac:dyDescent="0.4">
      <c r="A133" s="99"/>
      <c r="B133" s="98"/>
    </row>
    <row r="134" spans="1:2" x14ac:dyDescent="0.4">
      <c r="A134" s="99"/>
      <c r="B134" s="98"/>
    </row>
    <row r="135" spans="1:2" x14ac:dyDescent="0.4">
      <c r="A135" s="100" t="s">
        <v>2224</v>
      </c>
      <c r="B135" s="94"/>
    </row>
    <row r="136" spans="1:2" x14ac:dyDescent="0.4">
      <c r="A136" s="80" t="s">
        <v>2225</v>
      </c>
      <c r="B136" s="95"/>
    </row>
    <row r="137" spans="1:2" x14ac:dyDescent="0.4">
      <c r="A137" s="80" t="s">
        <v>2226</v>
      </c>
      <c r="B137" s="95"/>
    </row>
    <row r="138" spans="1:2" x14ac:dyDescent="0.4">
      <c r="A138" s="81" t="s">
        <v>2227</v>
      </c>
      <c r="B138" s="95"/>
    </row>
    <row r="139" spans="1:2" x14ac:dyDescent="0.4">
      <c r="A139" s="81" t="s">
        <v>2228</v>
      </c>
      <c r="B139" s="95"/>
    </row>
    <row r="140" spans="1:2" x14ac:dyDescent="0.4">
      <c r="A140" s="80" t="s">
        <v>2229</v>
      </c>
      <c r="B140" s="95"/>
    </row>
    <row r="141" spans="1:2" x14ac:dyDescent="0.4">
      <c r="A141" s="80" t="s">
        <v>2230</v>
      </c>
      <c r="B141" s="95"/>
    </row>
    <row r="142" spans="1:2" x14ac:dyDescent="0.4">
      <c r="A142" s="80" t="s">
        <v>2231</v>
      </c>
      <c r="B142" s="95"/>
    </row>
    <row r="143" spans="1:2" x14ac:dyDescent="0.4">
      <c r="A143" s="83" t="s">
        <v>2232</v>
      </c>
      <c r="B143" s="95"/>
    </row>
    <row r="144" spans="1:2" x14ac:dyDescent="0.4">
      <c r="A144" s="80" t="s">
        <v>2233</v>
      </c>
      <c r="B144" s="95"/>
    </row>
    <row r="145" spans="1:2" x14ac:dyDescent="0.4">
      <c r="A145" s="80" t="s">
        <v>2234</v>
      </c>
      <c r="B145" s="95"/>
    </row>
    <row r="146" spans="1:2" ht="30.9" x14ac:dyDescent="0.4">
      <c r="A146" s="86" t="s">
        <v>2235</v>
      </c>
      <c r="B146" s="95"/>
    </row>
    <row r="147" spans="1:2" x14ac:dyDescent="0.4">
      <c r="A147" s="80" t="s">
        <v>2236</v>
      </c>
      <c r="B147" s="95"/>
    </row>
    <row r="148" spans="1:2" x14ac:dyDescent="0.4">
      <c r="A148" s="80" t="s">
        <v>2237</v>
      </c>
      <c r="B148" s="95"/>
    </row>
    <row r="149" spans="1:2" x14ac:dyDescent="0.4">
      <c r="A149" s="80" t="s">
        <v>2238</v>
      </c>
      <c r="B149" s="95"/>
    </row>
    <row r="150" spans="1:2" x14ac:dyDescent="0.4">
      <c r="A150" s="80" t="s">
        <v>2239</v>
      </c>
      <c r="B150" s="95"/>
    </row>
    <row r="151" spans="1:2" x14ac:dyDescent="0.4">
      <c r="A151" s="80" t="s">
        <v>2240</v>
      </c>
      <c r="B151" s="95"/>
    </row>
    <row r="152" spans="1:2" x14ac:dyDescent="0.4">
      <c r="A152" s="80" t="s">
        <v>2241</v>
      </c>
      <c r="B152" s="95"/>
    </row>
    <row r="153" spans="1:2" ht="30.9" x14ac:dyDescent="0.4">
      <c r="A153" s="86" t="s">
        <v>2242</v>
      </c>
      <c r="B153" s="95"/>
    </row>
    <row r="154" spans="1:2" ht="30.9" x14ac:dyDescent="0.4">
      <c r="A154" s="86" t="s">
        <v>2243</v>
      </c>
      <c r="B154" s="95"/>
    </row>
    <row r="155" spans="1:2" ht="15.9" thickBot="1" x14ac:dyDescent="0.45">
      <c r="A155" s="87"/>
      <c r="B155" s="101"/>
    </row>
    <row r="156" spans="1:2" ht="16.3" thickTop="1" thickBot="1" x14ac:dyDescent="0.45">
      <c r="A156" s="88" t="s">
        <v>18</v>
      </c>
      <c r="B156" s="102"/>
    </row>
    <row r="157" spans="1:2" ht="15.9" thickTop="1" x14ac:dyDescent="0.4">
      <c r="A157" s="89"/>
    </row>
    <row r="158" spans="1:2" x14ac:dyDescent="0.4">
      <c r="A158" s="89"/>
    </row>
    <row r="159" spans="1:2" x14ac:dyDescent="0.4">
      <c r="A159" s="89"/>
    </row>
    <row r="160" spans="1:2" x14ac:dyDescent="0.4">
      <c r="A160" s="89"/>
    </row>
    <row r="241" spans="1:1" x14ac:dyDescent="0.4">
      <c r="A241" s="90"/>
    </row>
    <row r="242" spans="1:1" x14ac:dyDescent="0.4">
      <c r="A242" s="91"/>
    </row>
    <row r="243" spans="1:1" x14ac:dyDescent="0.4">
      <c r="A243" s="91"/>
    </row>
    <row r="244" spans="1:1" x14ac:dyDescent="0.4">
      <c r="A244" s="91"/>
    </row>
    <row r="245" spans="1:1" x14ac:dyDescent="0.4">
      <c r="A245" s="91"/>
    </row>
    <row r="246" spans="1:1" x14ac:dyDescent="0.4">
      <c r="A246" s="91"/>
    </row>
    <row r="247" spans="1:1" x14ac:dyDescent="0.4">
      <c r="A247" s="92"/>
    </row>
    <row r="248" spans="1:1" x14ac:dyDescent="0.4">
      <c r="A248" s="91"/>
    </row>
    <row r="249" spans="1:1" x14ac:dyDescent="0.4">
      <c r="A249" s="91"/>
    </row>
    <row r="250" spans="1:1" x14ac:dyDescent="0.4">
      <c r="A250" s="91"/>
    </row>
    <row r="251" spans="1:1" x14ac:dyDescent="0.4">
      <c r="A251" s="91"/>
    </row>
    <row r="252" spans="1:1" x14ac:dyDescent="0.4">
      <c r="A252" s="91"/>
    </row>
    <row r="253" spans="1:1" x14ac:dyDescent="0.4">
      <c r="A253" s="91"/>
    </row>
    <row r="254" spans="1:1" x14ac:dyDescent="0.4">
      <c r="A254" s="91"/>
    </row>
    <row r="255" spans="1:1" x14ac:dyDescent="0.4">
      <c r="A255" s="89"/>
    </row>
    <row r="256" spans="1:1" x14ac:dyDescent="0.4">
      <c r="A256" s="89"/>
    </row>
  </sheetData>
  <conditionalFormatting sqref="A2">
    <cfRule type="duplicateValues" dxfId="3" priority="3" stopIfTrue="1"/>
  </conditionalFormatting>
  <conditionalFormatting sqref="A61:A154 A2:A59">
    <cfRule type="duplicateValues" dxfId="2" priority="2" stopIfTrue="1"/>
  </conditionalFormatting>
  <conditionalFormatting sqref="A123:A130">
    <cfRule type="duplicateValues" dxfId="1" priority="1" stopIfTrue="1"/>
  </conditionalFormatting>
  <conditionalFormatting sqref="B1:B57 B59:B148">
    <cfRule type="duplicateValues" dxfId="0" priority="7" stopIfTrue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JANUARI 2025</vt:lpstr>
      <vt:lpstr>FEB 2025</vt:lpstr>
      <vt:lpstr>MARET</vt:lpstr>
      <vt:lpstr>APRIL</vt:lpstr>
      <vt:lpstr>MEI</vt:lpstr>
      <vt:lpstr>JUNI</vt:lpstr>
      <vt:lpstr>JULI</vt:lpstr>
      <vt:lpstr>AGUSTUS</vt:lpstr>
      <vt:lpstr>SEPTEMBER</vt:lpstr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Louis Limmarga</cp:lastModifiedBy>
  <cp:lastPrinted>2025-09-09T03:19:25Z</cp:lastPrinted>
  <dcterms:created xsi:type="dcterms:W3CDTF">2012-05-24T17:48:20Z</dcterms:created>
  <dcterms:modified xsi:type="dcterms:W3CDTF">2025-09-20T19:20:32Z</dcterms:modified>
</cp:coreProperties>
</file>